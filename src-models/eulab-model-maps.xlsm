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7C784FDB-7931-427B-AFD2-A49BD2945554}" xr6:coauthVersionLast="47" xr6:coauthVersionMax="47" xr10:uidLastSave="{00000000-0000-0000-0000-000000000000}"/>
  <bookViews>
    <workbookView xWindow="-90" yWindow="-21710" windowWidth="38620" windowHeight="21100" firstSheet="45" activeTab="50"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51" r:id="rId29"/>
    <sheet name="Author-ConceptMap-3" sheetId="153"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5" i="165" l="1"/>
  <c r="B60" i="165"/>
  <c r="B61" i="165"/>
  <c r="B62" i="165"/>
  <c r="B63" i="165"/>
  <c r="B64" i="165"/>
  <c r="B65" i="165"/>
  <c r="B66" i="165"/>
  <c r="B67" i="165"/>
  <c r="B68" i="165"/>
  <c r="B69" i="165"/>
  <c r="B70" i="165"/>
  <c r="B71" i="165"/>
  <c r="B72" i="165"/>
  <c r="B73" i="165"/>
  <c r="B74"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Q71" i="162"/>
  <c r="S71" i="162" s="1" a="1"/>
  <c r="S71" i="162" s="1"/>
  <c r="R71"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58" i="162"/>
  <c r="R58" i="162"/>
  <c r="S58" i="162" s="1" a="1"/>
  <c r="S58" i="162" s="1"/>
  <c r="Q59" i="162"/>
  <c r="S59" i="162" s="1" a="1"/>
  <c r="S59" i="162" s="1"/>
  <c r="R59" i="162"/>
  <c r="Q60" i="162"/>
  <c r="R60" i="162"/>
  <c r="S60" i="162" s="1" a="1"/>
  <c r="S60" i="162" s="1"/>
  <c r="Q61" i="162"/>
  <c r="S61" i="162" s="1" a="1"/>
  <c r="S61" i="162" s="1"/>
  <c r="R61" i="162"/>
  <c r="Q62" i="162"/>
  <c r="R62" i="162"/>
  <c r="S62" i="162" s="1" a="1"/>
  <c r="S62" i="162" s="1"/>
  <c r="Q63" i="162"/>
  <c r="S63" i="162" s="1" a="1"/>
  <c r="S63" i="162" s="1"/>
  <c r="R63" i="162"/>
  <c r="Q53" i="162"/>
  <c r="S53" i="162" s="1" a="1"/>
  <c r="S53" i="162" s="1"/>
  <c r="R53" i="162"/>
  <c r="Q54" i="162"/>
  <c r="R54" i="162"/>
  <c r="S54" i="162" s="1" a="1"/>
  <c r="S54" i="162" s="1"/>
  <c r="Q55" i="162"/>
  <c r="S55" i="162" s="1" a="1"/>
  <c r="S55" i="162" s="1"/>
  <c r="R55" i="162"/>
  <c r="Q56" i="162"/>
  <c r="R56" i="162"/>
  <c r="S56" i="162" s="1" a="1"/>
  <c r="S56" i="162" s="1"/>
  <c r="Q57" i="162"/>
  <c r="S57" i="162" s="1" a="1"/>
  <c r="S57" i="162" s="1"/>
  <c r="R5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B162" i="171"/>
  <c r="B163" i="171"/>
  <c r="B164" i="171"/>
  <c r="B28" i="171"/>
  <c r="B32" i="171"/>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26" i="170"/>
  <c r="J26" i="170"/>
  <c r="K26" i="170"/>
  <c r="L26" i="170"/>
  <c r="M26" i="170"/>
  <c r="N26" i="170"/>
  <c r="I27" i="170"/>
  <c r="J27" i="170"/>
  <c r="K27" i="170"/>
  <c r="L27" i="170"/>
  <c r="M27" i="170"/>
  <c r="N27" i="170"/>
  <c r="I24" i="170"/>
  <c r="J24" i="170"/>
  <c r="K24" i="170"/>
  <c r="L24" i="170"/>
  <c r="M24" i="170"/>
  <c r="N24" i="170"/>
  <c r="I25" i="170"/>
  <c r="J25" i="170"/>
  <c r="K25" i="170"/>
  <c r="L25" i="170"/>
  <c r="M25" i="170"/>
  <c r="N25" i="170"/>
  <c r="I22" i="170"/>
  <c r="J22" i="170"/>
  <c r="K22" i="170"/>
  <c r="L22" i="170"/>
  <c r="M22" i="170"/>
  <c r="N22" i="170"/>
  <c r="I23" i="170"/>
  <c r="J23" i="170"/>
  <c r="K23" i="170"/>
  <c r="L23" i="170"/>
  <c r="M23" i="170"/>
  <c r="N23" i="170"/>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S46" i="170" s="1" a="1"/>
  <c r="S46" i="170" s="1"/>
  <c r="B52" i="171" s="1"/>
  <c r="I20" i="170"/>
  <c r="J20" i="170"/>
  <c r="K20" i="170"/>
  <c r="L20" i="170"/>
  <c r="M20" i="170"/>
  <c r="N20" i="170"/>
  <c r="I21" i="170"/>
  <c r="J21" i="170"/>
  <c r="K21" i="170"/>
  <c r="L21" i="170"/>
  <c r="M21" i="170"/>
  <c r="N21" i="170"/>
  <c r="B26" i="170"/>
  <c r="C26" i="170"/>
  <c r="B22" i="170"/>
  <c r="C22" i="170"/>
  <c r="E4" i="151"/>
  <c r="E4" i="153" s="1"/>
  <c r="B22" i="169"/>
  <c r="C22" i="169"/>
  <c r="Q16" i="170"/>
  <c r="R16" i="170"/>
  <c r="Q17" i="170"/>
  <c r="R17" i="170"/>
  <c r="Q18" i="170"/>
  <c r="R18" i="170"/>
  <c r="Q19" i="170"/>
  <c r="R19" i="170"/>
  <c r="Q20" i="170"/>
  <c r="R20" i="170"/>
  <c r="Q21" i="170"/>
  <c r="R21" i="170"/>
  <c r="Q23" i="170"/>
  <c r="R23" i="170"/>
  <c r="Q24" i="170"/>
  <c r="R24" i="170"/>
  <c r="Q25" i="170"/>
  <c r="R25" i="170"/>
  <c r="Q27" i="170"/>
  <c r="R27" i="170"/>
  <c r="Q28" i="170"/>
  <c r="R28" i="170"/>
  <c r="Q29" i="170"/>
  <c r="R29" i="170"/>
  <c r="Q30" i="170"/>
  <c r="R30" i="170"/>
  <c r="Q31" i="170"/>
  <c r="R31" i="170"/>
  <c r="Q32" i="170"/>
  <c r="R32" i="170"/>
  <c r="Q33" i="170"/>
  <c r="R33" i="170"/>
  <c r="Q34" i="170"/>
  <c r="R34" i="170"/>
  <c r="Q35" i="170"/>
  <c r="R35" i="170"/>
  <c r="Q36" i="170"/>
  <c r="R36" i="170"/>
  <c r="Q37" i="170"/>
  <c r="R37" i="170"/>
  <c r="S37" i="170" a="1"/>
  <c r="S37" i="170" s="1"/>
  <c r="B43" i="171" s="1"/>
  <c r="Q38" i="170"/>
  <c r="R38" i="170"/>
  <c r="Q39" i="170"/>
  <c r="R39" i="170"/>
  <c r="Q40" i="170"/>
  <c r="R40" i="170"/>
  <c r="Q41" i="170"/>
  <c r="R41" i="170"/>
  <c r="Q42" i="170"/>
  <c r="R42" i="170"/>
  <c r="Q43" i="170"/>
  <c r="R43" i="170"/>
  <c r="Q44" i="170"/>
  <c r="R44" i="170"/>
  <c r="Q45" i="170"/>
  <c r="R45" i="170"/>
  <c r="Q46" i="170"/>
  <c r="R46" i="170"/>
  <c r="Q47" i="170"/>
  <c r="R47" i="170"/>
  <c r="Q48" i="170"/>
  <c r="R48" i="170"/>
  <c r="Q49" i="170"/>
  <c r="R49" i="170"/>
  <c r="Q50" i="170"/>
  <c r="R50" i="170"/>
  <c r="Q51" i="170"/>
  <c r="R51" i="170"/>
  <c r="Q52" i="170"/>
  <c r="R52" i="170"/>
  <c r="Q53" i="170"/>
  <c r="R53" i="170"/>
  <c r="Q54" i="170"/>
  <c r="R54" i="170"/>
  <c r="Q55" i="170"/>
  <c r="R55" i="170"/>
  <c r="Q56" i="170"/>
  <c r="R56" i="170"/>
  <c r="Q57" i="170"/>
  <c r="R57" i="170"/>
  <c r="Q58" i="170"/>
  <c r="R58" i="170"/>
  <c r="Q59" i="170"/>
  <c r="R59" i="170"/>
  <c r="S59" i="170" a="1"/>
  <c r="S59" i="170" s="1"/>
  <c r="B65" i="171" s="1"/>
  <c r="Q60" i="170"/>
  <c r="R60" i="170"/>
  <c r="Q61" i="170"/>
  <c r="S61" i="170" s="1" a="1"/>
  <c r="S61" i="170" s="1"/>
  <c r="B67" i="171" s="1"/>
  <c r="R61" i="170"/>
  <c r="B166" i="171"/>
  <c r="B167" i="171"/>
  <c r="Q145" i="170"/>
  <c r="R145" i="170"/>
  <c r="Q146" i="170"/>
  <c r="R146" i="170"/>
  <c r="Q147" i="170"/>
  <c r="S147" i="170" s="1" a="1"/>
  <c r="S147" i="170" s="1"/>
  <c r="B153" i="171" s="1"/>
  <c r="R147" i="170"/>
  <c r="Q148" i="170"/>
  <c r="R148" i="170"/>
  <c r="Q149" i="170"/>
  <c r="R149" i="170"/>
  <c r="Q150" i="170"/>
  <c r="R150" i="170"/>
  <c r="Q151" i="170"/>
  <c r="R151" i="170"/>
  <c r="Q152" i="170"/>
  <c r="R152" i="170"/>
  <c r="Q153" i="170"/>
  <c r="R153" i="170"/>
  <c r="Q154" i="170"/>
  <c r="R154" i="170"/>
  <c r="Q155" i="170"/>
  <c r="R155" i="170"/>
  <c r="Q139" i="170"/>
  <c r="R139" i="170"/>
  <c r="Q140" i="170"/>
  <c r="R140" i="170"/>
  <c r="Q141" i="170"/>
  <c r="R141" i="170"/>
  <c r="Q142" i="170"/>
  <c r="R142" i="170"/>
  <c r="Q143" i="170"/>
  <c r="R143" i="170"/>
  <c r="Q144" i="170"/>
  <c r="R144" i="170"/>
  <c r="Q123" i="170"/>
  <c r="R123" i="170"/>
  <c r="Q124" i="170"/>
  <c r="R124" i="170"/>
  <c r="Q125" i="170"/>
  <c r="R125" i="170"/>
  <c r="Q126" i="170"/>
  <c r="R126" i="170"/>
  <c r="Q127" i="170"/>
  <c r="R127" i="170"/>
  <c r="Q128" i="170"/>
  <c r="R128" i="170"/>
  <c r="Q129" i="170"/>
  <c r="R129" i="170"/>
  <c r="Q130" i="170"/>
  <c r="R130" i="170"/>
  <c r="Q131" i="170"/>
  <c r="R131" i="170"/>
  <c r="Q132" i="170"/>
  <c r="R132" i="170"/>
  <c r="Q133" i="170"/>
  <c r="R133" i="170"/>
  <c r="Q134" i="170"/>
  <c r="R134" i="170"/>
  <c r="Q135" i="170"/>
  <c r="R135" i="170"/>
  <c r="Q136" i="170"/>
  <c r="R136" i="170"/>
  <c r="Q137" i="170"/>
  <c r="R137" i="170"/>
  <c r="Q138" i="170"/>
  <c r="R138" i="170"/>
  <c r="Q108" i="170"/>
  <c r="R108" i="170"/>
  <c r="Q109" i="170"/>
  <c r="R109" i="170"/>
  <c r="Q110" i="170"/>
  <c r="R110" i="170"/>
  <c r="Q111" i="170"/>
  <c r="R111" i="170"/>
  <c r="Q112" i="170"/>
  <c r="R112" i="170"/>
  <c r="Q113" i="170"/>
  <c r="R113" i="170"/>
  <c r="Q114" i="170"/>
  <c r="R114" i="170"/>
  <c r="Q115" i="170"/>
  <c r="R115" i="170"/>
  <c r="Q116" i="170"/>
  <c r="R116" i="170"/>
  <c r="Q117" i="170"/>
  <c r="R117" i="170"/>
  <c r="Q118" i="170"/>
  <c r="R118" i="170"/>
  <c r="Q119" i="170"/>
  <c r="R119" i="170"/>
  <c r="Q120" i="170"/>
  <c r="R120" i="170"/>
  <c r="Q121" i="170"/>
  <c r="R121" i="170"/>
  <c r="Q122" i="170"/>
  <c r="R122" i="170"/>
  <c r="Q89" i="170"/>
  <c r="R89" i="170"/>
  <c r="Q90" i="170"/>
  <c r="R90" i="170"/>
  <c r="Q91" i="170"/>
  <c r="R91" i="170"/>
  <c r="Q92" i="170"/>
  <c r="R92" i="170"/>
  <c r="Q93" i="170"/>
  <c r="R93" i="170"/>
  <c r="Q94" i="170"/>
  <c r="R94" i="170"/>
  <c r="Q95" i="170"/>
  <c r="R95" i="170"/>
  <c r="Q96" i="170"/>
  <c r="R96" i="170"/>
  <c r="Q97" i="170"/>
  <c r="R97" i="170"/>
  <c r="Q98" i="170"/>
  <c r="R98" i="170"/>
  <c r="Q99" i="170"/>
  <c r="R99" i="170"/>
  <c r="Q100" i="170"/>
  <c r="R100" i="170"/>
  <c r="Q101" i="170"/>
  <c r="R101" i="170"/>
  <c r="Q102" i="170"/>
  <c r="R102" i="170"/>
  <c r="Q103" i="170"/>
  <c r="R103" i="170"/>
  <c r="Q104" i="170"/>
  <c r="R104" i="170"/>
  <c r="Q105" i="170"/>
  <c r="R105" i="170"/>
  <c r="Q106" i="170"/>
  <c r="R106" i="170"/>
  <c r="Q107" i="170"/>
  <c r="R107" i="170"/>
  <c r="Q62" i="170"/>
  <c r="S62" i="170" s="1" a="1"/>
  <c r="S62" i="170" s="1"/>
  <c r="B68" i="171" s="1"/>
  <c r="R62" i="170"/>
  <c r="Q63" i="170"/>
  <c r="R63" i="170"/>
  <c r="Q64" i="170"/>
  <c r="R64" i="170"/>
  <c r="Q65" i="170"/>
  <c r="R65" i="170"/>
  <c r="Q66" i="170"/>
  <c r="R66" i="170"/>
  <c r="Q67" i="170"/>
  <c r="R67" i="170"/>
  <c r="Q68" i="170"/>
  <c r="R68" i="170"/>
  <c r="Q69" i="170"/>
  <c r="R69" i="170"/>
  <c r="Q70" i="170"/>
  <c r="R70" i="170"/>
  <c r="Q71" i="170"/>
  <c r="R71" i="170"/>
  <c r="Q72" i="170"/>
  <c r="R72" i="170"/>
  <c r="Q73" i="170"/>
  <c r="R73" i="170"/>
  <c r="Q74" i="170"/>
  <c r="R74" i="170"/>
  <c r="Q75" i="170"/>
  <c r="R75" i="170"/>
  <c r="Q76" i="170"/>
  <c r="R76" i="170"/>
  <c r="Q77" i="170"/>
  <c r="R77" i="170"/>
  <c r="Q78" i="170"/>
  <c r="R78" i="170"/>
  <c r="Q79" i="170"/>
  <c r="R79" i="170"/>
  <c r="Q80" i="170"/>
  <c r="R80" i="170"/>
  <c r="S80" i="170" s="1" a="1"/>
  <c r="S80" i="170" s="1"/>
  <c r="B86" i="171" s="1"/>
  <c r="Q81" i="170"/>
  <c r="R81" i="170"/>
  <c r="Q82" i="170"/>
  <c r="R82" i="170"/>
  <c r="Q83" i="170"/>
  <c r="R83" i="170"/>
  <c r="Q84" i="170"/>
  <c r="R84" i="170"/>
  <c r="Q85" i="170"/>
  <c r="R85" i="170"/>
  <c r="Q86" i="170"/>
  <c r="R86" i="170"/>
  <c r="Q87" i="170"/>
  <c r="R87" i="170"/>
  <c r="Q88" i="170"/>
  <c r="R88" i="170"/>
  <c r="S50" i="170" a="1"/>
  <c r="S50" i="170" s="1"/>
  <c r="B56" i="171" s="1"/>
  <c r="S70" i="170" a="1"/>
  <c r="S70" i="170" s="1"/>
  <c r="B76" i="171" s="1"/>
  <c r="S111" i="170" a="1"/>
  <c r="S111" i="170" s="1"/>
  <c r="B117" i="171" s="1"/>
  <c r="S39" i="170" a="1"/>
  <c r="S39" i="170" s="1"/>
  <c r="B45" i="171" s="1"/>
  <c r="C38" i="170"/>
  <c r="B38" i="170"/>
  <c r="B35" i="170"/>
  <c r="C35" i="170"/>
  <c r="B21" i="170"/>
  <c r="C21" i="170"/>
  <c r="B33" i="170"/>
  <c r="C33" i="170"/>
  <c r="B23" i="170"/>
  <c r="C23" i="170"/>
  <c r="B24" i="170"/>
  <c r="C24" i="170"/>
  <c r="B25" i="170"/>
  <c r="C25" i="170"/>
  <c r="B27" i="170"/>
  <c r="C27" i="170"/>
  <c r="B28" i="170"/>
  <c r="C28" i="170"/>
  <c r="B29" i="170"/>
  <c r="C29" i="170"/>
  <c r="B30" i="170"/>
  <c r="C30" i="170"/>
  <c r="B31" i="170"/>
  <c r="C31" i="170"/>
  <c r="B32" i="170"/>
  <c r="C32" i="170"/>
  <c r="B34" i="170"/>
  <c r="C34" i="170"/>
  <c r="B36" i="170"/>
  <c r="C36" i="170"/>
  <c r="B37" i="170"/>
  <c r="C37" i="170"/>
  <c r="B16" i="170"/>
  <c r="C16" i="170"/>
  <c r="B17" i="170"/>
  <c r="C17" i="170"/>
  <c r="B18" i="170"/>
  <c r="C18" i="170"/>
  <c r="B19" i="170"/>
  <c r="C19" i="170"/>
  <c r="B20" i="170"/>
  <c r="C20" i="170"/>
  <c r="C15" i="170"/>
  <c r="J15" i="170" s="1"/>
  <c r="B15" i="170"/>
  <c r="B14" i="170"/>
  <c r="Q146" i="169"/>
  <c r="S146" i="169" s="1" a="1"/>
  <c r="S146" i="169" s="1"/>
  <c r="B418" i="171" s="1"/>
  <c r="R146" i="169"/>
  <c r="Q147" i="169"/>
  <c r="R147" i="169"/>
  <c r="S147" i="169" a="1"/>
  <c r="S147" i="169" s="1"/>
  <c r="B419" i="171" s="1"/>
  <c r="Q148" i="169"/>
  <c r="S148" i="169" s="1" a="1"/>
  <c r="S148" i="169" s="1"/>
  <c r="B420" i="171" s="1"/>
  <c r="R148" i="169"/>
  <c r="Q149" i="169"/>
  <c r="R149" i="169"/>
  <c r="S149" i="169" a="1"/>
  <c r="S149" i="169" s="1"/>
  <c r="B421" i="171" s="1"/>
  <c r="Q150" i="169"/>
  <c r="S150" i="169" s="1" a="1"/>
  <c r="S150" i="169" s="1"/>
  <c r="B422" i="171" s="1"/>
  <c r="R150" i="169"/>
  <c r="Q151" i="169"/>
  <c r="R151" i="169"/>
  <c r="S151" i="169" a="1"/>
  <c r="S151" i="169" s="1"/>
  <c r="B423"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04" i="171" s="1"/>
  <c r="Q133" i="169"/>
  <c r="S133" i="169" s="1" a="1"/>
  <c r="S133" i="169" s="1"/>
  <c r="B405" i="171" s="1"/>
  <c r="R133" i="169"/>
  <c r="Q134" i="169"/>
  <c r="R134" i="169"/>
  <c r="S134" i="169" s="1" a="1"/>
  <c r="S134" i="169" s="1"/>
  <c r="B406" i="171" s="1"/>
  <c r="Q135" i="169"/>
  <c r="S135" i="169" s="1" a="1"/>
  <c r="S135" i="169" s="1"/>
  <c r="B407" i="171" s="1"/>
  <c r="R135" i="169"/>
  <c r="Q136" i="169"/>
  <c r="R136" i="169"/>
  <c r="S136" i="169" s="1" a="1"/>
  <c r="S136" i="169" s="1"/>
  <c r="B408" i="171" s="1"/>
  <c r="Q137" i="169"/>
  <c r="R137" i="169"/>
  <c r="Q138" i="169"/>
  <c r="R138" i="169"/>
  <c r="S138" i="169" s="1" a="1"/>
  <c r="S138" i="169" s="1"/>
  <c r="B410" i="171" s="1"/>
  <c r="Q139" i="169"/>
  <c r="S139" i="169" s="1" a="1"/>
  <c r="S139" i="169" s="1"/>
  <c r="B411" i="171" s="1"/>
  <c r="R139" i="169"/>
  <c r="Q140" i="169"/>
  <c r="R140" i="169"/>
  <c r="S140" i="169" s="1" a="1"/>
  <c r="S140" i="169" s="1"/>
  <c r="B412" i="171" s="1"/>
  <c r="Q141" i="169"/>
  <c r="S141" i="169" s="1" a="1"/>
  <c r="S141" i="169" s="1"/>
  <c r="B413" i="171" s="1"/>
  <c r="R141" i="169"/>
  <c r="Q142" i="169"/>
  <c r="R142" i="169"/>
  <c r="S142" i="169" s="1" a="1"/>
  <c r="S142" i="169" s="1"/>
  <c r="B414" i="171" s="1"/>
  <c r="Q143" i="169"/>
  <c r="R143" i="169"/>
  <c r="Q144" i="169"/>
  <c r="R144" i="169"/>
  <c r="S144" i="169" s="1" a="1"/>
  <c r="S144" i="169" s="1"/>
  <c r="B416" i="171" s="1"/>
  <c r="Q145" i="169"/>
  <c r="S145" i="169" s="1" a="1"/>
  <c r="S145" i="169" s="1"/>
  <c r="B417" i="171" s="1"/>
  <c r="R145" i="169"/>
  <c r="S116" i="169" a="1"/>
  <c r="S116" i="169" s="1"/>
  <c r="B388" i="171" s="1"/>
  <c r="S117" i="169" a="1"/>
  <c r="S117" i="169" s="1"/>
  <c r="B389" i="171" s="1"/>
  <c r="S118" i="169" a="1"/>
  <c r="S118" i="169" s="1"/>
  <c r="B390" i="171" s="1"/>
  <c r="S120" i="169" a="1"/>
  <c r="S120" i="169" s="1"/>
  <c r="B392" i="171" s="1"/>
  <c r="S121" i="169" a="1"/>
  <c r="S121" i="169" s="1"/>
  <c r="B393" i="171" s="1"/>
  <c r="S122" i="169" a="1"/>
  <c r="S122" i="169" s="1"/>
  <c r="B394" i="171" s="1"/>
  <c r="S123" i="169" a="1"/>
  <c r="S123" i="169" s="1"/>
  <c r="B395" i="171" s="1"/>
  <c r="S124" i="169" a="1"/>
  <c r="S124" i="169" s="1"/>
  <c r="B396" i="171" s="1"/>
  <c r="S126" i="169" a="1"/>
  <c r="S126" i="169" s="1"/>
  <c r="B398" i="171" s="1"/>
  <c r="S127" i="169" a="1"/>
  <c r="S127" i="169" s="1"/>
  <c r="B399" i="171" s="1"/>
  <c r="S128" i="169" a="1"/>
  <c r="S128" i="169" s="1"/>
  <c r="B400" i="171" s="1"/>
  <c r="S129" i="169" a="1"/>
  <c r="S129" i="169" s="1"/>
  <c r="B401" i="171" s="1"/>
  <c r="S130" i="169" a="1"/>
  <c r="S130" i="169" s="1"/>
  <c r="B402" i="171" s="1"/>
  <c r="S16" i="169" a="1"/>
  <c r="S16" i="169" s="1"/>
  <c r="B288" i="171" s="1"/>
  <c r="S17" i="169" a="1"/>
  <c r="S17" i="169" s="1"/>
  <c r="B289" i="171" s="1"/>
  <c r="S18" i="169" a="1"/>
  <c r="S18" i="169" s="1"/>
  <c r="B290" i="171" s="1"/>
  <c r="S19" i="169" a="1"/>
  <c r="S19" i="169" s="1"/>
  <c r="B291" i="171" s="1"/>
  <c r="S20" i="169" a="1"/>
  <c r="S20" i="169" s="1"/>
  <c r="B292" i="171" s="1"/>
  <c r="S21" i="169" a="1"/>
  <c r="S21" i="169" s="1"/>
  <c r="B293" i="171" s="1"/>
  <c r="S22" i="169" a="1"/>
  <c r="S22" i="169" s="1"/>
  <c r="B294" i="171" s="1"/>
  <c r="S23" i="169" a="1"/>
  <c r="S23" i="169" s="1"/>
  <c r="B295" i="171" s="1"/>
  <c r="S24" i="169" a="1"/>
  <c r="S24" i="169" s="1"/>
  <c r="B296" i="171" s="1"/>
  <c r="S25" i="169" a="1"/>
  <c r="S25" i="169" s="1"/>
  <c r="B297" i="171" s="1"/>
  <c r="S26" i="169" a="1"/>
  <c r="S26" i="169" s="1"/>
  <c r="B298" i="171" s="1"/>
  <c r="S27" i="169" a="1"/>
  <c r="S27" i="169" s="1"/>
  <c r="B299" i="171" s="1"/>
  <c r="S28" i="169" a="1"/>
  <c r="S28" i="169" s="1"/>
  <c r="B300" i="171" s="1"/>
  <c r="S29" i="169" a="1"/>
  <c r="S29" i="169" s="1"/>
  <c r="B301" i="171" s="1"/>
  <c r="S30" i="169" a="1"/>
  <c r="S30" i="169" s="1"/>
  <c r="B302" i="171" s="1"/>
  <c r="S31" i="169" a="1"/>
  <c r="S31" i="169" s="1"/>
  <c r="B303" i="171" s="1"/>
  <c r="S32" i="169" a="1"/>
  <c r="S32" i="169" s="1"/>
  <c r="B304" i="171" s="1"/>
  <c r="S33" i="169" a="1"/>
  <c r="S33" i="169" s="1"/>
  <c r="B305" i="171" s="1"/>
  <c r="S34" i="169" a="1"/>
  <c r="S34" i="169" s="1"/>
  <c r="B306" i="171" s="1"/>
  <c r="S35" i="169" a="1"/>
  <c r="S35" i="169" s="1"/>
  <c r="B307" i="171" s="1"/>
  <c r="S36" i="169" a="1"/>
  <c r="S36" i="169" s="1"/>
  <c r="B308" i="171" s="1"/>
  <c r="S37" i="169" a="1"/>
  <c r="S37" i="169" s="1"/>
  <c r="B309" i="171" s="1"/>
  <c r="S38" i="169" a="1"/>
  <c r="S38" i="169" s="1"/>
  <c r="B310" i="171" s="1"/>
  <c r="S39" i="169" a="1"/>
  <c r="S39" i="169" s="1"/>
  <c r="B311" i="171" s="1"/>
  <c r="S40" i="169" a="1"/>
  <c r="S40" i="169" s="1"/>
  <c r="B312" i="171" s="1"/>
  <c r="S41" i="169" a="1"/>
  <c r="S41" i="169" s="1"/>
  <c r="B313" i="171" s="1"/>
  <c r="S42" i="169" a="1"/>
  <c r="S42" i="169" s="1"/>
  <c r="B314" i="171" s="1"/>
  <c r="S43" i="169" a="1"/>
  <c r="S43" i="169" s="1"/>
  <c r="B315" i="171" s="1"/>
  <c r="S44" i="169" a="1"/>
  <c r="S44" i="169" s="1"/>
  <c r="B316" i="171" s="1"/>
  <c r="S45" i="169" a="1"/>
  <c r="S45" i="169" s="1"/>
  <c r="B317" i="171" s="1"/>
  <c r="S46" i="169" a="1"/>
  <c r="S46" i="169" s="1"/>
  <c r="B318" i="171" s="1"/>
  <c r="S47" i="169" a="1"/>
  <c r="S47" i="169" s="1"/>
  <c r="B319" i="171" s="1"/>
  <c r="S48" i="169" a="1"/>
  <c r="S48" i="169" s="1"/>
  <c r="B320" i="171" s="1"/>
  <c r="S49" i="169" a="1"/>
  <c r="S49" i="169" s="1"/>
  <c r="B321" i="171" s="1"/>
  <c r="S50" i="169" a="1"/>
  <c r="S50" i="169" s="1"/>
  <c r="B322" i="171" s="1"/>
  <c r="S51" i="169" a="1"/>
  <c r="S51" i="169" s="1"/>
  <c r="B323" i="171" s="1"/>
  <c r="S52" i="169" a="1"/>
  <c r="S52" i="169" s="1"/>
  <c r="B324" i="171" s="1"/>
  <c r="S54" i="169" a="1"/>
  <c r="S54" i="169" s="1"/>
  <c r="B326" i="171" s="1"/>
  <c r="S55" i="169" a="1"/>
  <c r="S55" i="169" s="1"/>
  <c r="B327" i="171" s="1"/>
  <c r="S56" i="169" a="1"/>
  <c r="S56" i="169" s="1"/>
  <c r="B328" i="171" s="1"/>
  <c r="S62" i="169" a="1"/>
  <c r="S62" i="169" s="1"/>
  <c r="B334" i="171" s="1"/>
  <c r="S63" i="169" a="1"/>
  <c r="S63" i="169" s="1"/>
  <c r="B335" i="171" s="1"/>
  <c r="S64" i="169" a="1"/>
  <c r="S64" i="169" s="1"/>
  <c r="B336" i="171" s="1"/>
  <c r="S66" i="169" a="1"/>
  <c r="S66" i="169" s="1"/>
  <c r="B338" i="171" s="1"/>
  <c r="S67" i="169" a="1"/>
  <c r="S67" i="169" s="1"/>
  <c r="B339" i="171" s="1"/>
  <c r="S68" i="169" a="1"/>
  <c r="S68" i="169" s="1"/>
  <c r="B340" i="171" s="1"/>
  <c r="S69" i="169" a="1"/>
  <c r="S69" i="169" s="1"/>
  <c r="B341" i="171" s="1"/>
  <c r="S70" i="169" a="1"/>
  <c r="S70" i="169" s="1"/>
  <c r="B342" i="171" s="1"/>
  <c r="S71" i="169" a="1"/>
  <c r="S71" i="169" s="1"/>
  <c r="B343" i="171" s="1"/>
  <c r="S72" i="169" a="1"/>
  <c r="S72" i="169" s="1"/>
  <c r="B344" i="171" s="1"/>
  <c r="S73" i="169" a="1"/>
  <c r="S73" i="169" s="1"/>
  <c r="B345" i="171" s="1"/>
  <c r="S74" i="169" a="1"/>
  <c r="S74" i="169" s="1"/>
  <c r="B346" i="171" s="1"/>
  <c r="S75" i="169" a="1"/>
  <c r="S75" i="169" s="1"/>
  <c r="B347" i="171" s="1"/>
  <c r="S76" i="169" a="1"/>
  <c r="S76" i="169" s="1"/>
  <c r="B348" i="171" s="1"/>
  <c r="S78" i="169" a="1"/>
  <c r="S78" i="169" s="1"/>
  <c r="B350" i="171" s="1"/>
  <c r="S79" i="169" a="1"/>
  <c r="S79" i="169" s="1"/>
  <c r="B351" i="171" s="1"/>
  <c r="S80" i="169" a="1"/>
  <c r="S80" i="169" s="1"/>
  <c r="B352" i="171" s="1"/>
  <c r="S81" i="169" a="1"/>
  <c r="S81" i="169" s="1"/>
  <c r="B353" i="171" s="1"/>
  <c r="S82" i="169" a="1"/>
  <c r="S82" i="169" s="1"/>
  <c r="B354" i="171" s="1"/>
  <c r="S83" i="169" a="1"/>
  <c r="S83" i="169" s="1"/>
  <c r="B355" i="171" s="1"/>
  <c r="S84" i="169" a="1"/>
  <c r="S84" i="169" s="1"/>
  <c r="B356" i="171" s="1"/>
  <c r="S85" i="169" a="1"/>
  <c r="S85" i="169" s="1"/>
  <c r="B357" i="171" s="1"/>
  <c r="S86" i="169" a="1"/>
  <c r="S86" i="169" s="1"/>
  <c r="B358" i="171" s="1"/>
  <c r="S87" i="169" a="1"/>
  <c r="S87" i="169" s="1"/>
  <c r="B359" i="171" s="1"/>
  <c r="S88" i="169" a="1"/>
  <c r="S88" i="169" s="1"/>
  <c r="B360" i="171" s="1"/>
  <c r="S90" i="169" a="1"/>
  <c r="S90" i="169" s="1"/>
  <c r="B362" i="171" s="1"/>
  <c r="S91" i="169" a="1"/>
  <c r="S91" i="169" s="1"/>
  <c r="B363" i="171" s="1"/>
  <c r="S92" i="169" a="1"/>
  <c r="S92" i="169" s="1"/>
  <c r="B364" i="171" s="1"/>
  <c r="S93" i="169" a="1"/>
  <c r="S93" i="169" s="1"/>
  <c r="B365" i="171" s="1"/>
  <c r="S94" i="169" a="1"/>
  <c r="S94" i="169" s="1"/>
  <c r="B366" i="171" s="1"/>
  <c r="S95" i="169" a="1"/>
  <c r="S95" i="169" s="1"/>
  <c r="B367" i="171" s="1"/>
  <c r="S96" i="169" a="1"/>
  <c r="S96" i="169" s="1"/>
  <c r="B368" i="171" s="1"/>
  <c r="S97" i="169" a="1"/>
  <c r="S97" i="169" s="1"/>
  <c r="B369" i="171" s="1"/>
  <c r="S98" i="169" a="1"/>
  <c r="S98" i="169" s="1"/>
  <c r="B370" i="171" s="1"/>
  <c r="S99" i="169" a="1"/>
  <c r="S99" i="169" s="1"/>
  <c r="B371" i="171" s="1"/>
  <c r="S100" i="169" a="1"/>
  <c r="S100" i="169" s="1"/>
  <c r="B372" i="171" s="1"/>
  <c r="S102" i="169" a="1"/>
  <c r="S102" i="169" s="1"/>
  <c r="B374" i="171" s="1"/>
  <c r="S103" i="169" a="1"/>
  <c r="S103" i="169" s="1"/>
  <c r="B375" i="171" s="1"/>
  <c r="S104" i="169" a="1"/>
  <c r="S104" i="169" s="1"/>
  <c r="B376" i="171" s="1"/>
  <c r="S105" i="169" a="1"/>
  <c r="S105" i="169" s="1"/>
  <c r="B377" i="171" s="1"/>
  <c r="S106" i="169" a="1"/>
  <c r="S106" i="169" s="1"/>
  <c r="B378" i="171" s="1"/>
  <c r="S107" i="169" a="1"/>
  <c r="S107" i="169" s="1"/>
  <c r="B379" i="171" s="1"/>
  <c r="S108" i="169" a="1"/>
  <c r="S108" i="169" s="1"/>
  <c r="B380" i="171" s="1"/>
  <c r="S109" i="169" a="1"/>
  <c r="S109" i="169" s="1"/>
  <c r="B381" i="171" s="1"/>
  <c r="S110" i="169" a="1"/>
  <c r="S110" i="169" s="1"/>
  <c r="B382" i="171" s="1"/>
  <c r="S111" i="169" a="1"/>
  <c r="S111" i="169" s="1"/>
  <c r="B383" i="171" s="1"/>
  <c r="S112" i="169" a="1"/>
  <c r="S112" i="169" s="1"/>
  <c r="B384" i="171" s="1"/>
  <c r="S114" i="169" a="1"/>
  <c r="S114" i="169" s="1"/>
  <c r="B386" i="171" s="1"/>
  <c r="S115" i="169" a="1"/>
  <c r="S115" i="169" s="1"/>
  <c r="B387"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B373" i="171" s="1"/>
  <c r="L29" i="169"/>
  <c r="M29" i="169"/>
  <c r="N29" i="169"/>
  <c r="I30" i="169"/>
  <c r="J30" i="169"/>
  <c r="K30" i="169"/>
  <c r="L30" i="169"/>
  <c r="M30" i="169"/>
  <c r="N30" i="169"/>
  <c r="I31" i="169"/>
  <c r="J31" i="169"/>
  <c r="K31" i="169"/>
  <c r="S113" i="169" s="1" a="1"/>
  <c r="S113" i="169" s="1"/>
  <c r="B385" i="171" s="1"/>
  <c r="L31" i="169"/>
  <c r="M31" i="169"/>
  <c r="N31" i="169"/>
  <c r="I32" i="169"/>
  <c r="J32" i="169"/>
  <c r="K32" i="169"/>
  <c r="S119" i="169" s="1" a="1"/>
  <c r="S119" i="169" s="1"/>
  <c r="B391" i="171" s="1"/>
  <c r="L32" i="169"/>
  <c r="M32" i="169"/>
  <c r="N32" i="169"/>
  <c r="I33" i="169"/>
  <c r="J33" i="169"/>
  <c r="K33" i="169"/>
  <c r="S125" i="169" s="1" a="1"/>
  <c r="S125" i="169" s="1"/>
  <c r="B397"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B325" i="171" s="1"/>
  <c r="L21" i="169"/>
  <c r="M21" i="169"/>
  <c r="N21" i="169"/>
  <c r="I22" i="169"/>
  <c r="S57" i="169" s="1" a="1"/>
  <c r="S57" i="169" s="1"/>
  <c r="B329" i="171" s="1"/>
  <c r="J22" i="169"/>
  <c r="S58" i="169" s="1" a="1"/>
  <c r="S58" i="169" s="1"/>
  <c r="B330" i="171" s="1"/>
  <c r="K22" i="169"/>
  <c r="S59" i="169" s="1" a="1"/>
  <c r="S59" i="169" s="1"/>
  <c r="B331" i="171" s="1"/>
  <c r="L22" i="169"/>
  <c r="S60" i="169" s="1" a="1"/>
  <c r="S60" i="169" s="1"/>
  <c r="B332" i="171" s="1"/>
  <c r="M22" i="169"/>
  <c r="S61" i="169" s="1" a="1"/>
  <c r="S61" i="169" s="1"/>
  <c r="B333" i="171" s="1"/>
  <c r="N22" i="169"/>
  <c r="I23" i="169"/>
  <c r="J23" i="169"/>
  <c r="K23" i="169"/>
  <c r="S65" i="169" s="1" a="1"/>
  <c r="S65" i="169" s="1"/>
  <c r="B337" i="171" s="1"/>
  <c r="L23" i="169"/>
  <c r="M23" i="169"/>
  <c r="N23" i="169"/>
  <c r="I24" i="169"/>
  <c r="J24" i="169"/>
  <c r="K24" i="169"/>
  <c r="L24" i="169"/>
  <c r="M24" i="169"/>
  <c r="N24" i="169"/>
  <c r="I25" i="169"/>
  <c r="J25" i="169"/>
  <c r="K25" i="169"/>
  <c r="S77" i="169" s="1" a="1"/>
  <c r="S77" i="169" s="1"/>
  <c r="B349" i="171" s="1"/>
  <c r="L25" i="169"/>
  <c r="M25" i="169"/>
  <c r="N25" i="169"/>
  <c r="I26" i="169"/>
  <c r="J26" i="169"/>
  <c r="K26" i="169"/>
  <c r="L26" i="169"/>
  <c r="M26" i="169"/>
  <c r="N26" i="169"/>
  <c r="I27" i="169"/>
  <c r="J27" i="169"/>
  <c r="K27" i="169"/>
  <c r="S89" i="169" s="1" a="1"/>
  <c r="S89" i="169" s="1"/>
  <c r="B361" i="171" s="1"/>
  <c r="L27" i="169"/>
  <c r="M27" i="169"/>
  <c r="N27" i="169"/>
  <c r="I16" i="169"/>
  <c r="J16" i="169"/>
  <c r="K16" i="169"/>
  <c r="L16" i="169"/>
  <c r="M16" i="169"/>
  <c r="N16" i="169"/>
  <c r="Q120" i="168"/>
  <c r="R120" i="168"/>
  <c r="S120" i="168" a="1"/>
  <c r="S120" i="168" s="1"/>
  <c r="B274" i="171" s="1"/>
  <c r="Q121" i="168"/>
  <c r="R121" i="168"/>
  <c r="S121" i="168" a="1"/>
  <c r="S121" i="168" s="1"/>
  <c r="B275" i="171" s="1"/>
  <c r="Q122" i="168"/>
  <c r="R122" i="168"/>
  <c r="S122" i="168" a="1"/>
  <c r="S122" i="168" s="1"/>
  <c r="B276" i="171" s="1"/>
  <c r="Q123" i="168"/>
  <c r="R123" i="168"/>
  <c r="S123" i="168" a="1"/>
  <c r="S123" i="168" s="1"/>
  <c r="B277" i="171" s="1"/>
  <c r="Q124" i="168"/>
  <c r="R124" i="168"/>
  <c r="S124" i="168" a="1"/>
  <c r="S124" i="168" s="1"/>
  <c r="B278" i="171" s="1"/>
  <c r="Q125" i="168"/>
  <c r="R125" i="168"/>
  <c r="S125" i="168" a="1"/>
  <c r="S125" i="168"/>
  <c r="B279" i="171" s="1"/>
  <c r="Q126" i="168"/>
  <c r="R126" i="168"/>
  <c r="S126" i="168" a="1"/>
  <c r="S126" i="168" s="1"/>
  <c r="B280" i="171"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52" i="171" s="1"/>
  <c r="Q99" i="168"/>
  <c r="S99" i="168" s="1" a="1"/>
  <c r="S99" i="168" s="1"/>
  <c r="B253" i="171" s="1"/>
  <c r="R99" i="168"/>
  <c r="Q100" i="168"/>
  <c r="S100" i="168" s="1" a="1"/>
  <c r="S100" i="168" s="1"/>
  <c r="B254" i="171" s="1"/>
  <c r="R100" i="168"/>
  <c r="Q101" i="168"/>
  <c r="R101" i="168"/>
  <c r="Q102" i="168"/>
  <c r="S102" i="168" s="1" a="1"/>
  <c r="S102" i="168" s="1"/>
  <c r="B256" i="171" s="1"/>
  <c r="R102" i="168"/>
  <c r="Q103" i="168"/>
  <c r="S103" i="168" s="1" a="1"/>
  <c r="S103" i="168" s="1"/>
  <c r="B257" i="171" s="1"/>
  <c r="R103" i="168"/>
  <c r="Q104" i="168"/>
  <c r="S104" i="168" s="1" a="1"/>
  <c r="S104" i="168" s="1"/>
  <c r="B258" i="171" s="1"/>
  <c r="R104" i="168"/>
  <c r="Q105" i="168"/>
  <c r="S105" i="168" s="1" a="1"/>
  <c r="S105" i="168" s="1"/>
  <c r="B259" i="171" s="1"/>
  <c r="R105" i="168"/>
  <c r="Q106" i="168"/>
  <c r="S106" i="168" s="1" a="1"/>
  <c r="S106" i="168" s="1"/>
  <c r="B260" i="171" s="1"/>
  <c r="R106" i="168"/>
  <c r="Q107" i="168"/>
  <c r="R107" i="168"/>
  <c r="Q108" i="168"/>
  <c r="S108" i="168" s="1" a="1"/>
  <c r="S108" i="168" s="1"/>
  <c r="B262" i="171" s="1"/>
  <c r="R108" i="168"/>
  <c r="Q109" i="168"/>
  <c r="S109" i="168" s="1" a="1"/>
  <c r="S109" i="168" s="1"/>
  <c r="B263" i="171" s="1"/>
  <c r="R109" i="168"/>
  <c r="Q110" i="168"/>
  <c r="S110" i="168" s="1" a="1"/>
  <c r="S110" i="168" s="1"/>
  <c r="B264" i="171" s="1"/>
  <c r="R110" i="168"/>
  <c r="Q111" i="168"/>
  <c r="S111" i="168" s="1" a="1"/>
  <c r="S111" i="168" s="1"/>
  <c r="B265" i="171" s="1"/>
  <c r="R111" i="168"/>
  <c r="Q112" i="168"/>
  <c r="S112" i="168" s="1" a="1"/>
  <c r="S112" i="168" s="1"/>
  <c r="B266" i="171" s="1"/>
  <c r="R112" i="168"/>
  <c r="Q113" i="168"/>
  <c r="R113" i="168"/>
  <c r="Q114" i="168"/>
  <c r="S114" i="168" s="1" a="1"/>
  <c r="S114" i="168" s="1"/>
  <c r="B268" i="171" s="1"/>
  <c r="R114" i="168"/>
  <c r="Q115" i="168"/>
  <c r="S115" i="168" s="1" a="1"/>
  <c r="S115" i="168" s="1"/>
  <c r="B269" i="171" s="1"/>
  <c r="R115" i="168"/>
  <c r="Q116" i="168"/>
  <c r="S116" i="168" s="1" a="1"/>
  <c r="S116" i="168" s="1"/>
  <c r="B270" i="171" s="1"/>
  <c r="R116" i="168"/>
  <c r="Q117" i="168"/>
  <c r="S117" i="168" s="1" a="1"/>
  <c r="S117" i="168" s="1"/>
  <c r="B271" i="171" s="1"/>
  <c r="R117" i="168"/>
  <c r="Q118" i="168"/>
  <c r="S118" i="168" s="1" a="1"/>
  <c r="S118" i="168" s="1"/>
  <c r="B272" i="171" s="1"/>
  <c r="R118" i="168"/>
  <c r="Q119" i="168"/>
  <c r="R119" i="168"/>
  <c r="Q85" i="168"/>
  <c r="S85" i="168" s="1" a="1"/>
  <c r="S85" i="168" s="1"/>
  <c r="B239" i="171" s="1"/>
  <c r="R85" i="168"/>
  <c r="Q86" i="168"/>
  <c r="R86" i="168"/>
  <c r="S86" i="168" s="1" a="1"/>
  <c r="S86" i="168" s="1"/>
  <c r="B240" i="171" s="1"/>
  <c r="Q87" i="168"/>
  <c r="S87" i="168" s="1" a="1"/>
  <c r="S87" i="168" s="1"/>
  <c r="B241" i="171" s="1"/>
  <c r="R87" i="168"/>
  <c r="Q88" i="168"/>
  <c r="R88" i="168"/>
  <c r="S88" i="168" s="1" a="1"/>
  <c r="S88" i="168" s="1"/>
  <c r="B242" i="171" s="1"/>
  <c r="Q89" i="168"/>
  <c r="R89" i="168"/>
  <c r="Q90" i="168"/>
  <c r="R90" i="168"/>
  <c r="S90" i="168" s="1" a="1"/>
  <c r="S90" i="168" s="1"/>
  <c r="B244" i="171" s="1"/>
  <c r="Q91" i="168"/>
  <c r="S91" i="168" s="1" a="1"/>
  <c r="S91" i="168" s="1"/>
  <c r="B245" i="171" s="1"/>
  <c r="R91" i="168"/>
  <c r="Q92" i="168"/>
  <c r="R92" i="168"/>
  <c r="S92" i="168" s="1" a="1"/>
  <c r="S92" i="168" s="1"/>
  <c r="B246" i="171" s="1"/>
  <c r="Q93" i="168"/>
  <c r="S93" i="168" s="1" a="1"/>
  <c r="S93" i="168" s="1"/>
  <c r="B247" i="171" s="1"/>
  <c r="R93" i="168"/>
  <c r="Q94" i="168"/>
  <c r="R94" i="168"/>
  <c r="S94" i="168" s="1" a="1"/>
  <c r="S94" i="168" s="1"/>
  <c r="B248" i="171" s="1"/>
  <c r="Q95" i="168"/>
  <c r="R95" i="168"/>
  <c r="Q96" i="168"/>
  <c r="R96" i="168"/>
  <c r="S96" i="168" s="1" a="1"/>
  <c r="S96" i="168" s="1"/>
  <c r="B250" i="171" s="1"/>
  <c r="Q97" i="168"/>
  <c r="S97" i="168" s="1" a="1"/>
  <c r="S97" i="168" s="1"/>
  <c r="B251" i="171" s="1"/>
  <c r="R97" i="168"/>
  <c r="Q69" i="168"/>
  <c r="S69" i="168" s="1" a="1"/>
  <c r="S69" i="168" s="1"/>
  <c r="B223" i="171" s="1"/>
  <c r="R69" i="168"/>
  <c r="Q70" i="168"/>
  <c r="R70" i="168"/>
  <c r="S70" i="168" s="1" a="1"/>
  <c r="S70" i="168" s="1"/>
  <c r="B224" i="171" s="1"/>
  <c r="Q71" i="168"/>
  <c r="S71" i="168" s="1" a="1"/>
  <c r="S71" i="168" s="1"/>
  <c r="B225" i="171" s="1"/>
  <c r="R71" i="168"/>
  <c r="Q72" i="168"/>
  <c r="R72" i="168"/>
  <c r="S72" i="168" s="1" a="1"/>
  <c r="S72" i="168" s="1"/>
  <c r="B226" i="171" s="1"/>
  <c r="Q73" i="168"/>
  <c r="S73" i="168" s="1" a="1"/>
  <c r="S73" i="168" s="1"/>
  <c r="B227" i="171" s="1"/>
  <c r="R73" i="168"/>
  <c r="Q74" i="168"/>
  <c r="R74" i="168"/>
  <c r="S74" i="168" s="1" a="1"/>
  <c r="S74" i="168" s="1"/>
  <c r="B228" i="171" s="1"/>
  <c r="Q75" i="168"/>
  <c r="S75" i="168" s="1" a="1"/>
  <c r="S75" i="168" s="1"/>
  <c r="B229" i="171" s="1"/>
  <c r="R75" i="168"/>
  <c r="Q76" i="168"/>
  <c r="R76" i="168"/>
  <c r="S76" i="168" s="1" a="1"/>
  <c r="S76" i="168" s="1"/>
  <c r="B230" i="171" s="1"/>
  <c r="Q77" i="168"/>
  <c r="R77" i="168"/>
  <c r="Q78" i="168"/>
  <c r="S78" i="168" s="1" a="1"/>
  <c r="S78" i="168" s="1"/>
  <c r="B232" i="171" s="1"/>
  <c r="R78" i="168"/>
  <c r="Q79" i="168"/>
  <c r="S79" i="168" s="1" a="1"/>
  <c r="S79" i="168" s="1"/>
  <c r="B233" i="171" s="1"/>
  <c r="R79" i="168"/>
  <c r="Q80" i="168"/>
  <c r="S80" i="168" s="1" a="1"/>
  <c r="S80" i="168" s="1"/>
  <c r="B234" i="171" s="1"/>
  <c r="R80" i="168"/>
  <c r="Q81" i="168"/>
  <c r="S81" i="168" s="1" a="1"/>
  <c r="S81" i="168" s="1"/>
  <c r="B235" i="171" s="1"/>
  <c r="R81" i="168"/>
  <c r="Q82" i="168"/>
  <c r="S82" i="168" s="1" a="1"/>
  <c r="S82" i="168" s="1"/>
  <c r="B236" i="171" s="1"/>
  <c r="R82" i="168"/>
  <c r="Q83" i="168"/>
  <c r="S83" i="168" s="1" a="1"/>
  <c r="S83" i="168" s="1"/>
  <c r="B237" i="171" s="1"/>
  <c r="R83" i="168"/>
  <c r="Q84" i="168"/>
  <c r="S84" i="168" s="1" a="1"/>
  <c r="S84" i="168" s="1"/>
  <c r="B238" i="171" s="1"/>
  <c r="R84" i="168"/>
  <c r="Q53" i="168"/>
  <c r="R53" i="168"/>
  <c r="Q54" i="168"/>
  <c r="R54" i="168"/>
  <c r="S54" i="168" a="1"/>
  <c r="S54" i="168" s="1"/>
  <c r="B208" i="171" s="1"/>
  <c r="Q55" i="168"/>
  <c r="R55" i="168"/>
  <c r="S55" i="168" a="1"/>
  <c r="S55" i="168" s="1"/>
  <c r="B209" i="171" s="1"/>
  <c r="Q56" i="168"/>
  <c r="R56" i="168"/>
  <c r="S56" i="168" a="1"/>
  <c r="S56" i="168" s="1"/>
  <c r="B210" i="171" s="1"/>
  <c r="Q57" i="168"/>
  <c r="R57" i="168"/>
  <c r="S57" i="168" a="1"/>
  <c r="S57" i="168" s="1"/>
  <c r="B211" i="171" s="1"/>
  <c r="Q58" i="168"/>
  <c r="R58" i="168"/>
  <c r="S58" i="168" a="1"/>
  <c r="S58" i="168" s="1"/>
  <c r="B212" i="171" s="1"/>
  <c r="Q59" i="168"/>
  <c r="R59" i="168"/>
  <c r="S59" i="168" a="1"/>
  <c r="S59" i="168" s="1"/>
  <c r="B213" i="171" s="1"/>
  <c r="Q60" i="168"/>
  <c r="R60" i="168"/>
  <c r="S60" i="168" a="1"/>
  <c r="S60" i="168" s="1"/>
  <c r="B214" i="171" s="1"/>
  <c r="Q61" i="168"/>
  <c r="R61" i="168"/>
  <c r="S61" i="168" a="1"/>
  <c r="S61" i="168" s="1"/>
  <c r="B215" i="171" s="1"/>
  <c r="Q62" i="168"/>
  <c r="R62" i="168"/>
  <c r="S62" i="168" a="1"/>
  <c r="S62" i="168" s="1"/>
  <c r="B216" i="171" s="1"/>
  <c r="Q63" i="168"/>
  <c r="R63" i="168"/>
  <c r="S63" i="168" a="1"/>
  <c r="S63" i="168" s="1"/>
  <c r="B217" i="171" s="1"/>
  <c r="Q64" i="168"/>
  <c r="R64" i="168"/>
  <c r="S64" i="168" a="1"/>
  <c r="S64" i="168" s="1"/>
  <c r="B218" i="171" s="1"/>
  <c r="Q65" i="168"/>
  <c r="R65" i="168"/>
  <c r="Q66" i="168"/>
  <c r="R66" i="168"/>
  <c r="S66" i="168" a="1"/>
  <c r="S66" i="168" s="1"/>
  <c r="B220" i="171" s="1"/>
  <c r="Q67" i="168"/>
  <c r="R67" i="168"/>
  <c r="S67" i="168" a="1"/>
  <c r="S67" i="168" s="1"/>
  <c r="B221" i="171" s="1"/>
  <c r="Q68" i="168"/>
  <c r="R68" i="168"/>
  <c r="S68" i="168" a="1"/>
  <c r="S68" i="168" s="1"/>
  <c r="B222" i="171" s="1"/>
  <c r="S16" i="168" a="1"/>
  <c r="S16" i="168" s="1"/>
  <c r="B170" i="171" s="1"/>
  <c r="S17" i="168" a="1"/>
  <c r="S17" i="168" s="1"/>
  <c r="B171" i="171" s="1"/>
  <c r="S18" i="168" a="1"/>
  <c r="S18" i="168" s="1"/>
  <c r="B172" i="171" s="1"/>
  <c r="S19" i="168" a="1"/>
  <c r="S19" i="168" s="1"/>
  <c r="B173" i="171" s="1"/>
  <c r="S20" i="168" a="1"/>
  <c r="S20" i="168" s="1"/>
  <c r="B174" i="171" s="1"/>
  <c r="S21" i="168" a="1"/>
  <c r="S21" i="168" s="1"/>
  <c r="B175" i="171" s="1"/>
  <c r="S22" i="168" a="1"/>
  <c r="S22" i="168" s="1"/>
  <c r="B176" i="171" s="1"/>
  <c r="S23" i="168" a="1"/>
  <c r="S23" i="168" s="1"/>
  <c r="B177" i="171" s="1"/>
  <c r="S24" i="168" a="1"/>
  <c r="S24" i="168" s="1"/>
  <c r="B178" i="171" s="1"/>
  <c r="S25" i="168" a="1"/>
  <c r="S25" i="168" s="1"/>
  <c r="B179" i="171" s="1"/>
  <c r="S26" i="168" a="1"/>
  <c r="S26" i="168" s="1"/>
  <c r="B180" i="171" s="1"/>
  <c r="S27" i="168" a="1"/>
  <c r="S27" i="168" s="1"/>
  <c r="B181" i="171" s="1"/>
  <c r="S28" i="168" a="1"/>
  <c r="S28" i="168" s="1"/>
  <c r="B182" i="171" s="1"/>
  <c r="S29" i="168" a="1"/>
  <c r="S29" i="168" s="1"/>
  <c r="B183" i="171" s="1"/>
  <c r="S30" i="168" a="1"/>
  <c r="S30" i="168" s="1"/>
  <c r="B184" i="171" s="1"/>
  <c r="S31" i="168" a="1"/>
  <c r="S31" i="168" s="1"/>
  <c r="B185" i="171" s="1"/>
  <c r="S32" i="168" a="1"/>
  <c r="S32" i="168" s="1"/>
  <c r="B186" i="171" s="1"/>
  <c r="S33" i="168" a="1"/>
  <c r="S33" i="168" s="1"/>
  <c r="B187" i="171" s="1"/>
  <c r="S34" i="168" a="1"/>
  <c r="S34" i="168" s="1"/>
  <c r="B188" i="171" s="1"/>
  <c r="S36" i="168" a="1"/>
  <c r="S36" i="168" s="1"/>
  <c r="B190" i="171" s="1"/>
  <c r="S37" i="168" a="1"/>
  <c r="S37" i="168" s="1"/>
  <c r="B191" i="171" s="1"/>
  <c r="S38" i="168" a="1"/>
  <c r="S38" i="168" s="1"/>
  <c r="B192" i="171" s="1"/>
  <c r="S39" i="168" a="1"/>
  <c r="S39" i="168" s="1"/>
  <c r="B193" i="171" s="1"/>
  <c r="S40" i="168" a="1"/>
  <c r="S40" i="168" s="1"/>
  <c r="B194" i="171" s="1"/>
  <c r="S41" i="168" a="1"/>
  <c r="S41" i="168" s="1"/>
  <c r="B195" i="171" s="1"/>
  <c r="S42" i="168" a="1"/>
  <c r="S42" i="168" s="1"/>
  <c r="B196" i="171" s="1"/>
  <c r="S43" i="168" a="1"/>
  <c r="S43" i="168" s="1"/>
  <c r="B197" i="171" s="1"/>
  <c r="S44" i="168" a="1"/>
  <c r="S44" i="168" s="1"/>
  <c r="B198" i="171" s="1"/>
  <c r="S45" i="168" a="1"/>
  <c r="S45" i="168" s="1"/>
  <c r="B199" i="171" s="1"/>
  <c r="S46" i="168" a="1"/>
  <c r="S46" i="168" s="1"/>
  <c r="B200" i="171" s="1"/>
  <c r="S48" i="168" a="1"/>
  <c r="S48" i="168" s="1"/>
  <c r="B202" i="171" s="1"/>
  <c r="S49" i="168" a="1"/>
  <c r="S49" i="168" s="1"/>
  <c r="B203" i="171" s="1"/>
  <c r="S50" i="168" a="1"/>
  <c r="S50" i="168" s="1"/>
  <c r="B204" i="171" s="1"/>
  <c r="S51" i="168" a="1"/>
  <c r="S51" i="168" s="1"/>
  <c r="B205" i="171" s="1"/>
  <c r="S52" i="168" a="1"/>
  <c r="S52" i="168" s="1"/>
  <c r="B206" i="171" s="1"/>
  <c r="I20" i="168"/>
  <c r="J20" i="168"/>
  <c r="K20" i="168"/>
  <c r="S47" i="168" s="1" a="1"/>
  <c r="S47" i="168" s="1"/>
  <c r="B201" i="171" s="1"/>
  <c r="L20" i="168"/>
  <c r="M20" i="168"/>
  <c r="N20" i="168"/>
  <c r="I21" i="168"/>
  <c r="J21" i="168"/>
  <c r="K21" i="168"/>
  <c r="S53" i="168" s="1" a="1"/>
  <c r="S53" i="168" s="1"/>
  <c r="B207" i="171" s="1"/>
  <c r="L21" i="168"/>
  <c r="M21" i="168"/>
  <c r="N21" i="168"/>
  <c r="I22" i="168"/>
  <c r="J22" i="168"/>
  <c r="K22" i="168"/>
  <c r="L22" i="168"/>
  <c r="M22" i="168"/>
  <c r="N22" i="168"/>
  <c r="I23" i="168"/>
  <c r="J23" i="168"/>
  <c r="K23" i="168"/>
  <c r="S65" i="168" s="1" a="1"/>
  <c r="S65" i="168" s="1"/>
  <c r="B219"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189"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84"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85"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69" i="171" s="1"/>
  <c r="I32" i="137"/>
  <c r="J32" i="137"/>
  <c r="K32" i="137"/>
  <c r="L32" i="137"/>
  <c r="M32" i="137"/>
  <c r="N32" i="137"/>
  <c r="C32" i="137"/>
  <c r="B32" i="137"/>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15" i="162"/>
  <c r="Q15" i="162"/>
  <c r="N15" i="162"/>
  <c r="M15" i="162"/>
  <c r="L15" i="162"/>
  <c r="K15" i="162"/>
  <c r="J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7" i="140"/>
  <c r="K18" i="140"/>
  <c r="K19" i="140"/>
  <c r="K20" i="140"/>
  <c r="K21" i="140"/>
  <c r="K22" i="140"/>
  <c r="K23" i="140"/>
  <c r="K24" i="140"/>
  <c r="K25" i="140"/>
  <c r="K26" i="140"/>
  <c r="K27" i="140"/>
  <c r="K28" i="140"/>
  <c r="K29" i="140"/>
  <c r="K30" i="140"/>
  <c r="K31" i="140"/>
  <c r="K32" i="140"/>
  <c r="K15" i="140"/>
  <c r="K16" i="137"/>
  <c r="K17" i="137"/>
  <c r="K18" i="137"/>
  <c r="K19" i="137"/>
  <c r="K20" i="137"/>
  <c r="K21" i="137"/>
  <c r="K22" i="137"/>
  <c r="K23" i="137"/>
  <c r="K24" i="137"/>
  <c r="K25" i="137"/>
  <c r="K26" i="137"/>
  <c r="K27" i="137"/>
  <c r="K28" i="137"/>
  <c r="K29" i="137"/>
  <c r="K30" i="137"/>
  <c r="K31"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Q16" i="146"/>
  <c r="S16" i="146" s="1" a="1"/>
  <c r="S16" i="146" s="1"/>
  <c r="B21" i="147" s="1"/>
  <c r="R16" i="146"/>
  <c r="Q17" i="146"/>
  <c r="S17" i="146" s="1" a="1"/>
  <c r="S17" i="146" s="1"/>
  <c r="B22" i="147" s="1"/>
  <c r="R17" i="146"/>
  <c r="Q18" i="146"/>
  <c r="S18" i="146" s="1" a="1"/>
  <c r="S18" i="146" s="1"/>
  <c r="B23" i="147"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R23" i="146"/>
  <c r="Q24" i="146"/>
  <c r="S24" i="146" s="1" a="1"/>
  <c r="S24" i="146" s="1"/>
  <c r="B29" i="147" s="1"/>
  <c r="R24" i="146"/>
  <c r="Q25" i="146"/>
  <c r="S25" i="146" s="1" a="1"/>
  <c r="S25" i="146" s="1"/>
  <c r="B30" i="147" s="1"/>
  <c r="R25" i="146"/>
  <c r="Q26" i="146"/>
  <c r="S26" i="146" s="1" a="1"/>
  <c r="S26" i="146" s="1"/>
  <c r="B31" i="147" s="1"/>
  <c r="R26" i="146"/>
  <c r="Q27" i="146"/>
  <c r="S27" i="146" s="1" a="1"/>
  <c r="S27" i="146" s="1"/>
  <c r="B32" i="147" s="1"/>
  <c r="R27" i="146"/>
  <c r="Q28" i="146"/>
  <c r="S28" i="146" s="1" a="1"/>
  <c r="S28" i="146" s="1"/>
  <c r="B33" i="147" s="1"/>
  <c r="R28" i="146"/>
  <c r="Q29" i="146"/>
  <c r="R29" i="146"/>
  <c r="Q30" i="146"/>
  <c r="S30" i="146" s="1" a="1"/>
  <c r="S30" i="146" s="1"/>
  <c r="B35" i="147" s="1"/>
  <c r="R30" i="146"/>
  <c r="Q31" i="146"/>
  <c r="S31" i="146" s="1" a="1"/>
  <c r="S31" i="146" s="1"/>
  <c r="B36" i="147" s="1"/>
  <c r="R31" i="146"/>
  <c r="Q32" i="146"/>
  <c r="S32" i="146" s="1" a="1"/>
  <c r="S32" i="146" s="1"/>
  <c r="B37" i="147" s="1"/>
  <c r="R32" i="146"/>
  <c r="Q33" i="146"/>
  <c r="S33" i="146" s="1" a="1"/>
  <c r="S33" i="146" s="1"/>
  <c r="B38" i="147" s="1"/>
  <c r="R33" i="146"/>
  <c r="Q34" i="146"/>
  <c r="S34" i="146" s="1" a="1"/>
  <c r="S34" i="146" s="1"/>
  <c r="B39" i="147" s="1"/>
  <c r="R34" i="146"/>
  <c r="Q35" i="146"/>
  <c r="R35" i="146"/>
  <c r="Q36" i="146"/>
  <c r="S36" i="146" s="1" a="1"/>
  <c r="S36" i="146" s="1"/>
  <c r="B41" i="147" s="1"/>
  <c r="R36" i="146"/>
  <c r="Q37" i="146"/>
  <c r="S37" i="146" s="1" a="1"/>
  <c r="S37" i="146" s="1"/>
  <c r="B42" i="147" s="1"/>
  <c r="R37" i="146"/>
  <c r="Q38" i="146"/>
  <c r="S38" i="146" s="1" a="1"/>
  <c r="S38" i="146" s="1"/>
  <c r="B43" i="147" s="1"/>
  <c r="R38" i="146"/>
  <c r="Q39" i="146"/>
  <c r="S39" i="146" s="1" a="1"/>
  <c r="S39" i="146" s="1"/>
  <c r="B44" i="147" s="1"/>
  <c r="R39" i="146"/>
  <c r="Q40" i="146"/>
  <c r="S40" i="146" s="1" a="1"/>
  <c r="S40" i="146" s="1"/>
  <c r="B45" i="147" s="1"/>
  <c r="R40" i="146"/>
  <c r="Q41" i="146"/>
  <c r="S41" i="146" s="1" a="1"/>
  <c r="S41" i="146" s="1"/>
  <c r="B46" i="147" s="1"/>
  <c r="R41" i="146"/>
  <c r="Q42" i="146"/>
  <c r="S42" i="146" s="1" a="1"/>
  <c r="S42" i="146" s="1"/>
  <c r="B47" i="147" s="1"/>
  <c r="R42" i="146"/>
  <c r="Q43" i="146"/>
  <c r="S43" i="146" s="1" a="1"/>
  <c r="S43" i="146" s="1"/>
  <c r="B48" i="147" s="1"/>
  <c r="R43" i="146"/>
  <c r="Q44" i="146"/>
  <c r="S44" i="146" s="1" a="1"/>
  <c r="S44" i="146" s="1"/>
  <c r="B49" i="147" s="1"/>
  <c r="R44" i="146"/>
  <c r="Q45" i="146"/>
  <c r="S45" i="146" s="1" a="1"/>
  <c r="S45" i="146" s="1"/>
  <c r="B50" i="147" s="1"/>
  <c r="R45" i="146"/>
  <c r="Q46" i="146"/>
  <c r="S46" i="146" s="1" a="1"/>
  <c r="S46" i="146" s="1"/>
  <c r="B51" i="147" s="1"/>
  <c r="R46" i="146"/>
  <c r="Q47" i="146"/>
  <c r="S47" i="146" s="1" a="1"/>
  <c r="S47" i="146" s="1"/>
  <c r="B52" i="147" s="1"/>
  <c r="R47" i="146"/>
  <c r="Q48" i="146"/>
  <c r="S48" i="146" s="1" a="1"/>
  <c r="S48" i="146" s="1"/>
  <c r="B53" i="147" s="1"/>
  <c r="R48" i="146"/>
  <c r="Q49" i="146"/>
  <c r="S49" i="146" s="1" a="1"/>
  <c r="S49" i="146" s="1"/>
  <c r="B54" i="147" s="1"/>
  <c r="R49" i="146"/>
  <c r="Q50" i="146"/>
  <c r="S50" i="146" s="1" a="1"/>
  <c r="S50" i="146" s="1"/>
  <c r="B55" i="147" s="1"/>
  <c r="R50" i="146"/>
  <c r="Q51" i="146"/>
  <c r="S51" i="146" s="1" a="1"/>
  <c r="S51" i="146" s="1"/>
  <c r="B56" i="147" s="1"/>
  <c r="R51" i="146"/>
  <c r="Q52" i="146"/>
  <c r="S52" i="146" s="1" a="1"/>
  <c r="S52" i="146" s="1"/>
  <c r="B57" i="147" s="1"/>
  <c r="R52" i="146"/>
  <c r="Q53" i="146"/>
  <c r="S53" i="146" s="1" a="1"/>
  <c r="S53" i="146" s="1"/>
  <c r="B58" i="147" s="1"/>
  <c r="R53" i="146"/>
  <c r="Q54" i="146"/>
  <c r="S54" i="146" s="1" a="1"/>
  <c r="S54" i="146" s="1"/>
  <c r="B59" i="147" s="1"/>
  <c r="R54" i="146"/>
  <c r="Q55" i="146"/>
  <c r="S55" i="146" s="1" a="1"/>
  <c r="S55" i="146" s="1"/>
  <c r="B60" i="147" s="1"/>
  <c r="R55" i="146"/>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57" i="146"/>
  <c r="Q57" i="146"/>
  <c r="R56" i="146"/>
  <c r="Q56"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36" i="138"/>
  <c r="B135" i="138"/>
  <c r="L31" i="140"/>
  <c r="M31" i="140"/>
  <c r="N31" i="140"/>
  <c r="J32" i="140"/>
  <c r="L32" i="140"/>
  <c r="M32" i="140"/>
  <c r="N32" i="140"/>
  <c r="C32" i="140"/>
  <c r="C31" i="140"/>
  <c r="J31" i="140" s="1"/>
  <c r="B32" i="140"/>
  <c r="I32" i="140" s="1"/>
  <c r="B31" i="140"/>
  <c r="I31" i="140" s="1"/>
  <c r="R189" i="140"/>
  <c r="Q189" i="140"/>
  <c r="S189" i="140" s="1" a="1"/>
  <c r="S189" i="140" s="1"/>
  <c r="R188" i="140"/>
  <c r="Q188" i="140"/>
  <c r="S188" i="140" s="1" a="1"/>
  <c r="S188" i="140" s="1"/>
  <c r="R187" i="140"/>
  <c r="Q187" i="140"/>
  <c r="S187" i="140" s="1" a="1"/>
  <c r="S187" i="140" s="1"/>
  <c r="R186" i="140"/>
  <c r="Q186" i="140"/>
  <c r="S186" i="140" s="1" a="1"/>
  <c r="S186" i="140" s="1"/>
  <c r="R185" i="140"/>
  <c r="Q185" i="140"/>
  <c r="R184" i="140"/>
  <c r="Q184" i="140"/>
  <c r="R183" i="140"/>
  <c r="Q183" i="140"/>
  <c r="R182" i="140"/>
  <c r="Q182" i="140"/>
  <c r="R181" i="140"/>
  <c r="Q181" i="140"/>
  <c r="R180" i="140"/>
  <c r="Q180" i="140"/>
  <c r="S180" i="140" s="1" a="1"/>
  <c r="S180" i="140" s="1"/>
  <c r="R179" i="140"/>
  <c r="Q179" i="140"/>
  <c r="S179" i="140" s="1" a="1"/>
  <c r="S179" i="140" s="1"/>
  <c r="R178" i="140"/>
  <c r="Q178" i="140"/>
  <c r="S178" i="140" s="1" a="1"/>
  <c r="S178" i="140" s="1"/>
  <c r="R177" i="140"/>
  <c r="Q177" i="140"/>
  <c r="R176" i="140"/>
  <c r="Q176" i="140"/>
  <c r="S176" i="140" s="1" a="1"/>
  <c r="S176" i="140" s="1"/>
  <c r="R175" i="140"/>
  <c r="Q175" i="140"/>
  <c r="S175" i="140" s="1" a="1"/>
  <c r="S175" i="140" s="1"/>
  <c r="R174" i="140"/>
  <c r="Q174" i="140"/>
  <c r="S174" i="140" s="1" a="1"/>
  <c r="S174" i="140" s="1"/>
  <c r="R173" i="140"/>
  <c r="Q173" i="140"/>
  <c r="R172" i="140"/>
  <c r="Q172" i="140"/>
  <c r="S172" i="140" s="1" a="1"/>
  <c r="S172" i="140" s="1"/>
  <c r="R171" i="140"/>
  <c r="Q171" i="140"/>
  <c r="R170" i="140"/>
  <c r="Q170" i="140"/>
  <c r="R169" i="140"/>
  <c r="Q169" i="140"/>
  <c r="R168" i="140"/>
  <c r="Q168" i="140"/>
  <c r="S168" i="140" s="1" a="1"/>
  <c r="S168" i="140" s="1"/>
  <c r="R167" i="140"/>
  <c r="Q167" i="140"/>
  <c r="R166" i="140"/>
  <c r="Q166" i="140"/>
  <c r="S166" i="140" s="1" a="1"/>
  <c r="S166" i="140" s="1"/>
  <c r="R165" i="140"/>
  <c r="Q165" i="140"/>
  <c r="S165" i="140" s="1" a="1"/>
  <c r="S165" i="140" s="1"/>
  <c r="R164" i="140"/>
  <c r="Q164" i="140"/>
  <c r="R163" i="140"/>
  <c r="Q163" i="140"/>
  <c r="R162" i="140"/>
  <c r="Q162" i="140"/>
  <c r="R161" i="140"/>
  <c r="Q161" i="140"/>
  <c r="R160" i="140"/>
  <c r="Q160" i="140"/>
  <c r="R159" i="140"/>
  <c r="Q159" i="140"/>
  <c r="R158" i="140"/>
  <c r="Q158" i="140"/>
  <c r="S158" i="140" s="1" a="1"/>
  <c r="S158" i="140" s="1"/>
  <c r="R157" i="140"/>
  <c r="Q157" i="140"/>
  <c r="S157" i="140" s="1" a="1"/>
  <c r="S157" i="140" s="1"/>
  <c r="R156" i="140"/>
  <c r="Q156" i="140"/>
  <c r="S156" i="140" s="1" a="1"/>
  <c r="S156" i="140" s="1"/>
  <c r="R155" i="140"/>
  <c r="Q155" i="140"/>
  <c r="R154" i="140"/>
  <c r="Q154" i="140"/>
  <c r="S154" i="140" s="1" a="1"/>
  <c r="S154" i="140" s="1"/>
  <c r="R153" i="140"/>
  <c r="Q153" i="140"/>
  <c r="R152" i="140"/>
  <c r="Q152" i="140"/>
  <c r="R151" i="140"/>
  <c r="Q151" i="140"/>
  <c r="R150" i="140"/>
  <c r="Q150" i="140"/>
  <c r="S150" i="140" s="1" a="1"/>
  <c r="S150" i="140" s="1"/>
  <c r="R149" i="140"/>
  <c r="Q149" i="140"/>
  <c r="S149" i="140" s="1" a="1"/>
  <c r="S149" i="140" s="1"/>
  <c r="R148" i="140"/>
  <c r="Q148" i="140"/>
  <c r="S148" i="140" s="1" a="1"/>
  <c r="S148" i="140" s="1"/>
  <c r="R147" i="140"/>
  <c r="Q147" i="140"/>
  <c r="R146" i="140"/>
  <c r="Q146" i="140"/>
  <c r="S146" i="140" s="1" a="1"/>
  <c r="S146" i="140" s="1"/>
  <c r="R145" i="140"/>
  <c r="Q145" i="140"/>
  <c r="R144" i="140"/>
  <c r="Q144" i="140"/>
  <c r="R143" i="140"/>
  <c r="Q143" i="140"/>
  <c r="R142" i="140"/>
  <c r="Q142" i="140"/>
  <c r="S142" i="140" s="1" a="1"/>
  <c r="S142" i="140" s="1"/>
  <c r="R141" i="140"/>
  <c r="Q141" i="140"/>
  <c r="S141" i="140" s="1" a="1"/>
  <c r="S141" i="140" s="1"/>
  <c r="R140" i="140"/>
  <c r="Q140" i="140"/>
  <c r="S140" i="140" s="1" a="1"/>
  <c r="S140" i="140" s="1"/>
  <c r="R139" i="140"/>
  <c r="Q139" i="140"/>
  <c r="R138" i="140"/>
  <c r="Q138" i="140"/>
  <c r="S138" i="140" s="1" a="1"/>
  <c r="S138" i="140" s="1"/>
  <c r="R137" i="140"/>
  <c r="Q137" i="140"/>
  <c r="R136" i="140"/>
  <c r="Q136" i="140"/>
  <c r="R135" i="140"/>
  <c r="Q135" i="140"/>
  <c r="R134" i="140"/>
  <c r="Q134" i="140"/>
  <c r="S134" i="140" s="1" a="1"/>
  <c r="S134" i="140" s="1"/>
  <c r="R133" i="140"/>
  <c r="Q133" i="140"/>
  <c r="S133" i="140" s="1" a="1"/>
  <c r="S133" i="140" s="1"/>
  <c r="B257" i="138" s="1"/>
  <c r="R132" i="140"/>
  <c r="Q132" i="140"/>
  <c r="R131" i="140"/>
  <c r="Q131" i="140"/>
  <c r="S131" i="140" s="1" a="1"/>
  <c r="S131" i="140" s="1"/>
  <c r="B255" i="138" s="1"/>
  <c r="R130" i="140"/>
  <c r="Q130" i="140"/>
  <c r="R129" i="140"/>
  <c r="Q129" i="140"/>
  <c r="R128" i="140"/>
  <c r="Q128" i="140"/>
  <c r="R127" i="140"/>
  <c r="Q127" i="140"/>
  <c r="R126" i="140"/>
  <c r="Q126" i="140"/>
  <c r="R125" i="140"/>
  <c r="Q125" i="140"/>
  <c r="R124" i="140"/>
  <c r="Q124" i="140"/>
  <c r="R123" i="140"/>
  <c r="Q123" i="140"/>
  <c r="R122" i="140"/>
  <c r="Q122" i="140"/>
  <c r="R121" i="140"/>
  <c r="Q121" i="140"/>
  <c r="R120" i="140"/>
  <c r="Q120" i="140"/>
  <c r="R119" i="140"/>
  <c r="Q119" i="140"/>
  <c r="R118" i="140"/>
  <c r="Q118" i="140"/>
  <c r="R117" i="140"/>
  <c r="Q117" i="140"/>
  <c r="R116" i="140"/>
  <c r="Q116" i="140"/>
  <c r="R115" i="140"/>
  <c r="Q115" i="140"/>
  <c r="R114" i="140"/>
  <c r="Q114" i="140"/>
  <c r="R113" i="140"/>
  <c r="Q113" i="140"/>
  <c r="R112" i="140"/>
  <c r="Q112" i="140"/>
  <c r="R111" i="140"/>
  <c r="Q111" i="140"/>
  <c r="R110" i="140"/>
  <c r="Q110" i="140"/>
  <c r="R109" i="140"/>
  <c r="Q109" i="140"/>
  <c r="R108" i="140"/>
  <c r="Q108" i="140"/>
  <c r="R107" i="140"/>
  <c r="Q107" i="140"/>
  <c r="R106" i="140"/>
  <c r="Q106" i="140"/>
  <c r="R105" i="140"/>
  <c r="Q105" i="140"/>
  <c r="R104" i="140"/>
  <c r="Q104" i="140"/>
  <c r="R103" i="140"/>
  <c r="Q103" i="140"/>
  <c r="R102" i="140"/>
  <c r="Q102" i="140"/>
  <c r="R101" i="140"/>
  <c r="Q101" i="140"/>
  <c r="R100" i="140"/>
  <c r="Q100" i="140"/>
  <c r="R99" i="140"/>
  <c r="Q99" i="140"/>
  <c r="R98" i="140"/>
  <c r="Q98" i="140"/>
  <c r="R97" i="140"/>
  <c r="Q97" i="140"/>
  <c r="R96" i="140"/>
  <c r="Q96" i="140"/>
  <c r="R95" i="140"/>
  <c r="Q95" i="140"/>
  <c r="R94" i="140"/>
  <c r="Q94" i="140"/>
  <c r="R93" i="140"/>
  <c r="Q93" i="140"/>
  <c r="R92" i="140"/>
  <c r="Q92" i="140"/>
  <c r="R91" i="140"/>
  <c r="Q91" i="140"/>
  <c r="R90" i="140"/>
  <c r="Q90" i="140"/>
  <c r="R89" i="140"/>
  <c r="Q89" i="140"/>
  <c r="R88" i="140"/>
  <c r="Q88" i="140"/>
  <c r="R87" i="140"/>
  <c r="Q87" i="140"/>
  <c r="R86" i="140"/>
  <c r="Q86" i="140"/>
  <c r="R85" i="140"/>
  <c r="Q85" i="140"/>
  <c r="R84" i="140"/>
  <c r="Q84" i="140"/>
  <c r="R83" i="140"/>
  <c r="Q83" i="140"/>
  <c r="R82" i="140"/>
  <c r="Q82" i="140"/>
  <c r="R81" i="140"/>
  <c r="Q81" i="140"/>
  <c r="R80" i="140"/>
  <c r="Q80" i="140"/>
  <c r="R79" i="140"/>
  <c r="Q79" i="140"/>
  <c r="R78" i="140"/>
  <c r="Q78" i="140"/>
  <c r="R77" i="140"/>
  <c r="Q77" i="140"/>
  <c r="R76" i="140"/>
  <c r="Q76" i="140"/>
  <c r="R75" i="140"/>
  <c r="Q75" i="140"/>
  <c r="R74" i="140"/>
  <c r="Q74" i="140"/>
  <c r="R73" i="140"/>
  <c r="Q73" i="140"/>
  <c r="R72" i="140"/>
  <c r="Q72" i="140"/>
  <c r="R71" i="140"/>
  <c r="Q71" i="140"/>
  <c r="R70" i="140"/>
  <c r="Q70" i="140"/>
  <c r="R69" i="140"/>
  <c r="Q69" i="140"/>
  <c r="R68" i="140"/>
  <c r="Q68" i="140"/>
  <c r="R67" i="140"/>
  <c r="Q67" i="140"/>
  <c r="R66" i="140"/>
  <c r="Q66" i="140"/>
  <c r="R65" i="140"/>
  <c r="Q65" i="140"/>
  <c r="R64" i="140"/>
  <c r="Q64" i="140"/>
  <c r="R63" i="140"/>
  <c r="Q63" i="140"/>
  <c r="R62" i="140"/>
  <c r="Q62" i="140"/>
  <c r="R61" i="140"/>
  <c r="Q61" i="140"/>
  <c r="R60" i="140"/>
  <c r="Q60" i="140"/>
  <c r="R59" i="140"/>
  <c r="Q59" i="140"/>
  <c r="R58" i="140"/>
  <c r="Q58" i="140"/>
  <c r="R57" i="140"/>
  <c r="Q57" i="140"/>
  <c r="R56" i="140"/>
  <c r="Q56" i="140"/>
  <c r="R55" i="140"/>
  <c r="Q55" i="140"/>
  <c r="R54" i="140"/>
  <c r="Q54" i="140"/>
  <c r="R53" i="140"/>
  <c r="Q53" i="140"/>
  <c r="R52" i="140"/>
  <c r="Q52" i="140"/>
  <c r="R51" i="140"/>
  <c r="Q51" i="140"/>
  <c r="R50" i="140"/>
  <c r="Q50" i="140"/>
  <c r="R49" i="140"/>
  <c r="Q49" i="140"/>
  <c r="R48" i="140"/>
  <c r="Q48" i="140"/>
  <c r="R47" i="140"/>
  <c r="Q47" i="140"/>
  <c r="R46" i="140"/>
  <c r="Q46" i="140"/>
  <c r="R45" i="140"/>
  <c r="Q45" i="140"/>
  <c r="R44" i="140"/>
  <c r="Q44" i="140"/>
  <c r="R43" i="140"/>
  <c r="Q43" i="140"/>
  <c r="R42" i="140"/>
  <c r="Q42" i="140"/>
  <c r="R41" i="140"/>
  <c r="Q41" i="140"/>
  <c r="R40" i="140"/>
  <c r="Q40" i="140"/>
  <c r="R39" i="140"/>
  <c r="Q39" i="140"/>
  <c r="R38" i="140"/>
  <c r="Q38" i="140"/>
  <c r="R37" i="140"/>
  <c r="Q37" i="140"/>
  <c r="R36" i="140"/>
  <c r="Q36" i="140"/>
  <c r="R35" i="140"/>
  <c r="Q35" i="140"/>
  <c r="R34" i="140"/>
  <c r="Q34" i="140"/>
  <c r="R33" i="140"/>
  <c r="Q33" i="140"/>
  <c r="R32" i="140"/>
  <c r="Q32" i="140"/>
  <c r="R31" i="140"/>
  <c r="Q31" i="140"/>
  <c r="R30" i="140"/>
  <c r="Q30" i="140"/>
  <c r="N30" i="140"/>
  <c r="M30" i="140"/>
  <c r="L30" i="140"/>
  <c r="C30" i="140"/>
  <c r="J30" i="140" s="1"/>
  <c r="B30" i="140"/>
  <c r="I30" i="140" s="1"/>
  <c r="R29" i="140"/>
  <c r="Q29" i="140"/>
  <c r="N29" i="140"/>
  <c r="M29" i="140"/>
  <c r="L29" i="140"/>
  <c r="C29" i="140"/>
  <c r="J29" i="140" s="1"/>
  <c r="B29" i="140"/>
  <c r="I29" i="140" s="1"/>
  <c r="R28" i="140"/>
  <c r="Q28" i="140"/>
  <c r="N28" i="140"/>
  <c r="M28" i="140"/>
  <c r="L28" i="140"/>
  <c r="C28" i="140"/>
  <c r="J28" i="140" s="1"/>
  <c r="B28" i="140"/>
  <c r="I28" i="140" s="1"/>
  <c r="R27" i="140"/>
  <c r="Q27" i="140"/>
  <c r="N27" i="140"/>
  <c r="M27" i="140"/>
  <c r="L27" i="140"/>
  <c r="C27" i="140"/>
  <c r="J27" i="140" s="1"/>
  <c r="B27" i="140"/>
  <c r="I27" i="140" s="1"/>
  <c r="R26" i="140"/>
  <c r="Q26" i="140"/>
  <c r="N26" i="140"/>
  <c r="M26" i="140"/>
  <c r="L26" i="140"/>
  <c r="C26" i="140"/>
  <c r="J26" i="140" s="1"/>
  <c r="B26" i="140"/>
  <c r="I26" i="140" s="1"/>
  <c r="R25" i="140"/>
  <c r="Q25" i="140"/>
  <c r="N25" i="140"/>
  <c r="M25" i="140"/>
  <c r="L25" i="140"/>
  <c r="C25" i="140"/>
  <c r="J25" i="140" s="1"/>
  <c r="B25" i="140"/>
  <c r="I25" i="140" s="1"/>
  <c r="R24" i="140"/>
  <c r="Q24" i="140"/>
  <c r="N24" i="140"/>
  <c r="M24" i="140"/>
  <c r="L24" i="140"/>
  <c r="C24" i="140"/>
  <c r="J24" i="140" s="1"/>
  <c r="B24" i="140"/>
  <c r="I24" i="140" s="1"/>
  <c r="R23" i="140"/>
  <c r="Q23" i="140"/>
  <c r="N23" i="140"/>
  <c r="M23" i="140"/>
  <c r="L23" i="140"/>
  <c r="C23" i="140"/>
  <c r="J23" i="140" s="1"/>
  <c r="B23" i="140"/>
  <c r="I23" i="140" s="1"/>
  <c r="R22" i="140"/>
  <c r="Q22" i="140"/>
  <c r="N22" i="140"/>
  <c r="M22" i="140"/>
  <c r="L22" i="140"/>
  <c r="C22" i="140"/>
  <c r="J22" i="140" s="1"/>
  <c r="B22" i="140"/>
  <c r="I22" i="140" s="1"/>
  <c r="R21" i="140"/>
  <c r="Q21" i="140"/>
  <c r="N21" i="140"/>
  <c r="M21" i="140"/>
  <c r="L21" i="140"/>
  <c r="I21" i="140"/>
  <c r="C21" i="140"/>
  <c r="J21" i="140" s="1"/>
  <c r="B21" i="140"/>
  <c r="R20" i="140"/>
  <c r="Q20" i="140"/>
  <c r="N20" i="140"/>
  <c r="M20" i="140"/>
  <c r="L20" i="140"/>
  <c r="C20" i="140"/>
  <c r="J20" i="140" s="1"/>
  <c r="B20" i="140"/>
  <c r="I20" i="140" s="1"/>
  <c r="R19" i="140"/>
  <c r="Q19" i="140"/>
  <c r="N19" i="140"/>
  <c r="M19" i="140"/>
  <c r="L19" i="140"/>
  <c r="C19" i="140"/>
  <c r="J19" i="140" s="1"/>
  <c r="B19" i="140"/>
  <c r="I19" i="140" s="1"/>
  <c r="R18" i="140"/>
  <c r="Q18" i="140"/>
  <c r="N18" i="140"/>
  <c r="M18" i="140"/>
  <c r="L18" i="140"/>
  <c r="I18" i="140"/>
  <c r="C18" i="140"/>
  <c r="J18" i="140" s="1"/>
  <c r="B18" i="140"/>
  <c r="R17" i="140"/>
  <c r="Q17" i="140"/>
  <c r="N17" i="140"/>
  <c r="M17" i="140"/>
  <c r="L17" i="140"/>
  <c r="C17" i="140"/>
  <c r="J17" i="140" s="1"/>
  <c r="B17" i="140"/>
  <c r="I17" i="140" s="1"/>
  <c r="R16" i="140"/>
  <c r="Q16" i="140"/>
  <c r="N16" i="140"/>
  <c r="M16" i="140"/>
  <c r="L16" i="140"/>
  <c r="C16" i="140"/>
  <c r="J16" i="140" s="1"/>
  <c r="B16" i="140"/>
  <c r="I16" i="140" s="1"/>
  <c r="R15" i="140"/>
  <c r="Q15" i="140"/>
  <c r="N15" i="140"/>
  <c r="M15" i="140"/>
  <c r="L15" i="140"/>
  <c r="C15" i="140"/>
  <c r="J15" i="140" s="1"/>
  <c r="B15" i="140"/>
  <c r="I15" i="140" s="1"/>
  <c r="I16" i="137"/>
  <c r="I17" i="137"/>
  <c r="I18" i="137"/>
  <c r="I19" i="137"/>
  <c r="I20" i="137"/>
  <c r="I21" i="137"/>
  <c r="I22" i="137"/>
  <c r="I23" i="137"/>
  <c r="I24" i="137"/>
  <c r="I25" i="137"/>
  <c r="I26" i="137"/>
  <c r="I27" i="137"/>
  <c r="I28" i="137"/>
  <c r="I29" i="137"/>
  <c r="I30" i="137"/>
  <c r="I31" i="137"/>
  <c r="I15" i="137"/>
  <c r="J15" i="137"/>
  <c r="L15" i="137"/>
  <c r="M15" i="137"/>
  <c r="B18" i="138"/>
  <c r="B17" i="138"/>
  <c r="B14" i="138"/>
  <c r="B15" i="138"/>
  <c r="B4" i="138"/>
  <c r="B8" i="138"/>
  <c r="N16" i="137"/>
  <c r="N17" i="137"/>
  <c r="N18" i="137"/>
  <c r="N19" i="137"/>
  <c r="N20" i="137"/>
  <c r="N21" i="137"/>
  <c r="N22" i="137"/>
  <c r="N23" i="137"/>
  <c r="N24" i="137"/>
  <c r="N25" i="137"/>
  <c r="N26" i="137"/>
  <c r="N27" i="137"/>
  <c r="N28" i="137"/>
  <c r="N29" i="137"/>
  <c r="N30" i="137"/>
  <c r="N31" i="137"/>
  <c r="N15" i="137"/>
  <c r="B19" i="137"/>
  <c r="C19" i="137"/>
  <c r="J19" i="137" s="1"/>
  <c r="R19" i="137"/>
  <c r="Q19" i="137"/>
  <c r="M19" i="137"/>
  <c r="L19" i="137"/>
  <c r="L24" i="137"/>
  <c r="M24" i="137"/>
  <c r="L25" i="137"/>
  <c r="M25" i="137"/>
  <c r="L26" i="137"/>
  <c r="M26" i="137"/>
  <c r="L27" i="137"/>
  <c r="M27" i="137"/>
  <c r="L28" i="137"/>
  <c r="M28" i="137"/>
  <c r="L29" i="137"/>
  <c r="M29" i="137"/>
  <c r="L30" i="137"/>
  <c r="M30" i="137"/>
  <c r="L31" i="137"/>
  <c r="M31" i="137"/>
  <c r="B24" i="137"/>
  <c r="C24" i="137"/>
  <c r="J24" i="137" s="1"/>
  <c r="B25" i="137"/>
  <c r="C25" i="137"/>
  <c r="J25" i="137" s="1"/>
  <c r="B26" i="137"/>
  <c r="C26" i="137"/>
  <c r="J26" i="137" s="1"/>
  <c r="B27" i="137"/>
  <c r="C27" i="137"/>
  <c r="J27" i="137" s="1"/>
  <c r="B28" i="137"/>
  <c r="C28" i="137"/>
  <c r="J28" i="137" s="1"/>
  <c r="B29" i="137"/>
  <c r="C29" i="137"/>
  <c r="J29" i="137" s="1"/>
  <c r="B30" i="137"/>
  <c r="C30" i="137"/>
  <c r="J30" i="137" s="1"/>
  <c r="B31" i="137"/>
  <c r="C31" i="137"/>
  <c r="J31" i="137" s="1"/>
  <c r="L16" i="137"/>
  <c r="M16" i="137"/>
  <c r="L17" i="137"/>
  <c r="M17" i="137"/>
  <c r="L18" i="137"/>
  <c r="M18" i="137"/>
  <c r="L20" i="137"/>
  <c r="M20" i="137"/>
  <c r="L21" i="137"/>
  <c r="M21" i="137"/>
  <c r="L22" i="137"/>
  <c r="M22" i="137"/>
  <c r="L23" i="137"/>
  <c r="M23" i="137"/>
  <c r="C17" i="137"/>
  <c r="J17" i="137" s="1"/>
  <c r="C18" i="137"/>
  <c r="J18" i="137" s="1"/>
  <c r="C20" i="137"/>
  <c r="J20" i="137" s="1"/>
  <c r="C21" i="137"/>
  <c r="J21" i="137" s="1"/>
  <c r="C22" i="137"/>
  <c r="J22" i="137" s="1"/>
  <c r="C23" i="137"/>
  <c r="J23" i="137" s="1"/>
  <c r="C16" i="137"/>
  <c r="J16" i="137" s="1"/>
  <c r="B17" i="137"/>
  <c r="B18" i="137"/>
  <c r="B20" i="137"/>
  <c r="B21" i="137"/>
  <c r="B22" i="137"/>
  <c r="B23" i="137"/>
  <c r="B16" i="137"/>
  <c r="C15" i="137"/>
  <c r="B15" i="137"/>
  <c r="S64" i="170" l="1" a="1"/>
  <c r="S64" i="170" s="1"/>
  <c r="B70" i="171" s="1"/>
  <c r="I15" i="170"/>
  <c r="S79" i="170" a="1"/>
  <c r="S79" i="170" s="1"/>
  <c r="B85" i="171" s="1"/>
  <c r="S63" i="170" a="1"/>
  <c r="S63" i="170" s="1"/>
  <c r="B69" i="171" s="1"/>
  <c r="S88" i="170" a="1"/>
  <c r="S88" i="170" s="1"/>
  <c r="B94" i="171" s="1"/>
  <c r="S78" i="170" a="1"/>
  <c r="S78" i="170" s="1"/>
  <c r="B84" i="171" s="1"/>
  <c r="S109" i="170" a="1"/>
  <c r="S109" i="170" s="1"/>
  <c r="B115" i="171" s="1"/>
  <c r="S41" i="170" a="1"/>
  <c r="S41" i="170" s="1"/>
  <c r="B47" i="171" s="1"/>
  <c r="S60" i="170" a="1"/>
  <c r="S60" i="170" s="1"/>
  <c r="B66" i="171" s="1"/>
  <c r="S40" i="170" a="1"/>
  <c r="S40" i="170" s="1"/>
  <c r="B46" i="171" s="1"/>
  <c r="S68" i="170" a="1"/>
  <c r="S68" i="170" s="1"/>
  <c r="B74" i="171" s="1"/>
  <c r="S86" i="170" a="1"/>
  <c r="S86" i="170" s="1"/>
  <c r="B92" i="171" s="1"/>
  <c r="S45" i="170" a="1"/>
  <c r="S45" i="170" s="1"/>
  <c r="B51" i="171" s="1"/>
  <c r="S84" i="170" a="1"/>
  <c r="S84" i="170" s="1"/>
  <c r="B90" i="171" s="1"/>
  <c r="S121" i="170" a="1"/>
  <c r="S121" i="170" s="1"/>
  <c r="B127" i="171" s="1"/>
  <c r="S136" i="170" a="1"/>
  <c r="S136" i="170" s="1"/>
  <c r="B142" i="171" s="1"/>
  <c r="S31" i="170" a="1"/>
  <c r="S31" i="170" s="1"/>
  <c r="B37" i="171" s="1"/>
  <c r="S27" i="170" a="1"/>
  <c r="S27" i="170" s="1"/>
  <c r="B33" i="171" s="1"/>
  <c r="S17" i="170" a="1"/>
  <c r="S17" i="170" s="1"/>
  <c r="B23" i="171" s="1"/>
  <c r="S20" i="170" a="1"/>
  <c r="S20" i="170" s="1"/>
  <c r="B26" i="171" s="1"/>
  <c r="S29" i="170" a="1"/>
  <c r="S29" i="170" s="1"/>
  <c r="B35" i="171" s="1"/>
  <c r="S150" i="170" a="1"/>
  <c r="S150" i="170" s="1"/>
  <c r="B156" i="171" s="1"/>
  <c r="S99" i="170" a="1"/>
  <c r="S99" i="170" s="1"/>
  <c r="B105" i="171" s="1"/>
  <c r="S51" i="170" a="1"/>
  <c r="S51" i="170" s="1"/>
  <c r="B57" i="171" s="1"/>
  <c r="S72" i="170" a="1"/>
  <c r="S72" i="170" s="1"/>
  <c r="B78" i="171" s="1"/>
  <c r="S154" i="170" a="1"/>
  <c r="S154" i="170" s="1"/>
  <c r="B160" i="171" s="1"/>
  <c r="S44" i="170" a="1"/>
  <c r="S44" i="170" s="1"/>
  <c r="B50" i="171" s="1"/>
  <c r="S33" i="170" a="1"/>
  <c r="S33" i="170" s="1"/>
  <c r="B39" i="171" s="1"/>
  <c r="S34" i="170" a="1"/>
  <c r="S34" i="170" s="1"/>
  <c r="B40" i="171" s="1"/>
  <c r="S16" i="170" a="1"/>
  <c r="S16" i="170" s="1"/>
  <c r="B22" i="171" s="1"/>
  <c r="S49" i="170" a="1"/>
  <c r="S49" i="170" s="1"/>
  <c r="B55" i="171" s="1"/>
  <c r="S152" i="170" a="1"/>
  <c r="S152" i="170" s="1"/>
  <c r="B158" i="171" s="1"/>
  <c r="S135" i="170" a="1"/>
  <c r="S135" i="170" s="1"/>
  <c r="B141" i="171" s="1"/>
  <c r="S24" i="170" a="1"/>
  <c r="S24" i="170" s="1"/>
  <c r="B30" i="171" s="1"/>
  <c r="S19" i="170" a="1"/>
  <c r="S19" i="170" s="1"/>
  <c r="B25" i="171" s="1"/>
  <c r="S38" i="170" a="1"/>
  <c r="S38" i="170" s="1"/>
  <c r="B44" i="171" s="1"/>
  <c r="S117" i="170" a="1"/>
  <c r="S117" i="170" s="1"/>
  <c r="B123" i="171" s="1"/>
  <c r="S148" i="170" a="1"/>
  <c r="S148" i="170" s="1"/>
  <c r="B154" i="171" s="1"/>
  <c r="S25" i="170" a="1"/>
  <c r="S25" i="170" s="1"/>
  <c r="B31" i="171" s="1"/>
  <c r="S115" i="170" a="1"/>
  <c r="S115" i="170" s="1"/>
  <c r="B121" i="171" s="1"/>
  <c r="S138" i="170" a="1"/>
  <c r="S138" i="170" s="1"/>
  <c r="B144" i="171" s="1"/>
  <c r="S126" i="170" a="1"/>
  <c r="S126" i="170" s="1"/>
  <c r="B132" i="171" s="1"/>
  <c r="S153" i="170" a="1"/>
  <c r="S153" i="170" s="1"/>
  <c r="B159" i="171" s="1"/>
  <c r="S58" i="170" a="1"/>
  <c r="S58" i="170" s="1"/>
  <c r="B64" i="171" s="1"/>
  <c r="S54" i="170" a="1"/>
  <c r="S54" i="170" s="1"/>
  <c r="B60" i="171" s="1"/>
  <c r="S43" i="170" a="1"/>
  <c r="S43" i="170" s="1"/>
  <c r="B49" i="171" s="1"/>
  <c r="S32" i="170" a="1"/>
  <c r="S32" i="170" s="1"/>
  <c r="B38" i="171" s="1"/>
  <c r="S128" i="170" a="1"/>
  <c r="S128" i="170" s="1"/>
  <c r="B134" i="171" s="1"/>
  <c r="S56" i="170" a="1"/>
  <c r="S56" i="170" s="1"/>
  <c r="B62" i="171" s="1"/>
  <c r="S52" i="170" a="1"/>
  <c r="S52" i="170" s="1"/>
  <c r="B58" i="171" s="1"/>
  <c r="S132" i="170" a="1"/>
  <c r="S132" i="170" s="1"/>
  <c r="B138" i="171" s="1"/>
  <c r="S82" i="170" a="1"/>
  <c r="S82" i="170" s="1"/>
  <c r="B88" i="171" s="1"/>
  <c r="S134" i="170" a="1"/>
  <c r="S134" i="170" s="1"/>
  <c r="B140" i="171" s="1"/>
  <c r="S146" i="170" a="1"/>
  <c r="S146" i="170" s="1"/>
  <c r="B152" i="171" s="1"/>
  <c r="S28" i="170" a="1"/>
  <c r="S28" i="170" s="1"/>
  <c r="B34" i="171" s="1"/>
  <c r="S23" i="170" a="1"/>
  <c r="S23" i="170" s="1"/>
  <c r="B29" i="171" s="1"/>
  <c r="S18" i="170" a="1"/>
  <c r="S18" i="170" s="1"/>
  <c r="B24" i="171" s="1"/>
  <c r="S30" i="170" a="1"/>
  <c r="S30" i="170" s="1"/>
  <c r="B36" i="171" s="1"/>
  <c r="S55" i="170" a="1"/>
  <c r="S55" i="170" s="1"/>
  <c r="B61" i="171" s="1"/>
  <c r="S57" i="170" a="1"/>
  <c r="S57" i="170" s="1"/>
  <c r="B63" i="171" s="1"/>
  <c r="S42" i="170" a="1"/>
  <c r="S42" i="170" s="1"/>
  <c r="B48" i="171" s="1"/>
  <c r="S35" i="170" a="1"/>
  <c r="S35" i="170" s="1"/>
  <c r="B41" i="171" s="1"/>
  <c r="S75" i="170" a="1"/>
  <c r="S75" i="170" s="1"/>
  <c r="B81" i="171" s="1"/>
  <c r="S74" i="170" a="1"/>
  <c r="S74" i="170" s="1"/>
  <c r="B80" i="171" s="1"/>
  <c r="S76" i="170" a="1"/>
  <c r="S76" i="170" s="1"/>
  <c r="B82" i="171" s="1"/>
  <c r="S48" i="170" a="1"/>
  <c r="S48" i="170" s="1"/>
  <c r="B54" i="171" s="1"/>
  <c r="S36" i="170" a="1"/>
  <c r="S36" i="170" s="1"/>
  <c r="B42" i="171" s="1"/>
  <c r="S66" i="170" a="1"/>
  <c r="S66" i="170" s="1"/>
  <c r="B72" i="171" s="1"/>
  <c r="S101" i="170" a="1"/>
  <c r="S101" i="170" s="1"/>
  <c r="B107" i="171" s="1"/>
  <c r="S47" i="170" a="1"/>
  <c r="S47" i="170" s="1"/>
  <c r="B53" i="171" s="1"/>
  <c r="S73" i="170" a="1"/>
  <c r="S73" i="170" s="1"/>
  <c r="B79" i="171" s="1"/>
  <c r="S106" i="170" a="1"/>
  <c r="S106" i="170" s="1"/>
  <c r="B112" i="171" s="1"/>
  <c r="S102" i="170" a="1"/>
  <c r="S102" i="170" s="1"/>
  <c r="B108" i="171" s="1"/>
  <c r="S98" i="170" a="1"/>
  <c r="S98" i="170" s="1"/>
  <c r="B104" i="171" s="1"/>
  <c r="S94" i="170" a="1"/>
  <c r="S94" i="170" s="1"/>
  <c r="B100" i="171" s="1"/>
  <c r="S90" i="170" a="1"/>
  <c r="S90" i="170" s="1"/>
  <c r="B96" i="171" s="1"/>
  <c r="S114" i="170" a="1"/>
  <c r="S114" i="170" s="1"/>
  <c r="B120" i="171" s="1"/>
  <c r="S120" i="170" a="1"/>
  <c r="S120" i="170" s="1"/>
  <c r="B126" i="171" s="1"/>
  <c r="S137" i="170" a="1"/>
  <c r="S137" i="170" s="1"/>
  <c r="B143" i="171" s="1"/>
  <c r="S95" i="170" a="1"/>
  <c r="S95" i="170" s="1"/>
  <c r="B101" i="171" s="1"/>
  <c r="S53" i="170" a="1"/>
  <c r="S53" i="170" s="1"/>
  <c r="B59" i="171" s="1"/>
  <c r="S145" i="170" a="1"/>
  <c r="S145" i="170" s="1"/>
  <c r="B151" i="171" s="1"/>
  <c r="S85" i="170" a="1"/>
  <c r="S85" i="170" s="1"/>
  <c r="B91" i="171" s="1"/>
  <c r="S69" i="170" a="1"/>
  <c r="S69" i="170" s="1"/>
  <c r="B75" i="171" s="1"/>
  <c r="S105" i="170" a="1"/>
  <c r="S105" i="170" s="1"/>
  <c r="B111" i="171" s="1"/>
  <c r="S97" i="170" a="1"/>
  <c r="S97" i="170" s="1"/>
  <c r="B103" i="171" s="1"/>
  <c r="S93" i="170" a="1"/>
  <c r="S93" i="170" s="1"/>
  <c r="B99" i="171" s="1"/>
  <c r="S110" i="170" a="1"/>
  <c r="S110" i="170" s="1"/>
  <c r="B116" i="171" s="1"/>
  <c r="S124" i="170" a="1"/>
  <c r="S124" i="170" s="1"/>
  <c r="B130" i="171" s="1"/>
  <c r="S21" i="170" a="1"/>
  <c r="S21" i="170" s="1"/>
  <c r="B27" i="171" s="1"/>
  <c r="S119" i="170" a="1"/>
  <c r="S119" i="170" s="1"/>
  <c r="B125" i="171" s="1"/>
  <c r="S65" i="170" a="1"/>
  <c r="S65" i="170" s="1"/>
  <c r="B71" i="171" s="1"/>
  <c r="S81" i="170" a="1"/>
  <c r="S81" i="170" s="1"/>
  <c r="B87" i="171" s="1"/>
  <c r="S104" i="170" a="1"/>
  <c r="S104" i="170" s="1"/>
  <c r="B110" i="171" s="1"/>
  <c r="S100" i="170" a="1"/>
  <c r="S100" i="170" s="1"/>
  <c r="B106" i="171" s="1"/>
  <c r="S96" i="170" a="1"/>
  <c r="S96" i="170" s="1"/>
  <c r="B102" i="171" s="1"/>
  <c r="S92" i="170" a="1"/>
  <c r="S92" i="170" s="1"/>
  <c r="B98" i="171" s="1"/>
  <c r="S122" i="170" a="1"/>
  <c r="S122" i="170" s="1"/>
  <c r="B128" i="171" s="1"/>
  <c r="S127" i="170" a="1"/>
  <c r="S127" i="170" s="1"/>
  <c r="B133" i="171" s="1"/>
  <c r="S116" i="170" a="1"/>
  <c r="S116" i="170" s="1"/>
  <c r="B122" i="171" s="1"/>
  <c r="S130" i="170" a="1"/>
  <c r="S130" i="170" s="1"/>
  <c r="B136" i="171" s="1"/>
  <c r="S87" i="170" a="1"/>
  <c r="S87" i="170" s="1"/>
  <c r="B93" i="171" s="1"/>
  <c r="S71" i="170" a="1"/>
  <c r="S71" i="170" s="1"/>
  <c r="B77" i="171" s="1"/>
  <c r="S112" i="170" a="1"/>
  <c r="S112" i="170" s="1"/>
  <c r="B118" i="171" s="1"/>
  <c r="S123" i="170" a="1"/>
  <c r="S123" i="170" s="1"/>
  <c r="B129" i="171" s="1"/>
  <c r="S141" i="170" a="1"/>
  <c r="S141" i="170" s="1"/>
  <c r="B147" i="171" s="1"/>
  <c r="S77" i="170" a="1"/>
  <c r="S77" i="170" s="1"/>
  <c r="B83" i="171" s="1"/>
  <c r="S103" i="170" a="1"/>
  <c r="S103" i="170" s="1"/>
  <c r="B109" i="171" s="1"/>
  <c r="S91" i="170" a="1"/>
  <c r="S91" i="170" s="1"/>
  <c r="B97" i="171" s="1"/>
  <c r="S118" i="170" a="1"/>
  <c r="S118" i="170" s="1"/>
  <c r="B124" i="171" s="1"/>
  <c r="S133" i="170" a="1"/>
  <c r="S133" i="170" s="1"/>
  <c r="B139" i="171" s="1"/>
  <c r="S151" i="170" a="1"/>
  <c r="S151" i="170" s="1"/>
  <c r="B157" i="171" s="1"/>
  <c r="S67" i="170" a="1"/>
  <c r="S67" i="170" s="1"/>
  <c r="B73" i="171" s="1"/>
  <c r="S108" i="170" a="1"/>
  <c r="S108" i="170" s="1"/>
  <c r="B114" i="171" s="1"/>
  <c r="S129" i="170" a="1"/>
  <c r="S129" i="170" s="1"/>
  <c r="B135" i="171" s="1"/>
  <c r="S144" i="170" a="1"/>
  <c r="S144" i="170" s="1"/>
  <c r="B150" i="171" s="1"/>
  <c r="S140" i="170" a="1"/>
  <c r="S140" i="170" s="1"/>
  <c r="B146" i="171" s="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S29" i="146" a="1"/>
  <c r="S29" i="146" s="1"/>
  <c r="B34" i="147" s="1"/>
  <c r="S23" i="146" a="1"/>
  <c r="S23" i="146" s="1"/>
  <c r="B28" i="147" s="1"/>
  <c r="S35" i="146" a="1"/>
  <c r="S35" i="146" s="1"/>
  <c r="B40" i="147" s="1"/>
  <c r="S142" i="170" a="1"/>
  <c r="S142" i="170" s="1"/>
  <c r="B148" i="171" s="1"/>
  <c r="S143" i="169" a="1"/>
  <c r="S143" i="169" s="1"/>
  <c r="B415" i="171" s="1"/>
  <c r="S131" i="169" a="1"/>
  <c r="S131" i="169" s="1"/>
  <c r="B403" i="171" s="1"/>
  <c r="S137" i="169" a="1"/>
  <c r="S137" i="169" s="1"/>
  <c r="B409" i="171" s="1"/>
  <c r="S119" i="168" a="1"/>
  <c r="S119" i="168" s="1"/>
  <c r="B273" i="171" s="1"/>
  <c r="S107" i="168" a="1"/>
  <c r="S107" i="168" s="1"/>
  <c r="B261" i="171" s="1"/>
  <c r="S113" i="168" a="1"/>
  <c r="S113" i="168" s="1"/>
  <c r="B267" i="171" s="1"/>
  <c r="S89" i="168" a="1"/>
  <c r="S89" i="168" s="1"/>
  <c r="B243" i="171" s="1"/>
  <c r="S95" i="168" a="1"/>
  <c r="S95" i="168" s="1"/>
  <c r="B249" i="171" s="1"/>
  <c r="S77" i="168" a="1"/>
  <c r="S77" i="168" s="1"/>
  <c r="B231" i="171" s="1"/>
  <c r="S101" i="168" a="1"/>
  <c r="S101" i="168" s="1"/>
  <c r="B255" i="171" s="1"/>
  <c r="S139" i="170" a="1"/>
  <c r="S139" i="170" s="1"/>
  <c r="B145" i="171" s="1"/>
  <c r="S15" i="170" a="1"/>
  <c r="S15" i="170" s="1"/>
  <c r="B21" i="171" s="1"/>
  <c r="I15" i="169"/>
  <c r="S15" i="169" a="1"/>
  <c r="S15" i="169" s="1"/>
  <c r="B287"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S56" i="146" a="1"/>
  <c r="S56" i="146" s="1"/>
  <c r="B61" i="147" s="1"/>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49" i="140" a="1"/>
  <c r="S49" i="140" s="1"/>
  <c r="B173" i="138" s="1"/>
  <c r="S110" i="140" a="1"/>
  <c r="S110" i="140" s="1"/>
  <c r="B234" i="138" s="1"/>
  <c r="S126" i="140" a="1"/>
  <c r="S126" i="140" s="1"/>
  <c r="B250" i="138" s="1"/>
  <c r="S102" i="140" a="1"/>
  <c r="S102" i="140" s="1"/>
  <c r="B226" i="138" s="1"/>
  <c r="S34" i="140" a="1"/>
  <c r="S34" i="140" s="1"/>
  <c r="B158" i="138" s="1"/>
  <c r="S42" i="140" a="1"/>
  <c r="S42" i="140" s="1"/>
  <c r="B166" i="138" s="1"/>
  <c r="S53" i="140" a="1"/>
  <c r="S53" i="140" s="1"/>
  <c r="B177" i="138" s="1"/>
  <c r="S61" i="140" a="1"/>
  <c r="S61" i="140" s="1"/>
  <c r="B185" i="138" s="1"/>
  <c r="S46" i="140" a="1"/>
  <c r="S46" i="140" s="1"/>
  <c r="B170" i="138" s="1"/>
  <c r="S122" i="140" a="1"/>
  <c r="S122" i="140" s="1"/>
  <c r="B246" i="138" s="1"/>
  <c r="S41" i="140" a="1"/>
  <c r="S41" i="140" s="1"/>
  <c r="B165" i="138" s="1"/>
  <c r="S105" i="140" a="1"/>
  <c r="S105" i="140" s="1"/>
  <c r="B229" i="138" s="1"/>
  <c r="S15" i="140" a="1"/>
  <c r="S15" i="140" s="1"/>
  <c r="B139" i="138" s="1"/>
  <c r="S78" i="140" a="1"/>
  <c r="S78" i="140" s="1"/>
  <c r="B202" i="138" s="1"/>
  <c r="S127" i="140" a="1"/>
  <c r="S127" i="140" s="1"/>
  <c r="B251" i="138" s="1"/>
  <c r="S17" i="140" a="1"/>
  <c r="S17" i="140" s="1"/>
  <c r="B141" i="138" s="1"/>
  <c r="S116" i="140" a="1"/>
  <c r="S116" i="140" s="1"/>
  <c r="B240" i="138" s="1"/>
  <c r="S124" i="140" a="1"/>
  <c r="S124" i="140" s="1"/>
  <c r="B248" i="138" s="1"/>
  <c r="S27" i="140" a="1"/>
  <c r="S27" i="140" s="1"/>
  <c r="B151" i="138" s="1"/>
  <c r="S33" i="140" a="1"/>
  <c r="S33" i="140" s="1"/>
  <c r="B157" i="138" s="1"/>
  <c r="S97" i="140" a="1"/>
  <c r="S97" i="140" s="1"/>
  <c r="B221" i="138" s="1"/>
  <c r="S117" i="140" a="1"/>
  <c r="S117" i="140" s="1"/>
  <c r="B241" i="138" s="1"/>
  <c r="S125" i="140" a="1"/>
  <c r="S125" i="140" s="1"/>
  <c r="B249" i="138" s="1"/>
  <c r="S132" i="140" a="1"/>
  <c r="S132" i="140" s="1"/>
  <c r="B256" i="138" s="1"/>
  <c r="S164" i="140" a="1"/>
  <c r="S164" i="140" s="1"/>
  <c r="S184" i="140" a="1"/>
  <c r="S184" i="140" s="1"/>
  <c r="S94" i="140" a="1"/>
  <c r="S94" i="140" s="1"/>
  <c r="B218" i="138" s="1"/>
  <c r="S89" i="140" a="1"/>
  <c r="S89" i="140" s="1"/>
  <c r="B213" i="138" s="1"/>
  <c r="S73" i="140" a="1"/>
  <c r="S73" i="140" s="1"/>
  <c r="B197" i="138" s="1"/>
  <c r="S104" i="140" a="1"/>
  <c r="S104" i="140" s="1"/>
  <c r="B228" i="138" s="1"/>
  <c r="S30" i="140" a="1"/>
  <c r="S30" i="140" s="1"/>
  <c r="B154" i="138" s="1"/>
  <c r="S21" i="140" a="1"/>
  <c r="S21" i="140" s="1"/>
  <c r="B145" i="138" s="1"/>
  <c r="S31" i="140" a="1"/>
  <c r="S31" i="140" s="1"/>
  <c r="B155" i="138" s="1"/>
  <c r="S35" i="140" a="1"/>
  <c r="S35" i="140" s="1"/>
  <c r="B159" i="138" s="1"/>
  <c r="S39" i="140" a="1"/>
  <c r="S39" i="140" s="1"/>
  <c r="B163" i="138" s="1"/>
  <c r="S43" i="140" a="1"/>
  <c r="S43" i="140" s="1"/>
  <c r="B167" i="138" s="1"/>
  <c r="S47" i="140" a="1"/>
  <c r="S47" i="140" s="1"/>
  <c r="B171" i="138" s="1"/>
  <c r="S74" i="140" a="1"/>
  <c r="S74" i="140" s="1"/>
  <c r="B198" i="138" s="1"/>
  <c r="S93" i="140" a="1"/>
  <c r="S93" i="140" s="1"/>
  <c r="B217" i="138" s="1"/>
  <c r="S108" i="140" a="1"/>
  <c r="S108" i="140" s="1"/>
  <c r="B232" i="138" s="1"/>
  <c r="S77" i="140" a="1"/>
  <c r="S77" i="140" s="1"/>
  <c r="B201" i="138" s="1"/>
  <c r="S57" i="140" a="1"/>
  <c r="S57" i="140" s="1"/>
  <c r="B181" i="138" s="1"/>
  <c r="S62" i="140" a="1"/>
  <c r="S62" i="140" s="1"/>
  <c r="B186" i="138" s="1"/>
  <c r="S51" i="140" a="1"/>
  <c r="S51" i="140" s="1"/>
  <c r="B175" i="138" s="1"/>
  <c r="S55" i="140" a="1"/>
  <c r="S55" i="140" s="1"/>
  <c r="B179" i="138" s="1"/>
  <c r="S59" i="140" a="1"/>
  <c r="S59" i="140" s="1"/>
  <c r="B183" i="138" s="1"/>
  <c r="S63" i="140" a="1"/>
  <c r="S63" i="140" s="1"/>
  <c r="B187" i="138" s="1"/>
  <c r="S67" i="140" a="1"/>
  <c r="S67" i="140" s="1"/>
  <c r="B191" i="138" s="1"/>
  <c r="S71" i="140" a="1"/>
  <c r="S71" i="140" s="1"/>
  <c r="B195" i="138" s="1"/>
  <c r="S90" i="140" a="1"/>
  <c r="S90" i="140" s="1"/>
  <c r="B214" i="138" s="1"/>
  <c r="S101" i="140" a="1"/>
  <c r="S101" i="140" s="1"/>
  <c r="B225" i="138" s="1"/>
  <c r="S120" i="140" a="1"/>
  <c r="S120" i="140" s="1"/>
  <c r="B244" i="138" s="1"/>
  <c r="S128" i="140" a="1"/>
  <c r="S128" i="140" s="1"/>
  <c r="B252" i="138" s="1"/>
  <c r="S143" i="140" a="1"/>
  <c r="S143" i="140" s="1"/>
  <c r="S147" i="140" a="1"/>
  <c r="S147" i="140" s="1"/>
  <c r="S162" i="140" a="1"/>
  <c r="S162" i="140" s="1"/>
  <c r="S173" i="140" a="1"/>
  <c r="S173" i="140" s="1"/>
  <c r="S20" i="140" a="1"/>
  <c r="S20" i="140" s="1"/>
  <c r="B144" i="138" s="1"/>
  <c r="S23" i="140" a="1"/>
  <c r="S23" i="140" s="1"/>
  <c r="B147" i="138" s="1"/>
  <c r="S24" i="140" a="1"/>
  <c r="S24" i="140" s="1"/>
  <c r="B148" i="138" s="1"/>
  <c r="S32" i="140" a="1"/>
  <c r="S32" i="140" s="1"/>
  <c r="B156" i="138" s="1"/>
  <c r="S48" i="140" a="1"/>
  <c r="S48" i="140" s="1"/>
  <c r="B172" i="138" s="1"/>
  <c r="S75" i="140" a="1"/>
  <c r="S75" i="140" s="1"/>
  <c r="B199" i="138" s="1"/>
  <c r="S79" i="140" a="1"/>
  <c r="S79" i="140" s="1"/>
  <c r="B203" i="138" s="1"/>
  <c r="S83" i="140" a="1"/>
  <c r="S83" i="140" s="1"/>
  <c r="B207" i="138" s="1"/>
  <c r="S109" i="140" a="1"/>
  <c r="S109" i="140" s="1"/>
  <c r="B233" i="138" s="1"/>
  <c r="S16" i="140" a="1"/>
  <c r="S16" i="140" s="1"/>
  <c r="B140" i="138" s="1"/>
  <c r="S36" i="140" a="1"/>
  <c r="S36" i="140" s="1"/>
  <c r="B160" i="138" s="1"/>
  <c r="S44" i="140" a="1"/>
  <c r="S44" i="140" s="1"/>
  <c r="B168" i="138" s="1"/>
  <c r="S56" i="140" a="1"/>
  <c r="S56" i="140" s="1"/>
  <c r="B180" i="138" s="1"/>
  <c r="S72" i="140" a="1"/>
  <c r="S72" i="140" s="1"/>
  <c r="B196" i="138" s="1"/>
  <c r="S91" i="140" a="1"/>
  <c r="S91" i="140" s="1"/>
  <c r="B215" i="138" s="1"/>
  <c r="S95" i="140" a="1"/>
  <c r="S95" i="140" s="1"/>
  <c r="B219" i="138" s="1"/>
  <c r="S114" i="140" a="1"/>
  <c r="S114" i="140" s="1"/>
  <c r="B238" i="138" s="1"/>
  <c r="S136" i="140" a="1"/>
  <c r="S136" i="140" s="1"/>
  <c r="S144" i="140" a="1"/>
  <c r="S144" i="140" s="1"/>
  <c r="S159" i="140" a="1"/>
  <c r="S159" i="140" s="1"/>
  <c r="S163" i="140" a="1"/>
  <c r="S163" i="140" s="1"/>
  <c r="S170" i="140" a="1"/>
  <c r="S170" i="140" s="1"/>
  <c r="S181" i="140" a="1"/>
  <c r="S181" i="140" s="1"/>
  <c r="S66" i="140" a="1"/>
  <c r="S66" i="140" s="1"/>
  <c r="B190" i="138" s="1"/>
  <c r="S85" i="140" a="1"/>
  <c r="S85" i="140" s="1"/>
  <c r="B209" i="138" s="1"/>
  <c r="S18" i="140" a="1"/>
  <c r="S18" i="140" s="1"/>
  <c r="B142" i="138" s="1"/>
  <c r="S19" i="140" a="1"/>
  <c r="S19" i="140" s="1"/>
  <c r="B143" i="138" s="1"/>
  <c r="S54" i="140" a="1"/>
  <c r="S54" i="140" s="1"/>
  <c r="B178" i="138" s="1"/>
  <c r="S25" i="140" a="1"/>
  <c r="S25" i="140" s="1"/>
  <c r="B149" i="138" s="1"/>
  <c r="S60" i="140" a="1"/>
  <c r="S60" i="140" s="1"/>
  <c r="B184" i="138" s="1"/>
  <c r="S68" i="140" a="1"/>
  <c r="S68" i="140" s="1"/>
  <c r="B192" i="138" s="1"/>
  <c r="S80" i="140" a="1"/>
  <c r="S80" i="140" s="1"/>
  <c r="B204" i="138" s="1"/>
  <c r="S103" i="140" a="1"/>
  <c r="S103" i="140" s="1"/>
  <c r="B227" i="138" s="1"/>
  <c r="S69" i="140" a="1"/>
  <c r="S69" i="140" s="1"/>
  <c r="B193" i="138" s="1"/>
  <c r="S92" i="140" a="1"/>
  <c r="S92" i="140" s="1"/>
  <c r="B216" i="138" s="1"/>
  <c r="S38" i="140" a="1"/>
  <c r="S38" i="140" s="1"/>
  <c r="B162" i="138" s="1"/>
  <c r="S65" i="140" a="1"/>
  <c r="S65" i="140" s="1"/>
  <c r="B189" i="138" s="1"/>
  <c r="S70" i="140" a="1"/>
  <c r="S70" i="140" s="1"/>
  <c r="B194" i="138" s="1"/>
  <c r="S81" i="140" a="1"/>
  <c r="S81" i="140" s="1"/>
  <c r="B205" i="138" s="1"/>
  <c r="S86" i="140" a="1"/>
  <c r="S86" i="140" s="1"/>
  <c r="B210" i="138" s="1"/>
  <c r="S29" i="140" a="1"/>
  <c r="S29" i="140" s="1"/>
  <c r="B153" i="138" s="1"/>
  <c r="S37" i="140" a="1"/>
  <c r="S37" i="140" s="1"/>
  <c r="B161" i="138" s="1"/>
  <c r="S84" i="140" a="1"/>
  <c r="S84" i="140" s="1"/>
  <c r="B208" i="138" s="1"/>
  <c r="S96" i="140" a="1"/>
  <c r="S96" i="140" s="1"/>
  <c r="B220" i="138" s="1"/>
  <c r="S107" i="140" a="1"/>
  <c r="S107" i="140" s="1"/>
  <c r="B231" i="138" s="1"/>
  <c r="S111" i="140" a="1"/>
  <c r="S111" i="140" s="1"/>
  <c r="B235" i="138" s="1"/>
  <c r="S115" i="140" a="1"/>
  <c r="S115" i="140" s="1"/>
  <c r="B239" i="138" s="1"/>
  <c r="S118" i="140" a="1"/>
  <c r="S118" i="140" s="1"/>
  <c r="B242" i="138" s="1"/>
  <c r="S130" i="140" a="1"/>
  <c r="S130" i="140" s="1"/>
  <c r="B254" i="138" s="1"/>
  <c r="S152" i="140" a="1"/>
  <c r="S152" i="140" s="1"/>
  <c r="S160" i="140" a="1"/>
  <c r="S160" i="140" s="1"/>
  <c r="S182" i="140" a="1"/>
  <c r="S182" i="140" s="1"/>
  <c r="S58" i="140" a="1"/>
  <c r="S58" i="140" s="1"/>
  <c r="B182" i="138" s="1"/>
  <c r="S100" i="140" a="1"/>
  <c r="S100" i="140" s="1"/>
  <c r="B224" i="138" s="1"/>
  <c r="S112" i="140" a="1"/>
  <c r="S112" i="140" s="1"/>
  <c r="B236" i="138" s="1"/>
  <c r="S22" i="140" a="1"/>
  <c r="S22" i="140" s="1"/>
  <c r="B146" i="138" s="1"/>
  <c r="S82" i="140" a="1"/>
  <c r="S82" i="140" s="1"/>
  <c r="B206" i="138" s="1"/>
  <c r="S40" i="140" a="1"/>
  <c r="S40" i="140" s="1"/>
  <c r="B164" i="138" s="1"/>
  <c r="S64" i="140" a="1"/>
  <c r="S64" i="140" s="1"/>
  <c r="B188" i="138" s="1"/>
  <c r="S106" i="140" a="1"/>
  <c r="S106" i="140" s="1"/>
  <c r="B230" i="138" s="1"/>
  <c r="S28" i="140" a="1"/>
  <c r="S28" i="140" s="1"/>
  <c r="B152" i="138" s="1"/>
  <c r="S52" i="140" a="1"/>
  <c r="S52" i="140" s="1"/>
  <c r="B176" i="138" s="1"/>
  <c r="S88" i="140" a="1"/>
  <c r="S88" i="140" s="1"/>
  <c r="B212" i="138" s="1"/>
  <c r="S76" i="140" a="1"/>
  <c r="S76" i="140" s="1"/>
  <c r="B200" i="138" s="1"/>
  <c r="S50" i="140" a="1"/>
  <c r="S50" i="140" s="1"/>
  <c r="B174" i="138" s="1"/>
  <c r="S87" i="140" a="1"/>
  <c r="S87" i="140" s="1"/>
  <c r="B211" i="138" s="1"/>
  <c r="S98" i="140" a="1"/>
  <c r="S98" i="140" s="1"/>
  <c r="B222" i="138" s="1"/>
  <c r="S26" i="140" a="1"/>
  <c r="S26" i="140" s="1"/>
  <c r="B150" i="138" s="1"/>
  <c r="S99" i="140" a="1"/>
  <c r="S99" i="140" s="1"/>
  <c r="B223" i="138" s="1"/>
  <c r="S45" i="140" a="1"/>
  <c r="S45" i="140" s="1"/>
  <c r="B169" i="138" s="1"/>
  <c r="S113" i="140" a="1"/>
  <c r="S113" i="140" s="1"/>
  <c r="B237" i="138" s="1"/>
  <c r="S129" i="140" a="1"/>
  <c r="S129" i="140" s="1"/>
  <c r="B253" i="138" s="1"/>
  <c r="S145" i="140" a="1"/>
  <c r="S145" i="140" s="1"/>
  <c r="S161" i="140" a="1"/>
  <c r="S161" i="140" s="1"/>
  <c r="S177" i="140" a="1"/>
  <c r="S177" i="140" s="1"/>
  <c r="S123" i="140" a="1"/>
  <c r="S123" i="140" s="1"/>
  <c r="B247" i="138" s="1"/>
  <c r="S139" i="140" a="1"/>
  <c r="S139" i="140" s="1"/>
  <c r="S155" i="140" a="1"/>
  <c r="S155" i="140" s="1"/>
  <c r="S171" i="140" a="1"/>
  <c r="S171" i="140" s="1"/>
  <c r="S121" i="140" a="1"/>
  <c r="S121" i="140" s="1"/>
  <c r="B245" i="138" s="1"/>
  <c r="S137" i="140" a="1"/>
  <c r="S137" i="140" s="1"/>
  <c r="S153" i="140" a="1"/>
  <c r="S153" i="140" s="1"/>
  <c r="S169" i="140" a="1"/>
  <c r="S169" i="140" s="1"/>
  <c r="S185" i="140" a="1"/>
  <c r="S185" i="140" s="1"/>
  <c r="S119" i="140" a="1"/>
  <c r="S119" i="140" s="1"/>
  <c r="B243" i="138" s="1"/>
  <c r="S135" i="140" a="1"/>
  <c r="S135" i="140" s="1"/>
  <c r="S151" i="140" a="1"/>
  <c r="S151" i="140" s="1"/>
  <c r="S167" i="140" a="1"/>
  <c r="S167" i="140" s="1"/>
  <c r="S183" i="140" a="1"/>
  <c r="S183"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7" i="137"/>
  <c r="Q157" i="137"/>
  <c r="S157" i="137" s="1" a="1"/>
  <c r="S157" i="137" s="1"/>
  <c r="R156" i="137"/>
  <c r="Q156" i="137"/>
  <c r="S156" i="137" s="1" a="1"/>
  <c r="S156" i="137" s="1"/>
  <c r="R155" i="137"/>
  <c r="Q155" i="137"/>
  <c r="R154" i="137"/>
  <c r="Q154" i="137"/>
  <c r="S154" i="137" s="1" a="1"/>
  <c r="S154" i="137" s="1"/>
  <c r="R153" i="137"/>
  <c r="Q153" i="137"/>
  <c r="S153" i="137" s="1" a="1"/>
  <c r="S153" i="137" s="1"/>
  <c r="R152" i="137"/>
  <c r="Q152" i="137"/>
  <c r="S152" i="137" s="1" a="1"/>
  <c r="S152" i="137" s="1"/>
  <c r="R151" i="137"/>
  <c r="Q151" i="137"/>
  <c r="R150" i="137"/>
  <c r="Q150" i="137"/>
  <c r="S150" i="137" s="1" a="1"/>
  <c r="S150" i="137" s="1"/>
  <c r="R149" i="137"/>
  <c r="Q149" i="137"/>
  <c r="S149" i="137" s="1" a="1"/>
  <c r="S149" i="137" s="1"/>
  <c r="R148" i="137"/>
  <c r="Q148" i="137"/>
  <c r="S148" i="137" s="1" a="1"/>
  <c r="S148" i="137" s="1"/>
  <c r="R147" i="137"/>
  <c r="Q147" i="137"/>
  <c r="R146" i="137"/>
  <c r="Q146" i="137"/>
  <c r="S146" i="137" s="1" a="1"/>
  <c r="S146" i="137" s="1"/>
  <c r="R145" i="137"/>
  <c r="Q145" i="137"/>
  <c r="S145" i="137" s="1" a="1"/>
  <c r="S145" i="137" s="1"/>
  <c r="R144" i="137"/>
  <c r="Q144" i="137"/>
  <c r="S144" i="137" s="1" a="1"/>
  <c r="S144" i="137" s="1"/>
  <c r="R143" i="137"/>
  <c r="Q143" i="137"/>
  <c r="R142" i="137"/>
  <c r="Q142" i="137"/>
  <c r="S142" i="137" s="1" a="1"/>
  <c r="S142" i="137" s="1"/>
  <c r="R141" i="137"/>
  <c r="Q141" i="137"/>
  <c r="S141" i="137" s="1" a="1"/>
  <c r="S141" i="137" s="1"/>
  <c r="R140" i="137"/>
  <c r="Q140" i="137"/>
  <c r="S140" i="137" s="1" a="1"/>
  <c r="S140" i="137" s="1"/>
  <c r="R139" i="137"/>
  <c r="Q139" i="137"/>
  <c r="R138" i="137"/>
  <c r="Q138" i="137"/>
  <c r="S138" i="137" s="1" a="1"/>
  <c r="S138" i="137" s="1"/>
  <c r="R137" i="137"/>
  <c r="Q137" i="137"/>
  <c r="S137" i="137" s="1" a="1"/>
  <c r="S137" i="137" s="1"/>
  <c r="R136" i="137"/>
  <c r="Q136" i="137"/>
  <c r="S136" i="137" s="1" a="1"/>
  <c r="S136" i="137" s="1"/>
  <c r="R135" i="137"/>
  <c r="Q135" i="137"/>
  <c r="R134" i="137"/>
  <c r="Q134" i="137"/>
  <c r="S134" i="137" s="1" a="1"/>
  <c r="S134" i="137" s="1"/>
  <c r="R133" i="137"/>
  <c r="Q133" i="137"/>
  <c r="S133" i="137" s="1" a="1"/>
  <c r="S133" i="137" s="1"/>
  <c r="R132" i="137"/>
  <c r="Q132" i="137"/>
  <c r="S132" i="137" s="1" a="1"/>
  <c r="S132" i="137" s="1"/>
  <c r="R131" i="137"/>
  <c r="Q131" i="137"/>
  <c r="R130" i="137"/>
  <c r="Q130" i="137"/>
  <c r="S130" i="137" s="1" a="1"/>
  <c r="S130" i="137" s="1"/>
  <c r="R129" i="137"/>
  <c r="Q129" i="137"/>
  <c r="S129" i="137" s="1" a="1"/>
  <c r="S129" i="137" s="1"/>
  <c r="R128" i="137"/>
  <c r="Q128" i="137"/>
  <c r="S128" i="137" s="1" a="1"/>
  <c r="S128" i="137" s="1"/>
  <c r="R127" i="137"/>
  <c r="Q127" i="137"/>
  <c r="R126" i="137"/>
  <c r="Q126" i="137"/>
  <c r="S126" i="137" s="1" a="1"/>
  <c r="S126" i="137" s="1"/>
  <c r="R125" i="137"/>
  <c r="Q125" i="137"/>
  <c r="S125" i="137" s="1" a="1"/>
  <c r="S125" i="137" s="1"/>
  <c r="B130" i="138" s="1"/>
  <c r="R124" i="137"/>
  <c r="Q124" i="137"/>
  <c r="S124" i="137" s="1" a="1"/>
  <c r="S124" i="137" s="1"/>
  <c r="B129" i="138" s="1"/>
  <c r="R123" i="137"/>
  <c r="Q123" i="137"/>
  <c r="R122" i="137"/>
  <c r="Q122" i="137"/>
  <c r="S122" i="137" s="1" a="1"/>
  <c r="S122" i="137" s="1"/>
  <c r="B127" i="138" s="1"/>
  <c r="R121" i="137"/>
  <c r="Q121" i="137"/>
  <c r="S121" i="137" s="1" a="1"/>
  <c r="S121" i="137" s="1"/>
  <c r="B126" i="138" s="1"/>
  <c r="R120" i="137"/>
  <c r="Q120" i="137"/>
  <c r="S120" i="137" s="1" a="1"/>
  <c r="S120" i="137" s="1"/>
  <c r="B125" i="138" s="1"/>
  <c r="R119" i="137"/>
  <c r="Q119" i="137"/>
  <c r="R118" i="137"/>
  <c r="Q118" i="137"/>
  <c r="S118" i="137" s="1" a="1"/>
  <c r="S118" i="137" s="1"/>
  <c r="B123" i="138" s="1"/>
  <c r="R117" i="137"/>
  <c r="Q117" i="137"/>
  <c r="S117" i="137" s="1" a="1"/>
  <c r="S117" i="137" s="1"/>
  <c r="B122" i="138" s="1"/>
  <c r="R116" i="137"/>
  <c r="Q116" i="137"/>
  <c r="S116" i="137" s="1" a="1"/>
  <c r="S116" i="137" s="1"/>
  <c r="B121" i="138" s="1"/>
  <c r="R115" i="137"/>
  <c r="Q115" i="137"/>
  <c r="R114" i="137"/>
  <c r="Q114" i="137"/>
  <c r="S114" i="137" s="1" a="1"/>
  <c r="S114" i="137" s="1"/>
  <c r="B119" i="138" s="1"/>
  <c r="R113" i="137"/>
  <c r="Q113" i="137"/>
  <c r="S113" i="137" s="1" a="1"/>
  <c r="S113" i="137" s="1"/>
  <c r="B118" i="138" s="1"/>
  <c r="R112" i="137"/>
  <c r="Q112" i="137"/>
  <c r="S112" i="137" s="1" a="1"/>
  <c r="S112" i="137" s="1"/>
  <c r="B117" i="138" s="1"/>
  <c r="R111" i="137"/>
  <c r="Q111" i="137"/>
  <c r="R110" i="137"/>
  <c r="Q110" i="137"/>
  <c r="S110" i="137" s="1" a="1"/>
  <c r="S110" i="137" s="1"/>
  <c r="B115" i="138" s="1"/>
  <c r="R109" i="137"/>
  <c r="Q109" i="137"/>
  <c r="S109" i="137" s="1" a="1"/>
  <c r="S109" i="137" s="1"/>
  <c r="B114" i="138" s="1"/>
  <c r="R108" i="137"/>
  <c r="Q108" i="137"/>
  <c r="S108" i="137" s="1" a="1"/>
  <c r="S108" i="137" s="1"/>
  <c r="B113" i="138" s="1"/>
  <c r="R107" i="137"/>
  <c r="Q107" i="137"/>
  <c r="R106" i="137"/>
  <c r="Q106" i="137"/>
  <c r="S106" i="137" s="1" a="1"/>
  <c r="S106" i="137" s="1"/>
  <c r="B111" i="138" s="1"/>
  <c r="R105" i="137"/>
  <c r="Q105" i="137"/>
  <c r="S105" i="137" s="1" a="1"/>
  <c r="S105" i="137" s="1"/>
  <c r="B110" i="138" s="1"/>
  <c r="R104" i="137"/>
  <c r="Q104" i="137"/>
  <c r="S104" i="137" s="1" a="1"/>
  <c r="S104" i="137" s="1"/>
  <c r="B109" i="138" s="1"/>
  <c r="R103" i="137"/>
  <c r="Q103" i="137"/>
  <c r="R102" i="137"/>
  <c r="Q102" i="137"/>
  <c r="S102" i="137" s="1" a="1"/>
  <c r="S102" i="137" s="1"/>
  <c r="B107" i="138" s="1"/>
  <c r="R101" i="137"/>
  <c r="Q101" i="137"/>
  <c r="S101" i="137" s="1" a="1"/>
  <c r="S101" i="137" s="1"/>
  <c r="B106" i="138" s="1"/>
  <c r="R100" i="137"/>
  <c r="Q100" i="137"/>
  <c r="S100" i="137" s="1" a="1"/>
  <c r="S100" i="137" s="1"/>
  <c r="B105" i="138" s="1"/>
  <c r="R99" i="137"/>
  <c r="Q99" i="137"/>
  <c r="R98" i="137"/>
  <c r="Q98" i="137"/>
  <c r="S98" i="137" s="1" a="1"/>
  <c r="S98" i="137" s="1"/>
  <c r="B103" i="138" s="1"/>
  <c r="R97" i="137"/>
  <c r="Q97" i="137"/>
  <c r="S97" i="137" s="1" a="1"/>
  <c r="S97" i="137" s="1"/>
  <c r="B102" i="138" s="1"/>
  <c r="R96" i="137"/>
  <c r="Q96" i="137"/>
  <c r="S96" i="137" s="1" a="1"/>
  <c r="S96" i="137" s="1"/>
  <c r="B101" i="138" s="1"/>
  <c r="R95" i="137"/>
  <c r="Q95" i="137"/>
  <c r="R94" i="137"/>
  <c r="Q94" i="137"/>
  <c r="S94" i="137" s="1" a="1"/>
  <c r="S94" i="137" s="1"/>
  <c r="B99" i="138" s="1"/>
  <c r="R93" i="137"/>
  <c r="Q93" i="137"/>
  <c r="S93" i="137" s="1" a="1"/>
  <c r="S93" i="137" s="1"/>
  <c r="B98" i="138" s="1"/>
  <c r="R92" i="137"/>
  <c r="Q92" i="137"/>
  <c r="S92" i="137" s="1" a="1"/>
  <c r="S92" i="137" s="1"/>
  <c r="B97" i="138" s="1"/>
  <c r="R91" i="137"/>
  <c r="Q91" i="137"/>
  <c r="R90" i="137"/>
  <c r="Q90" i="137"/>
  <c r="S90" i="137" s="1" a="1"/>
  <c r="S90" i="137" s="1"/>
  <c r="B95" i="138" s="1"/>
  <c r="R89" i="137"/>
  <c r="Q89" i="137"/>
  <c r="S89" i="137" s="1" a="1"/>
  <c r="S89" i="137" s="1"/>
  <c r="B94" i="138" s="1"/>
  <c r="R88" i="137"/>
  <c r="Q88" i="137"/>
  <c r="S88" i="137" s="1" a="1"/>
  <c r="S88" i="137" s="1"/>
  <c r="B93" i="138" s="1"/>
  <c r="R87" i="137"/>
  <c r="Q87" i="137"/>
  <c r="R86" i="137"/>
  <c r="Q86" i="137"/>
  <c r="S86" i="137" s="1" a="1"/>
  <c r="S86" i="137" s="1"/>
  <c r="B91" i="138" s="1"/>
  <c r="R85" i="137"/>
  <c r="Q85" i="137"/>
  <c r="S85" i="137" s="1" a="1"/>
  <c r="S85" i="137" s="1"/>
  <c r="B90" i="138" s="1"/>
  <c r="R84" i="137"/>
  <c r="Q84" i="137"/>
  <c r="S84" i="137" s="1" a="1"/>
  <c r="S84" i="137" s="1"/>
  <c r="B89" i="138" s="1"/>
  <c r="R83" i="137"/>
  <c r="Q83" i="137"/>
  <c r="R82" i="137"/>
  <c r="Q82" i="137"/>
  <c r="S82" i="137" s="1" a="1"/>
  <c r="S82" i="137" s="1"/>
  <c r="B87" i="138" s="1"/>
  <c r="R81" i="137"/>
  <c r="Q81" i="137"/>
  <c r="S81" i="137" s="1" a="1"/>
  <c r="S81" i="137" s="1"/>
  <c r="B86" i="138" s="1"/>
  <c r="R80" i="137"/>
  <c r="Q80" i="137"/>
  <c r="S80" i="137" s="1" a="1"/>
  <c r="S80" i="137" s="1"/>
  <c r="B85" i="138" s="1"/>
  <c r="R79" i="137"/>
  <c r="Q79" i="137"/>
  <c r="R78" i="137"/>
  <c r="Q78" i="137"/>
  <c r="S78" i="137" s="1" a="1"/>
  <c r="S78" i="137" s="1"/>
  <c r="B83" i="138" s="1"/>
  <c r="R77" i="137"/>
  <c r="Q77" i="137"/>
  <c r="S77" i="137" s="1" a="1"/>
  <c r="S77" i="137" s="1"/>
  <c r="B82" i="138" s="1"/>
  <c r="R76" i="137"/>
  <c r="Q76" i="137"/>
  <c r="S76" i="137" s="1" a="1"/>
  <c r="S76" i="137" s="1"/>
  <c r="B81" i="138" s="1"/>
  <c r="R75" i="137"/>
  <c r="Q75" i="137"/>
  <c r="R74" i="137"/>
  <c r="Q74" i="137"/>
  <c r="S74" i="137" s="1" a="1"/>
  <c r="S74" i="137" s="1"/>
  <c r="B79" i="138" s="1"/>
  <c r="R73" i="137"/>
  <c r="Q73" i="137"/>
  <c r="S73" i="137" s="1" a="1"/>
  <c r="S73" i="137" s="1"/>
  <c r="B78" i="138" s="1"/>
  <c r="R72" i="137"/>
  <c r="Q72" i="137"/>
  <c r="S72" i="137" s="1" a="1"/>
  <c r="S72" i="137" s="1"/>
  <c r="B77" i="138" s="1"/>
  <c r="R71" i="137"/>
  <c r="Q71" i="137"/>
  <c r="R70" i="137"/>
  <c r="Q70" i="137"/>
  <c r="S70" i="137" s="1" a="1"/>
  <c r="S70" i="137" s="1"/>
  <c r="B75" i="138" s="1"/>
  <c r="R69" i="137"/>
  <c r="Q69" i="137"/>
  <c r="S69" i="137" s="1" a="1"/>
  <c r="S69" i="137" s="1"/>
  <c r="B74" i="138" s="1"/>
  <c r="R68" i="137"/>
  <c r="Q68" i="137"/>
  <c r="S68" i="137" s="1" a="1"/>
  <c r="S68" i="137" s="1"/>
  <c r="B73" i="138" s="1"/>
  <c r="R67" i="137"/>
  <c r="Q67" i="137"/>
  <c r="R66" i="137"/>
  <c r="Q66" i="137"/>
  <c r="S66" i="137" s="1" a="1"/>
  <c r="S66" i="137" s="1"/>
  <c r="B71" i="138" s="1"/>
  <c r="R65" i="137"/>
  <c r="Q65" i="137"/>
  <c r="S65" i="137" s="1" a="1"/>
  <c r="S65" i="137" s="1"/>
  <c r="B70" i="138" s="1"/>
  <c r="R64" i="137"/>
  <c r="Q64" i="137"/>
  <c r="S64" i="137" s="1" a="1"/>
  <c r="S64" i="137" s="1"/>
  <c r="B69" i="138" s="1"/>
  <c r="R63" i="137"/>
  <c r="Q63" i="137"/>
  <c r="R62" i="137"/>
  <c r="Q62" i="137"/>
  <c r="S62" i="137" s="1" a="1"/>
  <c r="S62" i="137" s="1"/>
  <c r="B67" i="138" s="1"/>
  <c r="R61" i="137"/>
  <c r="Q61" i="137"/>
  <c r="S61" i="137" s="1" a="1"/>
  <c r="S61" i="137" s="1"/>
  <c r="B66" i="138" s="1"/>
  <c r="R60" i="137"/>
  <c r="Q60" i="137"/>
  <c r="S60" i="137" s="1" a="1"/>
  <c r="S60" i="137" s="1"/>
  <c r="B65" i="138" s="1"/>
  <c r="R59" i="137"/>
  <c r="Q59" i="137"/>
  <c r="S59" i="137" s="1" a="1"/>
  <c r="S59" i="137" s="1"/>
  <c r="B64" i="138" s="1"/>
  <c r="R58" i="137"/>
  <c r="Q58" i="137"/>
  <c r="S58" i="137" s="1" a="1"/>
  <c r="S58" i="137" s="1"/>
  <c r="B63" i="138" s="1"/>
  <c r="R57" i="137"/>
  <c r="Q57" i="137"/>
  <c r="S57" i="137" s="1" a="1"/>
  <c r="S57" i="137" s="1"/>
  <c r="B62" i="138" s="1"/>
  <c r="R56" i="137"/>
  <c r="Q56" i="137"/>
  <c r="S56" i="137" s="1" a="1"/>
  <c r="S56" i="137" s="1"/>
  <c r="B61" i="138" s="1"/>
  <c r="R55" i="137"/>
  <c r="Q55" i="137"/>
  <c r="S55" i="137" s="1" a="1"/>
  <c r="S55" i="137" s="1"/>
  <c r="B60" i="138" s="1"/>
  <c r="R54" i="137"/>
  <c r="Q54" i="137"/>
  <c r="S54" i="137" s="1" a="1"/>
  <c r="S54" i="137" s="1"/>
  <c r="B59" i="138" s="1"/>
  <c r="R53" i="137"/>
  <c r="Q53" i="137"/>
  <c r="S53" i="137" s="1" a="1"/>
  <c r="S53" i="137" s="1"/>
  <c r="B58" i="138" s="1"/>
  <c r="R52" i="137"/>
  <c r="Q52" i="137"/>
  <c r="S52" i="137" s="1" a="1"/>
  <c r="S52" i="137" s="1"/>
  <c r="B57" i="138" s="1"/>
  <c r="R51" i="137"/>
  <c r="Q51" i="137"/>
  <c r="S51" i="137" s="1" a="1"/>
  <c r="S51" i="137" s="1"/>
  <c r="B56" i="138" s="1"/>
  <c r="R50" i="137"/>
  <c r="Q50" i="137"/>
  <c r="S50" i="137" s="1" a="1"/>
  <c r="S50" i="137" s="1"/>
  <c r="B55" i="138" s="1"/>
  <c r="R49" i="137"/>
  <c r="Q49" i="137"/>
  <c r="S49" i="137" s="1" a="1"/>
  <c r="S49" i="137" s="1"/>
  <c r="B54" i="138" s="1"/>
  <c r="R48" i="137"/>
  <c r="Q48" i="137"/>
  <c r="S48" i="137" s="1" a="1"/>
  <c r="S48" i="137" s="1"/>
  <c r="B53" i="138" s="1"/>
  <c r="R47" i="137"/>
  <c r="Q47" i="137"/>
  <c r="S47" i="137" s="1" a="1"/>
  <c r="S47" i="137" s="1"/>
  <c r="B52" i="138" s="1"/>
  <c r="R46" i="137"/>
  <c r="Q46" i="137"/>
  <c r="S46" i="137" s="1" a="1"/>
  <c r="S46" i="137" s="1"/>
  <c r="B51" i="138" s="1"/>
  <c r="R45" i="137"/>
  <c r="Q45" i="137"/>
  <c r="S45" i="137" s="1" a="1"/>
  <c r="S45" i="137" s="1"/>
  <c r="B50" i="138" s="1"/>
  <c r="R44" i="137"/>
  <c r="Q44" i="137"/>
  <c r="S44" i="137" s="1" a="1"/>
  <c r="S44" i="137" s="1"/>
  <c r="B49" i="138" s="1"/>
  <c r="R43" i="137"/>
  <c r="Q43" i="137"/>
  <c r="S43" i="137" s="1" a="1"/>
  <c r="S43" i="137" s="1"/>
  <c r="B48" i="138" s="1"/>
  <c r="R42" i="137"/>
  <c r="Q42" i="137"/>
  <c r="S42" i="137" s="1" a="1"/>
  <c r="S42" i="137" s="1"/>
  <c r="B47" i="138" s="1"/>
  <c r="R41" i="137"/>
  <c r="Q41" i="137"/>
  <c r="S41" i="137" s="1" a="1"/>
  <c r="S41" i="137" s="1"/>
  <c r="B46" i="138" s="1"/>
  <c r="R40" i="137"/>
  <c r="Q40" i="137"/>
  <c r="S40" i="137" s="1" a="1"/>
  <c r="S40" i="137" s="1"/>
  <c r="B45" i="138" s="1"/>
  <c r="R39" i="137"/>
  <c r="Q39" i="137"/>
  <c r="S39" i="137" s="1" a="1"/>
  <c r="S39" i="137" s="1"/>
  <c r="B44" i="138" s="1"/>
  <c r="R38" i="137"/>
  <c r="Q38" i="137"/>
  <c r="S38" i="137" s="1" a="1"/>
  <c r="S38" i="137" s="1"/>
  <c r="B43" i="138" s="1"/>
  <c r="R37" i="137"/>
  <c r="Q37" i="137"/>
  <c r="S37" i="137" s="1" a="1"/>
  <c r="S37" i="137" s="1"/>
  <c r="B42" i="138" s="1"/>
  <c r="R36" i="137"/>
  <c r="Q36" i="137"/>
  <c r="S36" i="137" s="1" a="1"/>
  <c r="S36" i="137" s="1"/>
  <c r="B41" i="138" s="1"/>
  <c r="R35" i="137"/>
  <c r="Q35" i="137"/>
  <c r="S35" i="137" s="1" a="1"/>
  <c r="S35" i="137" s="1"/>
  <c r="B40" i="138" s="1"/>
  <c r="R34" i="137"/>
  <c r="Q34" i="137"/>
  <c r="S34" i="137" s="1" a="1"/>
  <c r="S34" i="137" s="1"/>
  <c r="B39" i="138" s="1"/>
  <c r="B38" i="138"/>
  <c r="R32" i="137"/>
  <c r="Q32" i="137"/>
  <c r="S32" i="137" s="1" a="1"/>
  <c r="S32" i="137" s="1"/>
  <c r="B37" i="138" s="1"/>
  <c r="R31" i="137"/>
  <c r="Q31" i="137"/>
  <c r="S31" i="137" s="1" a="1"/>
  <c r="S31" i="137" s="1"/>
  <c r="B36" i="138" s="1"/>
  <c r="R30" i="137"/>
  <c r="Q30" i="137"/>
  <c r="S30" i="137" s="1" a="1"/>
  <c r="S30" i="137" s="1"/>
  <c r="B35" i="138" s="1"/>
  <c r="R29" i="137"/>
  <c r="Q29" i="137"/>
  <c r="S29" i="137" s="1" a="1"/>
  <c r="S29" i="137" s="1"/>
  <c r="B34" i="138" s="1"/>
  <c r="R28" i="137"/>
  <c r="Q28" i="137"/>
  <c r="S28" i="137" s="1" a="1"/>
  <c r="S28" i="137" s="1"/>
  <c r="B33" i="138" s="1"/>
  <c r="R27" i="137"/>
  <c r="Q27" i="137"/>
  <c r="S27" i="137" s="1" a="1"/>
  <c r="S27" i="137" s="1"/>
  <c r="B32" i="138" s="1"/>
  <c r="R26" i="137"/>
  <c r="Q26" i="137"/>
  <c r="S26" i="137" s="1" a="1"/>
  <c r="S26" i="137" s="1"/>
  <c r="B31" i="138" s="1"/>
  <c r="R25" i="137"/>
  <c r="Q25" i="137"/>
  <c r="S25" i="137" s="1" a="1"/>
  <c r="S25" i="137" s="1"/>
  <c r="B30" i="138" s="1"/>
  <c r="R24" i="137"/>
  <c r="Q24" i="137"/>
  <c r="S24" i="137" s="1" a="1"/>
  <c r="S24" i="137" s="1"/>
  <c r="B29" i="138" s="1"/>
  <c r="R23" i="137"/>
  <c r="Q23" i="137"/>
  <c r="S23" i="137" s="1" a="1"/>
  <c r="S23" i="137" s="1"/>
  <c r="B28" i="138" s="1"/>
  <c r="R22" i="137"/>
  <c r="Q22" i="137"/>
  <c r="S22" i="137" s="1" a="1"/>
  <c r="S22" i="137" s="1"/>
  <c r="B27" i="138" s="1"/>
  <c r="R21" i="137"/>
  <c r="Q21" i="137"/>
  <c r="S21" i="137" s="1" a="1"/>
  <c r="S21" i="137" s="1"/>
  <c r="B26" i="138" s="1"/>
  <c r="R20" i="137"/>
  <c r="Q20" i="137"/>
  <c r="S20" i="137" s="1" a="1"/>
  <c r="S20" i="137" s="1"/>
  <c r="B25" i="138" s="1"/>
  <c r="R18" i="137"/>
  <c r="Q18" i="137"/>
  <c r="S18" i="137" s="1" a="1"/>
  <c r="S18" i="137" s="1"/>
  <c r="B23" i="138" s="1"/>
  <c r="R17" i="137"/>
  <c r="Q17" i="137"/>
  <c r="R16" i="137"/>
  <c r="Q16" i="137"/>
  <c r="R15" i="137"/>
  <c r="Q15" i="137"/>
  <c r="S19" i="137" a="1"/>
  <c r="S19" i="137" s="1"/>
  <c r="B24" i="138"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4" i="133"/>
  <c r="C45" i="133"/>
  <c r="C46" i="133"/>
  <c r="C47" i="133"/>
  <c r="C48" i="133"/>
  <c r="C49" i="133"/>
  <c r="C50" i="133"/>
  <c r="C5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C43" i="133" s="1"/>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S143" i="170" l="1" a="1"/>
  <c r="S143" i="170" s="1"/>
  <c r="B149" i="171" s="1"/>
  <c r="S125" i="170" a="1"/>
  <c r="S125" i="170" s="1"/>
  <c r="B131" i="171" s="1"/>
  <c r="S155" i="170" a="1"/>
  <c r="S155" i="170" s="1"/>
  <c r="B161" i="171" s="1"/>
  <c r="S83" i="170" a="1"/>
  <c r="S83" i="170" s="1"/>
  <c r="B89" i="171" s="1"/>
  <c r="S107" i="170" a="1"/>
  <c r="S107" i="170" s="1"/>
  <c r="B113" i="171" s="1"/>
  <c r="S131" i="170" a="1"/>
  <c r="S131" i="170" s="1"/>
  <c r="B137" i="171" s="1"/>
  <c r="S89" i="170" a="1"/>
  <c r="S89" i="170" s="1"/>
  <c r="B95" i="171" s="1"/>
  <c r="S149" i="170" a="1"/>
  <c r="S149" i="170" s="1"/>
  <c r="B155" i="171" s="1"/>
  <c r="S113" i="170" a="1"/>
  <c r="S113" i="170" s="1"/>
  <c r="B119" i="171" s="1"/>
  <c r="S39" i="148" a="1"/>
  <c r="S39" i="148" s="1"/>
  <c r="B77" i="156" s="1"/>
  <c r="S63" i="146" a="1"/>
  <c r="S63" i="146" s="1"/>
  <c r="B68" i="147" s="1"/>
  <c r="S57" i="146" a="1"/>
  <c r="S57" i="146" s="1"/>
  <c r="B62" i="147" s="1"/>
  <c r="S16" i="137" a="1"/>
  <c r="S16" i="137" s="1"/>
  <c r="B21" i="138" s="1"/>
  <c r="S63" i="137" a="1"/>
  <c r="S63" i="137" s="1"/>
  <c r="B68" i="138" s="1"/>
  <c r="S67" i="137" a="1"/>
  <c r="S67" i="137" s="1"/>
  <c r="B72" i="138" s="1"/>
  <c r="S71" i="137" a="1"/>
  <c r="S71" i="137" s="1"/>
  <c r="B76" i="138" s="1"/>
  <c r="S75" i="137" a="1"/>
  <c r="S75" i="137" s="1"/>
  <c r="B80" i="138" s="1"/>
  <c r="S79" i="137" a="1"/>
  <c r="S79" i="137" s="1"/>
  <c r="B84" i="138" s="1"/>
  <c r="S83" i="137" a="1"/>
  <c r="S83" i="137" s="1"/>
  <c r="B88" i="138" s="1"/>
  <c r="S87" i="137" a="1"/>
  <c r="S87" i="137" s="1"/>
  <c r="B92" i="138" s="1"/>
  <c r="S91" i="137" a="1"/>
  <c r="S91" i="137" s="1"/>
  <c r="B96" i="138" s="1"/>
  <c r="S95" i="137" a="1"/>
  <c r="S95" i="137" s="1"/>
  <c r="B100" i="138" s="1"/>
  <c r="S99" i="137" a="1"/>
  <c r="S99" i="137" s="1"/>
  <c r="B104" i="138" s="1"/>
  <c r="S103" i="137" a="1"/>
  <c r="S103" i="137" s="1"/>
  <c r="B108" i="138" s="1"/>
  <c r="S107" i="137" a="1"/>
  <c r="S107" i="137" s="1"/>
  <c r="B112" i="138" s="1"/>
  <c r="S111" i="137" a="1"/>
  <c r="S111" i="137" s="1"/>
  <c r="B116" i="138" s="1"/>
  <c r="S115" i="137" a="1"/>
  <c r="S115" i="137" s="1"/>
  <c r="B120" i="138" s="1"/>
  <c r="S119" i="137" a="1"/>
  <c r="S119" i="137" s="1"/>
  <c r="B124" i="138" s="1"/>
  <c r="S123" i="137" a="1"/>
  <c r="S123" i="137" s="1"/>
  <c r="B128" i="138" s="1"/>
  <c r="S127" i="137" a="1"/>
  <c r="S127" i="137" s="1"/>
  <c r="S131" i="137" a="1"/>
  <c r="S131" i="137" s="1"/>
  <c r="S135" i="137" a="1"/>
  <c r="S135" i="137" s="1"/>
  <c r="S139" i="137" a="1"/>
  <c r="S139" i="137" s="1"/>
  <c r="S143" i="137" a="1"/>
  <c r="S143" i="137" s="1"/>
  <c r="S147" i="137" a="1"/>
  <c r="S147" i="137" s="1"/>
  <c r="S151" i="137" a="1"/>
  <c r="S151" i="137" s="1"/>
  <c r="S155" i="137" a="1"/>
  <c r="S155" i="137" s="1"/>
  <c r="S159" i="137" a="1"/>
  <c r="S159" i="137" s="1"/>
  <c r="S163" i="137" a="1"/>
  <c r="S163" i="137" s="1"/>
  <c r="S167" i="137" a="1"/>
  <c r="S167" i="137" s="1"/>
  <c r="S171" i="137" a="1"/>
  <c r="S171" i="137" s="1"/>
  <c r="S175" i="137" a="1"/>
  <c r="S175" i="137" s="1"/>
  <c r="S179" i="137" a="1"/>
  <c r="S179" i="137" s="1"/>
  <c r="S183" i="137" a="1"/>
  <c r="S183" i="137" s="1"/>
  <c r="S187" i="137" a="1"/>
  <c r="S187" i="137" s="1"/>
  <c r="S17" i="137" a="1"/>
  <c r="S17" i="137" s="1"/>
  <c r="B22"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<sst xmlns="http://schemas.openxmlformats.org/spreadsheetml/2006/main" count="2350" uniqueCount="914">
  <si>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</si>
  <si>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</si>
  <si>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</si>
  <si>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</si>
  <si>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</si>
  <si>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</si>
  <si>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</si>
  <si>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</si>
  <si>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</si>
  <si>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</si>
  <si>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</si>
  <si>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</si>
  <si>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</si>
  <si>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</si>
  <si>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</si>
  <si>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</si>
  <si>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</si>
  <si>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</si>
  <si>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</si>
  <si>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</si>
  <si>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</si>
  <si>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</si>
  <si>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</si>
  <si>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</si>
  <si>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</si>
  <si>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</si>
  <si>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</si>
  <si>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</si>
  <si>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</si>
  <si>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</si>
  <si>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</si>
  <si>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</si>
  <si>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</si>
  <si>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</si>
  <si>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</si>
  <si>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</si>
  <si>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</si>
  <si>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</si>
  <si>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</si>
  <si>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</si>
  <si>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</si>
  <si>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</si>
  <si>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</si>
  <si>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</si>
  <si>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</si>
  <si>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</si>
  <si>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</si>
  <si>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</si>
  <si>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</si>
  <si>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</si>
  <si>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</si>
  <si>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</si>
  <si>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</si>
  <si>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</si>
  <si>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</si>
  <si>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</si>
  <si>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</si>
  <si>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</si>
  <si>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</si>
  <si>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</si>
  <si>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</si>
  <si>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</si>
  <si>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</si>
  <si>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</si>
  <si>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</si>
  <si>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</si>
  <si>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</si>
  <si>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</si>
  <si>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</si>
  <si>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</si>
  <si>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</si>
  <si>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</si>
  <si>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</si>
  <si>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</si>
  <si>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</si>
  <si>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</si>
  <si>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</si>
  <si>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</si>
  <si>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</si>
  <si>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</si>
  <si>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</si>
  <si>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</si>
  <si>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</si>
  <si>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</si>
  <si>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</si>
  <si>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</si>
  <si>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</si>
  <si>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</si>
  <si>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</si>
  <si>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</si>
  <si>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</si>
  <si>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</si>
  <si>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</si>
  <si>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</si>
  <si>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</si>
  <si>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</si>
  <si>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</si>
  <si>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</si>
  <si>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</si>
  <si>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</si>
  <si>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</si>
  <si>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</si>
  <si>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</si>
  <si>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</si>
  <si>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</si>
  <si>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</si>
  <si>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</si>
  <si>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</si>
  <si>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</si>
  <si>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</si>
  <si>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</si>
  <si>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</si>
  <si>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</si>
  <si>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</si>
  <si>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</si>
  <si>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</si>
  <si>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</si>
  <si>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</si>
  <si>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</si>
  <si>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</si>
  <si>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</si>
  <si>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</si>
  <si>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</si>
  <si>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</si>
  <si>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</si>
  <si>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</si>
  <si>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</si>
  <si>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</si>
  <si>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</si>
  <si>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</si>
  <si>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</si>
  <si>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</si>
  <si>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</si>
  <si>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</si>
  <si>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</si>
  <si>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</si>
  <si>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</si>
  <si>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</si>
  <si>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</si>
  <si>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</si>
  <si>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</si>
  <si>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</si>
  <si>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</si>
  <si>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</si>
  <si>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</si>
  <si>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</si>
  <si>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</si>
  <si>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</si>
  <si>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</si>
  <si>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</si>
  <si>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</si>
  <si>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</si>
  <si>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</si>
  <si>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</si>
  <si>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</si>
  <si>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</si>
  <si>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</si>
  <si>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</si>
  <si>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</si>
  <si>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</si>
  <si>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</si>
  <si>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</si>
  <si>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</si>
  <si>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</si>
  <si>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</si>
  <si>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</si>
  <si>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</si>
  <si>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</si>
  <si>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</si>
  <si>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</si>
  <si>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</si>
  <si>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</si>
  <si>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</si>
  <si>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</si>
  <si>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</si>
  <si>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</si>
  <si>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</si>
  <si>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</si>
  <si>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</si>
  <si>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</si>
  <si>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</si>
  <si>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</si>
  <si>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</si>
  <si>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</si>
  <si>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</si>
  <si>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</si>
  <si>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</si>
  <si>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</si>
  <si>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</si>
  <si>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</si>
  <si>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</si>
  <si>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</si>
  <si>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</si>
  <si>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</si>
  <si>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</si>
  <si>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</si>
  <si>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</si>
  <si>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</si>
  <si>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</si>
  <si>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</si>
  <si>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</si>
  <si>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</si>
  <si>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</si>
  <si>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</si>
  <si>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</si>
  <si>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</si>
  <si>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</si>
  <si>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</si>
  <si>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</si>
  <si>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</si>
  <si>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</si>
  <si>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</si>
  <si>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</si>
  <si>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</si>
  <si>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</si>
  <si>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</si>
  <si>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</si>
  <si>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</si>
  <si>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</si>
  <si>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</si>
  <si>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</si>
  <si>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</si>
  <si>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</si>
  <si>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</si>
  <si>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</si>
  <si>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</si>
  <si>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</si>
  <si>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</si>
  <si>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</si>
  <si>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</si>
  <si>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</si>
  <si>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</si>
  <si>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</si>
  <si>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</si>
  <si>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</si>
  <si>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</si>
  <si>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</si>
  <si>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</si>
  <si>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</si>
  <si>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</si>
  <si>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</si>
  <si>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</si>
  <si>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</si>
  <si>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</si>
  <si>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</si>
  <si>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</si>
  <si>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</si>
  <si>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</si>
  <si>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</si>
  <si>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</si>
  <si>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</si>
  <si>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</si>
  <si>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</si>
  <si>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</si>
  <si>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</si>
  <si>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</si>
  <si>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</si>
  <si>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</si>
  <si>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</si>
  <si>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</si>
  <si>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</si>
  <si>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</si>
  <si>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</si>
  <si>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</si>
  <si>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</si>
  <si>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</si>
  <si>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</si>
  <si>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</si>
  <si>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</si>
  <si>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</si>
  <si>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</si>
  <si>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</si>
  <si>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</si>
  <si>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</si>
  <si>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</si>
  <si>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</si>
  <si>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</si>
  <si>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</si>
  <si>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</si>
  <si>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</si>
  <si>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</si>
  <si>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</si>
  <si>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</si>
  <si>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</si>
  <si>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</si>
  <si>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</si>
  <si>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</si>
  <si>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</si>
  <si>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</si>
  <si>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</si>
  <si>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</si>
  <si>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</si>
  <si>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</si>
  <si>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</si>
  <si>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</si>
  <si>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</si>
  <si>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</si>
  <si>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</si>
  <si>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</si>
  <si>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</si>
  <si>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</si>
  <si>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</si>
  <si>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</si>
  <si>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</si>
  <si>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</si>
  <si>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</si>
  <si>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</si>
  <si>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</si>
  <si>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</si>
  <si>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</si>
  <si>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</si>
  <si>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</si>
  <si>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</si>
  <si>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</si>
  <si>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</si>
  <si>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</si>
  <si>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</si>
  <si>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</si>
  <si>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</si>
  <si>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</si>
  <si>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</si>
  <si>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</si>
  <si>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</si>
  <si>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</si>
  <si>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</si>
  <si>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</si>
  <si>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</si>
  <si>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</si>
  <si>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</si>
  <si>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</si>
  <si>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</si>
  <si>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</si>
  <si>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</si>
  <si>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</si>
  <si>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</si>
  <si>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</si>
  <si>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</si>
  <si>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</si>
  <si>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</si>
  <si>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</si>
  <si>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</si>
  <si>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</si>
  <si>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</si>
  <si>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</si>
  <si>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</si>
  <si>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</si>
  <si>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</si>
  <si>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</si>
  <si>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</si>
  <si>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</si>
  <si>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</si>
  <si>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</si>
  <si>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</si>
  <si>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</si>
  <si>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</si>
  <si>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</si>
  <si>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</si>
  <si>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</si>
  <si>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</si>
  <si>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</si>
  <si>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</si>
  <si>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</si>
  <si>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</si>
  <si>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</si>
  <si>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</si>
  <si>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</si>
  <si>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</si>
  <si>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</si>
  <si>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</si>
  <si>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</si>
  <si>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</si>
  <si>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</si>
  <si>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</si>
  <si>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</si>
  <si>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</si>
  <si>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</si>
  <si>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</si>
  <si>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</si>
  <si>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</si>
  <si>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</si>
  <si>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</si>
  <si>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</si>
  <si>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</si>
  <si>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</si>
  <si>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</si>
  <si>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</si>
  <si>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</si>
  <si>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</si>
  <si>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</si>
  <si>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</si>
  <si>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</si>
  <si>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</si>
  <si>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</si>
  <si>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</si>
  <si>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</si>
  <si>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</si>
  <si>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</si>
  <si>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</si>
  <si>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</si>
  <si>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</si>
  <si>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</si>
  <si>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</si>
  <si>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</si>
  <si>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</si>
  <si>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</si>
  <si>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</si>
  <si>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</si>
  <si>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</si>
  <si>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</si>
  <si>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</si>
  <si>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</si>
  <si>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</si>
  <si>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</si>
  <si>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</si>
  <si>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</si>
  <si>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</si>
  <si>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</si>
  <si>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</si>
  <si>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</si>
  <si>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</si>
  <si>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</si>
  <si>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</si>
  <si>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</si>
  <si>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</si>
  <si>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</si>
  <si>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</si>
  <si>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</si>
  <si>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</si>
  <si>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</si>
  <si>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</si>
  <si>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</si>
  <si>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</si>
  <si>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</si>
  <si>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</si>
  <si>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</si>
  <si>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</si>
  <si>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</si>
  <si>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</si>
  <si>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</si>
  <si>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</si>
  <si>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</si>
  <si>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</si>
  <si>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</si>
  <si>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</si>
  <si>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</si>
  <si>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</si>
  <si>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</si>
  <si>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</si>
  <si>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</si>
  <si>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</si>
  <si>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</si>
  <si>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</si>
  <si>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</si>
  <si>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</si>
  <si>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</si>
  <si>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</si>
  <si>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</si>
  <si>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</si>
  <si>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</si>
  <si>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</si>
  <si>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</si>
  <si>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</si>
  <si>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</si>
  <si>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</si>
  <si>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</si>
  <si>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</si>
  <si>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</si>
  <si>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</si>
  <si>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</si>
  <si>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</si>
  <si>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</si>
  <si>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</si>
  <si>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</si>
  <si>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</si>
  <si>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</si>
  <si>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</si>
  <si>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</si>
  <si>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</si>
  <si>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</si>
  <si>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</si>
  <si>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</si>
  <si>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</si>
  <si>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</si>
  <si>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</si>
  <si>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</si>
  <si>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</si>
  <si>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</si>
  <si>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</si>
  <si>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</si>
  <si>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</si>
  <si>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</si>
  <si>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</si>
  <si>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</si>
  <si>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</si>
  <si>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</si>
  <si>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</si>
  <si>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</si>
  <si>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</si>
  <si>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</si>
  <si>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</si>
  <si>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</si>
  <si>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</si>
  <si>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</si>
  <si>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</si>
  <si>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</si>
  <si>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</si>
  <si>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</si>
  <si>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</si>
  <si>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</si>
  <si>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</si>
  <si>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</si>
  <si>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</si>
  <si>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</si>
  <si>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</si>
  <si>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</si>
  <si>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</si>
  <si>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</si>
  <si>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</si>
  <si>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</si>
  <si>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</si>
  <si>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</si>
  <si>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</si>
  <si>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</si>
  <si>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</si>
  <si>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</si>
  <si>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</si>
  <si>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</si>
  <si>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</si>
  <si>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</si>
  <si>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</si>
  <si>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</si>
  <si>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</si>
  <si>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</si>
  <si>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</si>
  <si>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</si>
  <si>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</si>
  <si>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</si>
  <si>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</si>
  <si>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</si>
  <si>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</si>
  <si>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</si>
  <si>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</si>
  <si>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</si>
  <si>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</si>
  <si>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</si>
  <si>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</si>
  <si>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</si>
  <si>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</si>
  <si>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</si>
  <si>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</si>
  <si>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</si>
  <si>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</si>
  <si>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</si>
  <si>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</si>
  <si>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</si>
  <si>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</si>
  <si>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</si>
  <si>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</si>
  <si>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</si>
  <si>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</si>
  <si>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</si>
  <si>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</si>
  <si>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</si>
  <si>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</si>
  <si>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</si>
  <si>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</si>
  <si>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</si>
  <si>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</si>
  <si>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</si>
  <si>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</si>
  <si>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</si>
  <si>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</si>
  <si>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</si>
  <si>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</si>
  <si>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</si>
  <si>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</si>
  <si>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</si>
  <si>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</si>
  <si>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</si>
  <si>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</si>
  <si>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</si>
  <si>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</si>
  <si>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</si>
  <si>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</si>
  <si>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</si>
  <si>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</si>
  <si>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</si>
  <si>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</si>
  <si>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</si>
  <si>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</si>
  <si>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</si>
  <si>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</si>
  <si>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</si>
  <si>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</si>
  <si>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</si>
  <si>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</si>
  <si>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</si>
  <si>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</si>
  <si>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</si>
  <si>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</si>
  <si>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</si>
  <si>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</si>
  <si>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</si>
  <si>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</si>
  <si>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</si>
  <si>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</si>
  <si>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</si>
  <si>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</si>
  <si>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</si>
  <si>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</si>
  <si>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</si>
  <si>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</si>
  <si>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</si>
  <si>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</si>
  <si>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</si>
  <si>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</si>
  <si>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</si>
  <si>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</si>
  <si>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</si>
  <si>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</si>
  <si>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</si>
  <si>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</si>
  <si>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</si>
  <si>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</si>
  <si>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</si>
  <si>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</si>
  <si>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</si>
  <si>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</si>
  <si>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</si>
  <si>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</si>
  <si>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</si>
  <si>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</si>
  <si>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</si>
  <si>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</si>
  <si>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</si>
  <si>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</si>
  <si>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</si>
  <si>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</si>
  <si>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</si>
  <si>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</si>
  <si>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</si>
  <si>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</si>
  <si>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</si>
  <si>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</si>
  <si>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</si>
  <si>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</si>
  <si>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</si>
  <si>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</si>
  <si>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</si>
  <si>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</si>
  <si>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</si>
  <si>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</si>
  <si>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</si>
  <si>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</si>
  <si>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</si>
  <si>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</si>
  <si>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</si>
  <si>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</si>
  <si>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</si>
  <si>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</si>
  <si>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</si>
  <si>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</si>
  <si>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</si>
  <si>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</si>
  <si>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</si>
  <si>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</si>
  <si>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</si>
  <si>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</si>
  <si>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</si>
  <si>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</si>
  <si>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</si>
  <si>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</si>
  <si>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</si>
  <si>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</si>
  <si>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</si>
  <si>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</si>
  <si>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</si>
  <si>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</si>
  <si>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</si>
  <si>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</si>
  <si>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</si>
  <si>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</si>
  <si>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</si>
  <si>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</si>
  <si>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</si>
  <si>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</si>
  <si>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</si>
  <si>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</si>
  <si>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</si>
  <si>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</si>
  <si>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to be checked…</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</si>
  <si>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</si>
  <si>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</si>
  <si>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</si>
  <si>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</si>
  <si>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</si>
  <si>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</si>
  <si>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</si>
  <si>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</si>
  <si>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</si>
  <si>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</si>
  <si>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</si>
  <si>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</si>
  <si>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</si>
  <si>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</si>
  <si>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</si>
  <si>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</si>
  <si>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</si>
  <si>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</si>
  <si>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</si>
  <si>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</si>
  <si>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</si>
  <si>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</si>
  <si>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</si>
  <si>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</si>
  <si>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</si>
  <si>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</si>
  <si>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</si>
  <si>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</si>
  <si>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ConceptMap-eu-payer2FHIR</t>
  </si>
  <si>
    <t>eHN Payer to this guide Map</t>
  </si>
  <si>
    <t>eHN Payer Model to this guide Map</t>
  </si>
  <si>
    <t>It shows how the Laboratory Report Payer data set defined by the EU eHN guidelines is mapped into this guide</t>
  </si>
  <si>
    <t>ConceptMap-eu-recipient2FHIR</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</si>
  <si>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</si>
  <si>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</si>
  <si>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</si>
  <si>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</si>
  <si>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</si>
  <si>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</si>
  <si>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</si>
  <si>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</si>
  <si>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</si>
  <si>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</si>
  <si>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</si>
  <si>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</si>
  <si>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</si>
  <si>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</si>
  <si>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ConceptMap-eu-legalAuth2FHIR</t>
  </si>
  <si>
    <t>legalAuth-to-fhir-map.fsh</t>
  </si>
  <si>
    <t>If the author is the performer</t>
  </si>
  <si>
    <t>eHN Legal Authenticator Model to this guide Map</t>
  </si>
  <si>
    <t>It shows how theLegal Authenticator Recipient data set defined by the EU eHN guidelines is mapped into this guide</t>
  </si>
  <si>
    <t>ConceptMap-eu-validator2FHIR</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</si>
  <si>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</si>
  <si>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</si>
  <si>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</si>
  <si>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</si>
  <si>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</si>
  <si>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</si>
  <si>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</si>
  <si>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</si>
  <si>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</si>
  <si>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</si>
  <si>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</si>
  <si>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</si>
  <si>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</si>
  <si>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</si>
  <si>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</si>
  <si>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</si>
  <si>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</si>
  <si>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</si>
  <si>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</si>
  <si>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</si>
  <si>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</si>
  <si>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</si>
  <si>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</si>
  <si>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</si>
  <si>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ConceptMap-eu-order2FHIR</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</si>
  <si>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</si>
  <si>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</si>
  <si>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</si>
  <si>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</si>
  <si>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</si>
  <si>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</si>
  <si>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</si>
  <si>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</si>
  <si>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</si>
  <si>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</si>
  <si>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ConceptMap-eu-specimen2FHIR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</si>
  <si>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</si>
  <si>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</si>
  <si>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</si>
  <si>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</si>
  <si>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</si>
  <si>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</si>
  <si>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</si>
  <si>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</si>
  <si>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</si>
  <si>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to be checked. This is an R5 element</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</si>
  <si>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</si>
  <si>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</si>
  <si>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</si>
  <si>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</si>
  <si>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</si>
  <si>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</si>
  <si>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</si>
  <si>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</si>
  <si>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</si>
  <si>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</si>
  <si>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</si>
  <si>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</si>
  <si>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</si>
  <si>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</si>
  <si>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</si>
  <si>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</si>
  <si>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</si>
  <si>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</si>
  <si>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</si>
  <si>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</si>
  <si>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</si>
  <si>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</si>
  <si>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</si>
  <si>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</si>
  <si>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if the measuring device</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</si>
  <si>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</si>
  <si>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</si>
  <si>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</si>
  <si>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</si>
  <si>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</si>
  <si>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</si>
  <si>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</si>
  <si>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</si>
  <si>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</si>
  <si>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</si>
  <si>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</si>
  <si>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ù</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</si>
  <si>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</si>
  <si>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</si>
  <si>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</si>
  <si>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</si>
  <si>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</si>
  <si>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</si>
  <si>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</si>
  <si>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</si>
  <si>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</si>
  <si>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</si>
  <si>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</si>
  <si>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</si>
  <si>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</si>
  <si>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</si>
  <si>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</si>
  <si>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</si>
  <si>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extension</t>
  </si>
  <si>
    <t>valueReference.identifier</t>
  </si>
  <si>
    <t>valueReference.name</t>
  </si>
  <si>
    <t>ValueReference</t>
  </si>
  <si>
    <t>ValueReference.organization</t>
  </si>
  <si>
    <t>ofType(PractionerRole), if it is the organization the professional belong to</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</si>
  <si>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</si>
  <si>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</si>
  <si>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</si>
  <si>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</si>
  <si>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</si>
  <si>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</si>
  <si>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</si>
  <si>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</si>
  <si>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</si>
  <si>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</si>
  <si>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</si>
  <si>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</si>
  <si>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</si>
  <si>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</si>
  <si>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</si>
  <si>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</si>
  <si>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</si>
  <si>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</si>
  <si>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</si>
  <si>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</si>
  <si>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</si>
  <si>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</si>
  <si>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</si>
  <si>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</si>
  <si>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</si>
  <si>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</si>
  <si>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</si>
  <si>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</si>
  <si>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</si>
  <si>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</si>
  <si>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</si>
  <si>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</si>
  <si>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</si>
  <si>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</si>
  <si>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</si>
  <si>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</si>
  <si>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</si>
  <si>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</si>
  <si>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</si>
  <si>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</si>
  <si>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</si>
  <si>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</si>
  <si>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ofType(Organization) if the recipient is the 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</si>
  <si>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</si>
  <si>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</si>
  <si>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</si>
  <si>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</si>
  <si>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</si>
  <si>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</si>
  <si>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</si>
  <si>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</si>
  <si>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</si>
  <si>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</si>
  <si>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</si>
  <si>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</si>
  <si>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</si>
  <si>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</si>
  <si>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</si>
  <si>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</si>
  <si>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</si>
  <si>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</si>
  <si>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</si>
  <si>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http://hl7.eu/fhir/laboratory/StructureDefinition/specimen-eu-lab</t>
  </si>
  <si>
    <t>collection.extension:R5Specimen-collection-device</t>
  </si>
  <si>
    <t>extension:SpecimenFeatureTypeR5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</si>
</sst>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12">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3" t="s">
        <v>39</v>
      </c>
      <c r="C3" s="94"/>
      <c r="D3" s="35" t="s">
        <v>40</v>
      </c>
      <c r="E3" s="35" t="s">
        <v>41</v>
      </c>
    </row>
    <row r="4" spans="2:5" ht="16.75" thickBot="1" x14ac:dyDescent="0.9">
      <c r="B4" s="95" t="s">
        <v>42</v>
      </c>
      <c r="C4" s="96"/>
      <c r="D4" s="96"/>
      <c r="E4" s="97"/>
    </row>
    <row r="5" spans="2:5" ht="16.75" thickBot="1" x14ac:dyDescent="0.9">
      <c r="B5" s="95" t="s">
        <v>43</v>
      </c>
      <c r="C5" s="96"/>
      <c r="D5" s="96"/>
      <c r="E5" s="97"/>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98" t="s">
        <v>57</v>
      </c>
      <c r="C10" s="98" t="s">
        <v>58</v>
      </c>
      <c r="D10" s="40" t="s">
        <v>59</v>
      </c>
      <c r="E10" s="101" t="s">
        <v>60</v>
      </c>
    </row>
    <row r="11" spans="2:5" x14ac:dyDescent="0.75">
      <c r="B11" s="99"/>
      <c r="C11" s="99"/>
      <c r="D11" s="41"/>
      <c r="E11" s="102"/>
    </row>
    <row r="12" spans="2:5" ht="32.75" thickBot="1" x14ac:dyDescent="0.9">
      <c r="B12" s="100"/>
      <c r="C12" s="100"/>
      <c r="D12" s="37" t="s">
        <v>61</v>
      </c>
      <c r="E12" s="103"/>
    </row>
    <row r="13" spans="2:5" ht="16.75" thickBot="1" x14ac:dyDescent="0.9">
      <c r="B13" s="90" t="s">
        <v>62</v>
      </c>
      <c r="C13" s="91"/>
      <c r="D13" s="91"/>
      <c r="E13" s="92"/>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0" t="s">
        <v>70</v>
      </c>
      <c r="C16" s="91"/>
      <c r="D16" s="91"/>
      <c r="E16" s="92"/>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0" t="s">
        <v>83</v>
      </c>
      <c r="C21" s="91"/>
      <c r="D21" s="91"/>
      <c r="E21" s="92"/>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0" t="s">
        <v>93</v>
      </c>
      <c r="C25" s="91"/>
      <c r="D25" s="91"/>
      <c r="E25" s="92"/>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0" t="s">
        <v>102</v>
      </c>
      <c r="C29" s="91"/>
      <c r="D29" s="91"/>
      <c r="E29" s="92"/>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90" t="s">
        <v>114</v>
      </c>
      <c r="C34" s="91"/>
      <c r="D34" s="91"/>
      <c r="E34" s="92"/>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0" t="s">
        <v>126</v>
      </c>
      <c r="C39" s="91"/>
      <c r="D39" s="91"/>
      <c r="E39" s="92"/>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3" t="s">
        <v>39</v>
      </c>
      <c r="C3" s="94"/>
      <c r="D3" s="35" t="s">
        <v>40</v>
      </c>
      <c r="E3" s="35" t="s">
        <v>41</v>
      </c>
    </row>
    <row r="4" spans="2:5" ht="15.5" thickBot="1" x14ac:dyDescent="0.9">
      <c r="B4" s="104" t="s">
        <v>144</v>
      </c>
      <c r="C4" s="105"/>
      <c r="D4" s="105"/>
      <c r="E4" s="106"/>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7" t="s">
        <v>162</v>
      </c>
      <c r="C11" s="108"/>
      <c r="D11" s="108"/>
      <c r="E11" s="109"/>
    </row>
    <row r="12" spans="2:5" ht="32" x14ac:dyDescent="0.75">
      <c r="B12" s="98" t="s">
        <v>163</v>
      </c>
      <c r="C12" s="98" t="s">
        <v>164</v>
      </c>
      <c r="D12" s="98" t="s">
        <v>165</v>
      </c>
      <c r="E12" s="43" t="s">
        <v>166</v>
      </c>
    </row>
    <row r="13" spans="2:5" ht="16" x14ac:dyDescent="0.75">
      <c r="B13" s="99"/>
      <c r="C13" s="99"/>
      <c r="D13" s="99"/>
      <c r="E13" s="43" t="s">
        <v>167</v>
      </c>
    </row>
    <row r="14" spans="2:5" ht="16.75" thickBot="1" x14ac:dyDescent="0.9">
      <c r="B14" s="100"/>
      <c r="C14" s="100"/>
      <c r="D14" s="100"/>
      <c r="E14" s="39" t="s">
        <v>168</v>
      </c>
    </row>
    <row r="15" spans="2:5" ht="15.5" thickBot="1" x14ac:dyDescent="0.9">
      <c r="B15" s="107" t="s">
        <v>169</v>
      </c>
      <c r="C15" s="108"/>
      <c r="D15" s="108"/>
      <c r="E15" s="109"/>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98" t="s">
        <v>188</v>
      </c>
      <c r="C22" s="101" t="s">
        <v>189</v>
      </c>
      <c r="D22" s="98" t="s">
        <v>190</v>
      </c>
      <c r="E22" s="43" t="s">
        <v>167</v>
      </c>
    </row>
    <row r="23" spans="2:5" x14ac:dyDescent="0.75">
      <c r="B23" s="99"/>
      <c r="C23" s="102"/>
      <c r="D23" s="99"/>
      <c r="E23" s="41"/>
    </row>
    <row r="24" spans="2:5" ht="16.75" thickBot="1" x14ac:dyDescent="0.9">
      <c r="B24" s="100"/>
      <c r="C24" s="103"/>
      <c r="D24" s="100"/>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0" t="s">
        <v>198</v>
      </c>
      <c r="C27" s="91"/>
      <c r="D27" s="91"/>
      <c r="E27" s="92"/>
    </row>
    <row r="28" spans="2:5" ht="16.75" thickBot="1" x14ac:dyDescent="0.9">
      <c r="B28" s="90" t="s">
        <v>199</v>
      </c>
      <c r="C28" s="91"/>
      <c r="D28" s="91"/>
      <c r="E28" s="92"/>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0" t="s">
        <v>206</v>
      </c>
      <c r="C31" s="91"/>
      <c r="D31" s="91"/>
      <c r="E31" s="92"/>
    </row>
    <row r="32" spans="2:5" ht="16.75" thickBot="1" x14ac:dyDescent="0.9">
      <c r="B32" s="36" t="s">
        <v>207</v>
      </c>
      <c r="C32" s="39" t="s">
        <v>208</v>
      </c>
      <c r="D32" s="37" t="s">
        <v>209</v>
      </c>
      <c r="E32" s="39" t="s">
        <v>113</v>
      </c>
    </row>
    <row r="33" spans="2:5" ht="16" x14ac:dyDescent="0.75">
      <c r="B33" s="98" t="s">
        <v>210</v>
      </c>
      <c r="C33" s="101" t="s">
        <v>211</v>
      </c>
      <c r="D33" s="98" t="s">
        <v>212</v>
      </c>
      <c r="E33" s="43" t="s">
        <v>130</v>
      </c>
    </row>
    <row r="34" spans="2:5" ht="16" x14ac:dyDescent="0.75">
      <c r="B34" s="99"/>
      <c r="C34" s="102"/>
      <c r="D34" s="99"/>
      <c r="E34" s="43" t="s">
        <v>213</v>
      </c>
    </row>
    <row r="35" spans="2:5" ht="16.75" thickBot="1" x14ac:dyDescent="0.9">
      <c r="B35" s="100"/>
      <c r="C35" s="103"/>
      <c r="D35" s="100"/>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98" t="s">
        <v>226</v>
      </c>
      <c r="C40" s="101" t="s">
        <v>227</v>
      </c>
      <c r="D40" s="98" t="s">
        <v>228</v>
      </c>
      <c r="E40" s="43" t="s">
        <v>167</v>
      </c>
    </row>
    <row r="41" spans="2:5" x14ac:dyDescent="0.75">
      <c r="B41" s="99"/>
      <c r="C41" s="102"/>
      <c r="D41" s="99"/>
      <c r="E41" s="41"/>
    </row>
    <row r="42" spans="2:5" ht="16.75" thickBot="1" x14ac:dyDescent="0.9">
      <c r="B42" s="100"/>
      <c r="C42" s="103"/>
      <c r="D42" s="100"/>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98" t="s">
        <v>238</v>
      </c>
      <c r="C46" s="101" t="s">
        <v>239</v>
      </c>
      <c r="D46" s="98" t="s">
        <v>240</v>
      </c>
      <c r="E46" s="43" t="s">
        <v>241</v>
      </c>
    </row>
    <row r="47" spans="2:5" x14ac:dyDescent="0.75">
      <c r="B47" s="99"/>
      <c r="C47" s="102"/>
      <c r="D47" s="99"/>
      <c r="E47" s="44"/>
    </row>
    <row r="48" spans="2:5" ht="16.75" thickBot="1" x14ac:dyDescent="0.9">
      <c r="B48" s="100"/>
      <c r="C48" s="103"/>
      <c r="D48" s="100"/>
      <c r="E48" s="39" t="s">
        <v>242</v>
      </c>
    </row>
    <row r="49" spans="2:5" ht="16" x14ac:dyDescent="0.75">
      <c r="B49" s="98" t="s">
        <v>243</v>
      </c>
      <c r="C49" s="101" t="s">
        <v>244</v>
      </c>
      <c r="D49" s="98" t="s">
        <v>245</v>
      </c>
      <c r="E49" s="43" t="s">
        <v>167</v>
      </c>
    </row>
    <row r="50" spans="2:5" x14ac:dyDescent="0.75">
      <c r="B50" s="99"/>
      <c r="C50" s="102"/>
      <c r="D50" s="99"/>
      <c r="E50" s="41"/>
    </row>
    <row r="51" spans="2:5" ht="48.75" thickBot="1" x14ac:dyDescent="0.9">
      <c r="B51" s="100"/>
      <c r="C51" s="103"/>
      <c r="D51" s="100"/>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topLeftCell="A10" workbookViewId="0"/>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700</v>
      </c>
      <c r="J6" s="26" t="str">
        <f>CONCATENATE("Title: ##34#",B6,"##34#")</f>
        <v>Title: ##34#A - Laboratory Report##34#</v>
      </c>
    </row>
    <row r="7" spans="1:12" x14ac:dyDescent="0.75">
      <c r="A7" s="46" t="s">
        <v>5</v>
      </c>
      <c r="B7" s="47" t="s">
        <v>255</v>
      </c>
      <c r="C7" s="12" t="s">
        <v>6</v>
      </c>
      <c r="D7" s="2" t="s">
        <v>7</v>
      </c>
      <c r="E7" s="3" t="s">
        <v>8</v>
      </c>
      <c r="F7" s="3" t="s">
        <v>9</v>
      </c>
      <c r="G7" s="3" t="s">
        <v>10</v>
      </c>
      <c r="H7" s="68" t="s">
        <v>644</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561</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447</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563</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525</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666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634</v>
      </c>
      <c r="E24" s="14" t="str">
        <f t="shared" si="0"/>
        <v>* order -&gt; ##34#Composition.extension('http://hl7.eu/fhir/ig/xeh/StructureDefinition/composition-basedOn-order-or-requisition').valueIdentifier##34#</v>
      </c>
    </row>
    <row r="25" spans="1:5" ht="59" x14ac:dyDescent="0.75">
      <c r="B25" s="62" t="str">
        <f>Report!B21</f>
        <v>order</v>
      </c>
      <c r="C25" s="14" t="s">
        <v>643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642</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640</v>
      </c>
      <c r="E28" s="14" t="str">
        <f t="shared" si="0"/>
        <v>* specimen -&gt; ##34#DiagnosticReport.conformsTo('http://hl7.eu/fhir/ig/xeh/StructureDefinition/DiagnosticReport-lab-xeh').specimen.resolve()##34#</v>
      </c>
    </row>
    <row r="29" spans="1:5" x14ac:dyDescent="0.75">
      <c r="B29" s="62" t="str">
        <f>Report!$B$23</f>
        <v>result</v>
      </c>
      <c r="C29" s="14" t="s">
        <v>592</v>
      </c>
      <c r="E29" s="14" t="str">
        <f t="shared" si="0"/>
        <v>* result -&gt; ##34#Composition.section:no-subsections.entry.resolve()##34#</v>
      </c>
    </row>
    <row r="30" spans="1:5" x14ac:dyDescent="0.75">
      <c r="B30" s="62" t="str">
        <f>Report!$B$23</f>
        <v>result</v>
      </c>
      <c r="C30" s="14" t="s">
        <v>593</v>
      </c>
      <c r="E30" s="14" t="str">
        <f t="shared" si="0"/>
        <v>* result -&gt; ##34#Composition.section:subsections.section.entry.resolve()##34#</v>
      </c>
    </row>
    <row r="31" spans="1:5" ht="29.5" x14ac:dyDescent="0.75">
      <c r="B31" s="62" t="str">
        <f>Report!$B$23</f>
        <v>result</v>
      </c>
      <c r="C31" s="14" t="s">
        <v>641</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646</v>
      </c>
    </row>
    <row r="36" spans="3:3" x14ac:dyDescent="0.75">
      <c r="C36" s="33" t="s">
        <v>36</v>
      </c>
    </row>
    <row r="37" spans="3:3" x14ac:dyDescent="0.75">
      <c r="C37" s="33" t="s">
        <v>646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B1" workbookViewId="0">
      <selection activeCell="C3" sqref="C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750</v>
      </c>
      <c r="D3" s="73" t="s">
        <v>684</v>
      </c>
      <c r="E3" t="s">
        <v>674</v>
      </c>
    </row>
    <row r="4" spans="1:19" x14ac:dyDescent="0.75">
      <c r="B4" s="73" t="s">
        <v>19</v>
      </c>
      <c r="C4" s="54" t="s">
        <v>905</v>
      </c>
      <c r="D4" s="73" t="s">
        <v>685</v>
      </c>
      <c r="E4" s="84" t="s">
        <v>890</v>
      </c>
    </row>
    <row r="5" spans="1:19" x14ac:dyDescent="0.75">
      <c r="B5" s="73" t="s">
        <v>13</v>
      </c>
      <c r="C5" s="10" t="s">
        <v>680</v>
      </c>
      <c r="D5" s="73"/>
      <c r="E5" s="10"/>
    </row>
    <row r="6" spans="1:19" x14ac:dyDescent="0.75">
      <c r="B6" s="73" t="s">
        <v>35</v>
      </c>
      <c r="C6" s="72" t="s">
        <v>674</v>
      </c>
      <c r="D6" s="73" t="s">
        <v>681</v>
      </c>
      <c r="E6" s="110" t="s">
        <v>674</v>
      </c>
      <c r="F6" s="110"/>
      <c r="G6" s="110"/>
    </row>
    <row r="7" spans="1:19" x14ac:dyDescent="0.75">
      <c r="B7" s="73" t="s">
        <v>18</v>
      </c>
      <c r="C7" s="80" t="s">
        <v>677</v>
      </c>
      <c r="D7" s="73" t="s">
        <v>682</v>
      </c>
      <c r="E7" s="110" t="s">
        <v>683</v>
      </c>
      <c r="F7" s="110"/>
      <c r="G7" s="110"/>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667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31"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1" si="4">"* group[=].element[+].code = #"&amp;$B$14&amp;"."&amp;B16</f>
        <v>* group[=].element[+].code = #LabReport.header.subject</v>
      </c>
      <c r="J16" s="14" t="str">
        <f t="shared" ref="J16:J23" si="5">"* group[=].element[=].display = ##34#"&amp;C16&amp;"##34#"</f>
        <v>* group[=].element[=].display = ##34#A.1.1 - A1.2 Patient/subject##34#</v>
      </c>
      <c r="K16" s="14" t="str">
        <f t="shared" ref="K16:K31" si="6">IF(F16="unmatched","//-- unmatched",IF(D16="","* group[=].element[=].target.code = #"&amp;$D$14,"* group[=].element[=].target.code = #"&amp;$D$14&amp;"."&amp;D16))</f>
        <v>* group[=].element[=].target.code = #DiagnosticReport.subject</v>
      </c>
      <c r="L16" s="14" t="str">
        <f t="shared" ref="L16:L23" si="7">IF(F16="unmatched","//-- unmatched","* group[=].element[=].target.display = ##34#"&amp;E16&amp;"##34#")</f>
        <v>* group[=].element[=].target.display = ##34###34#</v>
      </c>
      <c r="M16" s="14" t="str">
        <f t="shared" ref="M16:M23" si="8">"* group[=].element[=].target.equivalence = #"&amp;F16</f>
        <v>* group[=].element[=].target.equivalence = #relatedto</v>
      </c>
      <c r="N16" s="14" t="str">
        <f t="shared" si="3"/>
        <v/>
      </c>
      <c r="P16" s="9">
        <v>2</v>
      </c>
      <c r="Q16" s="9">
        <f t="shared" ref="Q16:Q80" si="9">IF(MOD(P16,$Q$8)=0,P16/$Q$8-1,INT(P16/$Q$8))</f>
        <v>0</v>
      </c>
      <c r="R16" s="9">
        <f t="shared" ref="R16:R80"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825</v>
      </c>
      <c r="E17" s="9"/>
      <c r="F17" s="75" t="s">
        <v>659</v>
      </c>
      <c r="G17" s="14" t="s">
        <v>669</v>
      </c>
      <c r="H17" s="76"/>
      <c r="I17" s="14" t="str">
        <f t="shared" si="4"/>
        <v>* group[=].element[+].code = #LabReport.header.payer</v>
      </c>
      <c r="J17" s="14" t="str">
        <f t="shared" si="5"/>
        <v>* group[=].element[=].display = ##34#A.1.3 Health insurance and payment information##34#</v>
      </c>
      <c r="K17" s="14" t="str">
        <f t="shared" si="6"/>
        <v>* group[=].element[=].target.code = #DiagnosticReport.basedOn.insurance</v>
      </c>
      <c r="L17" s="14" t="str">
        <f t="shared" si="7"/>
        <v>* group[=].element[=].target.display = ##34###34#</v>
      </c>
      <c r="M17" s="14" t="str">
        <f t="shared" si="8"/>
        <v>* group[=].element[=].target.equivalence = #relatedto</v>
      </c>
      <c r="N17" s="14" t="str">
        <f t="shared" si="3"/>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826</v>
      </c>
      <c r="E18" s="9"/>
      <c r="F18" s="75" t="s">
        <v>660</v>
      </c>
      <c r="G18" s="75"/>
      <c r="H18" s="76"/>
      <c r="I18" s="14" t="str">
        <f t="shared" si="4"/>
        <v>* group[=].element[+].code = #LabReport.header.informationRecipient</v>
      </c>
      <c r="J18" s="14" t="str">
        <f t="shared" si="5"/>
        <v>* group[=].element[=].display = ##34#A.1.4 Information recipient##34#</v>
      </c>
      <c r="K18" s="14" t="str">
        <f t="shared" si="6"/>
        <v>//-- unmatched</v>
      </c>
      <c r="L18" s="14" t="str">
        <f t="shared" si="7"/>
        <v>//-- unmatched</v>
      </c>
      <c r="M18" s="14" t="str">
        <f t="shared" si="8"/>
        <v>* group[=].element[=].target.equivalence = #unmatched</v>
      </c>
      <c r="N18" s="14" t="str">
        <f t="shared" si="3"/>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827</v>
      </c>
      <c r="E19" s="9"/>
      <c r="F19" s="75" t="s">
        <v>659</v>
      </c>
      <c r="G19" s="75" t="s">
        <v>697</v>
      </c>
      <c r="H19" s="76"/>
      <c r="I19" s="14" t="str">
        <f t="shared" si="4"/>
        <v>* group[=].element[+].code = #LabReport.header.author</v>
      </c>
      <c r="J19" s="14" t="str">
        <f t="shared" ref="J19" si="11">"* group[=].element[=].display = ##34#"&amp;C19&amp;"##34#"</f>
        <v>* group[=].element[=].display = ##34#A.1.5 Author##34#</v>
      </c>
      <c r="K19" s="14" t="str">
        <f t="shared" si="6"/>
        <v>* group[=].element[=].target.code = #DiagnosticReport.resultsInterpreter</v>
      </c>
      <c r="L19" s="14" t="str">
        <f t="shared" ref="L19" si="12">IF(F19="unmatched","//-- unmatched","* group[=].element[=].target.display = ##34#"&amp;E19&amp;"##34#")</f>
        <v>* group[=].element[=].target.display = ##34###34#</v>
      </c>
      <c r="M19" s="14" t="str">
        <f t="shared" ref="M19" si="13">"* group[=].element[=].target.equivalence = #"&amp;F19</f>
        <v>* group[=].element[=].target.equivalence = #relatedto</v>
      </c>
      <c r="N19" s="14" t="str">
        <f t="shared" si="3"/>
        <v>* group[=].element[=].target.comment = ##34#If the author is the interpreter##34#</v>
      </c>
      <c r="P19" s="9">
        <v>5</v>
      </c>
      <c r="Q19" s="9">
        <f t="shared" ref="Q19" si="14">IF(MOD(P19,$Q$8)=0,P19/$Q$8-1,INT(P19/$Q$8))</f>
        <v>0</v>
      </c>
      <c r="R19" s="9">
        <f t="shared" ref="R19" si="15">IF(MOD(P19,$Q$8)=0,$Q$8,MOD(P19,$Q$8))</f>
        <v>5</v>
      </c>
      <c r="S19" s="14" t="str" cm="1">
        <f t="array" ref="S19">INDEX('Report-ConceptMap-1'!$I$15:$N$270,Q19+1,R19)</f>
        <v>* group[=].element[=].target.equivalence = #relatedto</v>
      </c>
    </row>
    <row r="20" spans="1:19" ht="59" x14ac:dyDescent="0.75">
      <c r="A20" s="23"/>
      <c r="B20" s="9" t="str">
        <f>Report!B12</f>
        <v>header.author</v>
      </c>
      <c r="C20" s="9" t="str">
        <f>Report!C12</f>
        <v>A.1.5 Author</v>
      </c>
      <c r="D20" s="14" t="s">
        <v>810</v>
      </c>
      <c r="E20" s="9"/>
      <c r="F20" s="75" t="s">
        <v>659</v>
      </c>
      <c r="G20" s="75" t="s">
        <v>698</v>
      </c>
      <c r="H20" s="76"/>
      <c r="I20" s="14" t="str">
        <f t="shared" si="4"/>
        <v>* group[=].element[+].code = #LabReport.header.author</v>
      </c>
      <c r="J20" s="14" t="str">
        <f t="shared" si="5"/>
        <v>* group[=].element[=].display = ##34#A.1.5 Author##34#</v>
      </c>
      <c r="K20" s="14" t="str">
        <f t="shared" si="6"/>
        <v>* group[=].element[=].target.code = #DiagnosticReport.performer</v>
      </c>
      <c r="L20" s="14" t="str">
        <f t="shared" si="7"/>
        <v>* group[=].element[=].target.display = ##34###34#</v>
      </c>
      <c r="M20" s="14" t="str">
        <f t="shared" si="8"/>
        <v>* group[=].element[=].target.equivalence = #relatedto</v>
      </c>
      <c r="N20" s="14" t="str">
        <f t="shared" si="3"/>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Report!B13</f>
        <v>header.legalAuthenticator</v>
      </c>
      <c r="C21" s="9" t="str">
        <f>Report!C13</f>
        <v>A.1.6 Legal authenticator</v>
      </c>
      <c r="D21" s="14"/>
      <c r="E21" s="9"/>
      <c r="F21" s="75" t="s">
        <v>660</v>
      </c>
      <c r="G21" s="75" t="s">
        <v>699</v>
      </c>
      <c r="H21" s="76"/>
      <c r="I21" s="14" t="str">
        <f t="shared" si="4"/>
        <v>* group[=].element[+].code = #LabReport.header.legalAuthenticator</v>
      </c>
      <c r="J21" s="14" t="str">
        <f t="shared" si="5"/>
        <v>* group[=].element[=].display = ##34#A.1.6 Legal authenticator##34#</v>
      </c>
      <c r="K21" s="14" t="str">
        <f t="shared" si="6"/>
        <v>//-- unmatched</v>
      </c>
      <c r="L21" s="14" t="str">
        <f t="shared" si="7"/>
        <v>//-- unmatched</v>
      </c>
      <c r="M21" s="14" t="str">
        <f t="shared" si="8"/>
        <v>* group[=].element[=].target.equivalence = #unmatched</v>
      </c>
      <c r="N21" s="14" t="str">
        <f t="shared" si="3"/>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59" x14ac:dyDescent="0.75">
      <c r="A22" s="23"/>
      <c r="B22" s="9" t="str">
        <f>Report!B14</f>
        <v>header.validator</v>
      </c>
      <c r="C22" s="9" t="str">
        <f>Report!C14</f>
        <v>A.1.7 Result validator</v>
      </c>
      <c r="D22" s="14"/>
      <c r="E22" s="9"/>
      <c r="F22" s="75" t="s">
        <v>660</v>
      </c>
      <c r="G22" s="75" t="s">
        <v>699</v>
      </c>
      <c r="H22" s="76"/>
      <c r="I22" s="14" t="str">
        <f t="shared" si="4"/>
        <v>* group[=].element[+].code = #LabReport.header.validator</v>
      </c>
      <c r="J22" s="14" t="str">
        <f t="shared" si="5"/>
        <v>* group[=].element[=].display = ##34#A.1.7 Result validator##34#</v>
      </c>
      <c r="K22" s="14" t="str">
        <f t="shared" si="6"/>
        <v>//-- unmatched</v>
      </c>
      <c r="L22" s="14" t="str">
        <f t="shared" si="7"/>
        <v>//-- unmatched</v>
      </c>
      <c r="M22" s="14" t="str">
        <f t="shared" si="8"/>
        <v>* group[=].element[=].target.equivalence = #unmatched</v>
      </c>
      <c r="N22" s="14" t="str">
        <f t="shared" si="3"/>
        <v>* group[=].element[=].target.comment = ##34#Mapped in the Composition resource##34#</v>
      </c>
      <c r="P22" s="9">
        <v>8</v>
      </c>
      <c r="Q22" s="9">
        <f t="shared" si="9"/>
        <v>1</v>
      </c>
      <c r="R22" s="9">
        <f t="shared" si="10"/>
        <v>2</v>
      </c>
      <c r="S22" s="14" t="str" cm="1">
        <f t="array" ref="S22">INDEX('Report-ConceptMap-1'!$I$15:$N$270,Q22+1,R22)</f>
        <v>* group[=].element[=].display = ##34#A.1.1 - A1.2 Patient/subject##34#</v>
      </c>
    </row>
    <row r="23" spans="1:19" ht="44.25" x14ac:dyDescent="0.75">
      <c r="A23" s="23"/>
      <c r="B23" s="9" t="str">
        <f>Report!B15</f>
        <v>header.metadata</v>
      </c>
      <c r="C23" s="9" t="str">
        <f>Report!C15</f>
        <v>A.1.8 Laboratory report metadata</v>
      </c>
      <c r="D23" s="14"/>
      <c r="E23" s="14"/>
      <c r="F23" s="75" t="s">
        <v>659</v>
      </c>
      <c r="G23" s="75"/>
      <c r="H23" s="76"/>
      <c r="I23" s="14" t="str">
        <f t="shared" si="4"/>
        <v>* group[=].element[+].code = #LabReport.header.metadata</v>
      </c>
      <c r="J23" s="14" t="str">
        <f t="shared" si="5"/>
        <v>* group[=].element[=].display = ##34#A.1.8 Laboratory report metadata##34#</v>
      </c>
      <c r="K23" s="14" t="str">
        <f t="shared" si="6"/>
        <v>* group[=].element[=].target.code = #DiagnosticReport</v>
      </c>
      <c r="L23" s="14" t="str">
        <f t="shared" si="7"/>
        <v>* group[=].element[=].target.display = ##34###34#</v>
      </c>
      <c r="M23" s="14" t="str">
        <f t="shared" si="8"/>
        <v>* group[=].element[=].target.equivalence = #relatedto</v>
      </c>
      <c r="N23" s="14" t="str">
        <f t="shared" si="3"/>
        <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Report!B16</f>
        <v>header.metadata.type</v>
      </c>
      <c r="C24" s="9" t="str">
        <f>Report!C16</f>
        <v>A.1.8.1 Document type</v>
      </c>
      <c r="D24" s="14" t="s">
        <v>655</v>
      </c>
      <c r="E24" s="14"/>
      <c r="F24" s="75" t="s">
        <v>658</v>
      </c>
      <c r="G24" s="75"/>
      <c r="H24" s="76"/>
      <c r="I24" s="14" t="str">
        <f t="shared" si="4"/>
        <v>* group[=].element[+].code = #LabReport.header.metadata.type</v>
      </c>
      <c r="J24" s="14" t="str">
        <f t="shared" ref="J24:J31" si="16">"* group[=].element[=].display = ##34#"&amp;C24&amp;"##34#"</f>
        <v>* group[=].element[=].display = ##34#A.1.8.1 Document type##34#</v>
      </c>
      <c r="K24" s="14" t="str">
        <f t="shared" si="6"/>
        <v>* group[=].element[=].target.code = #DiagnosticReport.code</v>
      </c>
      <c r="L24" s="14" t="str">
        <f t="shared" ref="L24:L31" si="17">IF(F24="unmatched","//-- unmatched","* group[=].element[=].target.display = ##34#"&amp;E24&amp;"##34#")</f>
        <v>* group[=].element[=].target.display = ##34###34#</v>
      </c>
      <c r="M24" s="14" t="str">
        <f t="shared" ref="M24:M31" si="18">"* group[=].element[=].target.equivalence = #"&amp;F24</f>
        <v>* group[=].element[=].target.equivalence = #equivalent</v>
      </c>
      <c r="N24" s="14" t="str">
        <f t="shared" si="3"/>
        <v/>
      </c>
      <c r="P24" s="9">
        <v>10</v>
      </c>
      <c r="Q24" s="9">
        <f t="shared" si="9"/>
        <v>1</v>
      </c>
      <c r="R24" s="9">
        <f t="shared" si="10"/>
        <v>4</v>
      </c>
      <c r="S24" s="14" t="str" cm="1">
        <f t="array" ref="S24">INDEX('Report-ConceptMap-1'!$I$15:$N$270,Q24+1,R24)</f>
        <v>* group[=].element[=].target.display = ##34###34#</v>
      </c>
    </row>
    <row r="25" spans="1:19" ht="44.25" x14ac:dyDescent="0.75">
      <c r="B25" s="9" t="str">
        <f>Report!B17</f>
        <v>header.metadata.status</v>
      </c>
      <c r="C25" s="9" t="str">
        <f>Report!C17</f>
        <v>A.1.8.2 Document status</v>
      </c>
      <c r="D25" s="14" t="s">
        <v>670</v>
      </c>
      <c r="E25" s="14"/>
      <c r="F25" s="75" t="s">
        <v>659</v>
      </c>
      <c r="G25" s="75"/>
      <c r="H25" s="76"/>
      <c r="I25" s="14" t="str">
        <f t="shared" si="4"/>
        <v>* group[=].element[+].code = #LabReport.header.metadata.status</v>
      </c>
      <c r="J25" s="14" t="str">
        <f t="shared" si="16"/>
        <v>* group[=].element[=].display = ##34#A.1.8.2 Document status##34#</v>
      </c>
      <c r="K25" s="14" t="str">
        <f t="shared" si="6"/>
        <v>* group[=].element[=].target.code = #DiagnosticReport.status</v>
      </c>
      <c r="L25" s="14" t="str">
        <f t="shared" si="17"/>
        <v>* group[=].element[=].target.display = ##34###34#</v>
      </c>
      <c r="M25" s="14" t="str">
        <f t="shared" si="18"/>
        <v>* group[=].element[=].target.equivalence = #relatedto</v>
      </c>
      <c r="N25" s="14" t="str">
        <f t="shared" si="3"/>
        <v/>
      </c>
      <c r="P25" s="9">
        <v>11</v>
      </c>
      <c r="Q25" s="9">
        <f t="shared" si="9"/>
        <v>1</v>
      </c>
      <c r="R25" s="9">
        <f t="shared" si="10"/>
        <v>5</v>
      </c>
      <c r="S25" s="14" t="str" cm="1">
        <f t="array" ref="S25">INDEX('Report-ConceptMap-1'!$I$15:$N$270,Q25+1,R25)</f>
        <v>* group[=].element[=].target.equivalence = #relatedto</v>
      </c>
    </row>
    <row r="26" spans="1:19" ht="73.75" x14ac:dyDescent="0.75">
      <c r="B26" s="9" t="str">
        <f>Report!B18</f>
        <v>header.metadata.dateTime</v>
      </c>
      <c r="C26" s="9" t="str">
        <f>Report!C18</f>
        <v>A.1.8.3 Report date and time</v>
      </c>
      <c r="D26" s="14" t="s">
        <v>671</v>
      </c>
      <c r="E26" s="14"/>
      <c r="F26" s="75" t="s">
        <v>658</v>
      </c>
      <c r="G26" s="75"/>
      <c r="H26" s="76"/>
      <c r="I26" s="14" t="str">
        <f t="shared" si="4"/>
        <v>* group[=].element[+].code = #LabReport.header.metadata.dateTime</v>
      </c>
      <c r="J26" s="14" t="str">
        <f t="shared" si="16"/>
        <v>* group[=].element[=].display = ##34#A.1.8.3 Report date and time##34#</v>
      </c>
      <c r="K26" s="14" t="str">
        <f t="shared" si="6"/>
        <v>* group[=].element[=].target.code = #DiagnosticReport.effectiveDateTime</v>
      </c>
      <c r="L26" s="14" t="str">
        <f t="shared" si="17"/>
        <v>* group[=].element[=].target.display = ##34###34#</v>
      </c>
      <c r="M26" s="14" t="str">
        <f t="shared" si="18"/>
        <v>* group[=].element[=].target.equivalence = #equivalent</v>
      </c>
      <c r="N26" s="14" t="str">
        <f t="shared" si="3"/>
        <v/>
      </c>
      <c r="P26" s="9">
        <v>12</v>
      </c>
      <c r="Q26" s="9">
        <f t="shared" si="9"/>
        <v>1</v>
      </c>
      <c r="R26" s="9">
        <f t="shared" si="10"/>
        <v>6</v>
      </c>
      <c r="S26" s="14" t="str" cm="1">
        <f t="array" ref="S26">INDEX('Report-ConceptMap-1'!$I$15:$N$270,Q26+1,R26)</f>
        <v/>
      </c>
    </row>
    <row r="27" spans="1:19" ht="59" x14ac:dyDescent="0.75">
      <c r="B27" s="9" t="str">
        <f>Report!B19</f>
        <v>header.metadata.title</v>
      </c>
      <c r="C27" s="9" t="str">
        <f>Report!C19</f>
        <v>A.1.8.4 Document title</v>
      </c>
      <c r="D27" s="14"/>
      <c r="E27" s="14"/>
      <c r="F27" s="75" t="s">
        <v>660</v>
      </c>
      <c r="G27" s="75" t="s">
        <v>699</v>
      </c>
      <c r="H27" s="76"/>
      <c r="I27" s="14" t="str">
        <f t="shared" si="4"/>
        <v>* group[=].element[+].code = #LabReport.header.metadata.title</v>
      </c>
      <c r="J27" s="14" t="str">
        <f t="shared" si="16"/>
        <v>* group[=].element[=].display = ##34#A.1.8.4 Document title##34#</v>
      </c>
      <c r="K27" s="14" t="str">
        <f t="shared" si="6"/>
        <v>//-- unmatched</v>
      </c>
      <c r="L27" s="14" t="str">
        <f t="shared" si="17"/>
        <v>//-- unmatched</v>
      </c>
      <c r="M27" s="14" t="str">
        <f t="shared" si="18"/>
        <v>* group[=].element[=].target.equivalence = #unmatched</v>
      </c>
      <c r="N27" s="14" t="str">
        <f t="shared" si="3"/>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59" x14ac:dyDescent="0.75">
      <c r="B28" s="9" t="str">
        <f>Report!B20</f>
        <v>header.metadata.custodian</v>
      </c>
      <c r="C28" s="9" t="str">
        <f>Report!C20</f>
        <v>A.1.8.5 Report custodian</v>
      </c>
      <c r="D28" s="14"/>
      <c r="E28" s="14"/>
      <c r="F28" s="75" t="s">
        <v>660</v>
      </c>
      <c r="G28" s="75" t="s">
        <v>699</v>
      </c>
      <c r="H28" s="76"/>
      <c r="I28" s="14" t="str">
        <f t="shared" si="4"/>
        <v>* group[=].element[+].code = #LabReport.header.metadata.custodian</v>
      </c>
      <c r="J28" s="14" t="str">
        <f t="shared" si="16"/>
        <v>* group[=].element[=].display = ##34#A.1.8.5 Report custodian##34#</v>
      </c>
      <c r="K28" s="14" t="str">
        <f t="shared" si="6"/>
        <v>//-- unmatched</v>
      </c>
      <c r="L28" s="14" t="str">
        <f t="shared" si="17"/>
        <v>//-- unmatched</v>
      </c>
      <c r="M28" s="14" t="str">
        <f t="shared" si="18"/>
        <v>* group[=].element[=].target.equivalence = #unmatched</v>
      </c>
      <c r="N28" s="14" t="str">
        <f t="shared" si="3"/>
        <v>* group[=].element[=].target.comment = ##34#Mapped in the Composition resource##34#</v>
      </c>
      <c r="P28" s="9">
        <v>14</v>
      </c>
      <c r="Q28" s="9">
        <f t="shared" si="9"/>
        <v>2</v>
      </c>
      <c r="R28" s="9">
        <f t="shared" si="10"/>
        <v>2</v>
      </c>
      <c r="S28" s="14" t="str" cm="1">
        <f t="array" ref="S28">INDEX('Report-ConceptMap-1'!$I$15:$N$270,Q28+1,R28)</f>
        <v>* group[=].element[=].display = ##34#A.1.3 Health insurance and payment information##34#</v>
      </c>
    </row>
    <row r="29" spans="1:19" ht="73.75" x14ac:dyDescent="0.75">
      <c r="B29" s="9" t="str">
        <f>Report!B21</f>
        <v>order</v>
      </c>
      <c r="C29" s="9" t="str">
        <f>Report!C21</f>
        <v>A.2-A.3 Order</v>
      </c>
      <c r="D29" s="14" t="s">
        <v>822</v>
      </c>
      <c r="E29" s="14"/>
      <c r="F29" s="75" t="s">
        <v>659</v>
      </c>
      <c r="G29" s="75" t="s">
        <v>672</v>
      </c>
      <c r="H29" s="76"/>
      <c r="I29" s="14" t="str">
        <f t="shared" si="4"/>
        <v>* group[=].element[+].code = #LabReport.order</v>
      </c>
      <c r="J29" s="14" t="str">
        <f t="shared" si="16"/>
        <v>* group[=].element[=].display = ##34#A.2-A.3 Order##34#</v>
      </c>
      <c r="K29" s="14" t="str">
        <f t="shared" si="6"/>
        <v>* group[=].element[=].target.code = #DiagnosticReport.basedOn</v>
      </c>
      <c r="L29" s="14" t="str">
        <f t="shared" si="17"/>
        <v>* group[=].element[=].target.display = ##34###34#</v>
      </c>
      <c r="M29" s="14" t="str">
        <f t="shared" si="18"/>
        <v>* group[=].element[=].target.equivalence = #relatedto</v>
      </c>
      <c r="N29" s="14" t="str">
        <f t="shared" si="3"/>
        <v>* group[=].element[=].target.comment = ##34#basedOn.resolve().ofType(ServiceRequest)##34#</v>
      </c>
      <c r="P29" s="9">
        <v>15</v>
      </c>
      <c r="Q29" s="9">
        <f t="shared" si="9"/>
        <v>2</v>
      </c>
      <c r="R29" s="9">
        <f t="shared" si="10"/>
        <v>3</v>
      </c>
      <c r="S29" s="14" t="str" cm="1">
        <f t="array" ref="S29">INDEX('Report-ConceptMap-1'!$I$15:$N$270,Q29+1,R29)</f>
        <v>* group[=].element[=].target.code = #DiagnosticReport.basedOn.insurance</v>
      </c>
    </row>
    <row r="30" spans="1:19" ht="44.25" x14ac:dyDescent="0.75">
      <c r="B30" s="9" t="str">
        <f>Report!B22</f>
        <v>specimen</v>
      </c>
      <c r="C30" s="9" t="str">
        <f>Report!C22</f>
        <v>A.4 Specimen information</v>
      </c>
      <c r="D30" s="14" t="s">
        <v>337</v>
      </c>
      <c r="E30" s="14"/>
      <c r="F30" s="75" t="s">
        <v>659</v>
      </c>
      <c r="G30" s="75"/>
      <c r="H30" s="76"/>
      <c r="I30" s="14" t="str">
        <f t="shared" si="4"/>
        <v>* group[=].element[+].code = #LabReport.specimen</v>
      </c>
      <c r="J30" s="14" t="str">
        <f t="shared" si="16"/>
        <v>* group[=].element[=].display = ##34#A.4 Specimen information##34#</v>
      </c>
      <c r="K30" s="14" t="str">
        <f t="shared" si="6"/>
        <v>* group[=].element[=].target.code = #DiagnosticReport.specimen</v>
      </c>
      <c r="L30" s="14" t="str">
        <f t="shared" si="17"/>
        <v>* group[=].element[=].target.display = ##34###34#</v>
      </c>
      <c r="M30" s="14" t="str">
        <f t="shared" si="18"/>
        <v>* group[=].element[=].target.equivalence = #relatedto</v>
      </c>
      <c r="N30" s="14" t="str">
        <f t="shared" si="3"/>
        <v/>
      </c>
      <c r="P30" s="9">
        <v>16</v>
      </c>
      <c r="Q30" s="9">
        <f t="shared" si="9"/>
        <v>2</v>
      </c>
      <c r="R30" s="9">
        <f t="shared" si="10"/>
        <v>4</v>
      </c>
      <c r="S30" s="14" t="str" cm="1">
        <f t="array" ref="S30">INDEX('Report-ConceptMap-1'!$I$15:$N$270,Q30+1,R30)</f>
        <v>* group[=].element[=].target.display = ##34###34#</v>
      </c>
    </row>
    <row r="31" spans="1:19" ht="44.25" x14ac:dyDescent="0.75">
      <c r="B31" s="9" t="str">
        <f>Report!B23</f>
        <v>result</v>
      </c>
      <c r="C31" s="9" t="str">
        <f>Report!C23</f>
        <v>A.5 Results data elements</v>
      </c>
      <c r="D31" s="14" t="s">
        <v>338</v>
      </c>
      <c r="E31" s="14"/>
      <c r="F31" s="75" t="s">
        <v>659</v>
      </c>
      <c r="G31" s="75"/>
      <c r="H31" s="76"/>
      <c r="I31" s="14" t="str">
        <f t="shared" si="4"/>
        <v>* group[=].element[+].code = #LabReport.result</v>
      </c>
      <c r="J31" s="14" t="str">
        <f t="shared" si="16"/>
        <v>* group[=].element[=].display = ##34#A.5 Results data elements##34#</v>
      </c>
      <c r="K31" s="14" t="str">
        <f t="shared" si="6"/>
        <v>* group[=].element[=].target.code = #DiagnosticReport.result</v>
      </c>
      <c r="L31" s="14" t="str">
        <f t="shared" si="17"/>
        <v>* group[=].element[=].target.display = ##34###34#</v>
      </c>
      <c r="M31" s="14" t="str">
        <f t="shared" si="18"/>
        <v>* group[=].element[=].target.equivalence = #relatedto</v>
      </c>
      <c r="N31" s="14" t="str">
        <f t="shared" si="3"/>
        <v/>
      </c>
      <c r="P31" s="9">
        <v>17</v>
      </c>
      <c r="Q31" s="9">
        <f t="shared" si="9"/>
        <v>2</v>
      </c>
      <c r="R31" s="9">
        <f t="shared" si="10"/>
        <v>5</v>
      </c>
      <c r="S31" s="14" t="str" cm="1">
        <f t="array" ref="S31">INDEX('Report-ConceptMap-1'!$I$15:$N$270,Q31+1,R31)</f>
        <v>* group[=].element[=].target.equivalence = #relatedto</v>
      </c>
    </row>
    <row r="32" spans="1:19" ht="73.75" x14ac:dyDescent="0.75">
      <c r="B32" s="9" t="str">
        <f>Report!B22</f>
        <v>specimen</v>
      </c>
      <c r="C32" s="9" t="str">
        <f>Report!C22</f>
        <v>A.4 Specimen information</v>
      </c>
      <c r="D32" s="14" t="s">
        <v>828</v>
      </c>
      <c r="E32" s="14"/>
      <c r="F32" s="75" t="s">
        <v>659</v>
      </c>
      <c r="G32" s="14" t="s">
        <v>793</v>
      </c>
      <c r="H32" s="76"/>
      <c r="I32" s="14" t="str">
        <f t="shared" ref="I32" si="19">"* group[=].element[+].code = #"&amp;$B$14&amp;"."&amp;B32</f>
        <v>* group[=].element[+].code = #LabReport.specimen</v>
      </c>
      <c r="J32" s="14" t="str">
        <f t="shared" ref="J32" si="20">"* group[=].element[=].display = ##34#"&amp;C32&amp;"##34#"</f>
        <v>* group[=].element[=].display = ##34#A.4 Specimen information##34#</v>
      </c>
      <c r="K32" s="14" t="str">
        <f t="shared" ref="K32" si="21">IF(F32="unmatched","//-- unmatched",IF(D32="","* group[=].element[=].target.code = #"&amp;$D$14,"* group[=].element[=].target.code = #"&amp;$D$14&amp;"."&amp;D32))</f>
        <v>* group[=].element[=].target.code = #DiagnosticReport.result.specimen</v>
      </c>
      <c r="L32" s="14" t="str">
        <f t="shared" ref="L32" si="22">IF(F32="unmatched","//-- unmatched","* group[=].element[=].target.display = ##34#"&amp;E32&amp;"##34#")</f>
        <v>* group[=].element[=].target.display = ##34###34#</v>
      </c>
      <c r="M32" s="14" t="str">
        <f t="shared" ref="M32" si="23">"* group[=].element[=].target.equivalence = #"&amp;F32</f>
        <v>* group[=].element[=].target.equivalence = #relatedto</v>
      </c>
      <c r="N32" s="14" t="str">
        <f t="shared" ref="N32" si="24">IF(G32&lt;&gt;"",CONCATENATE("* group[=].element[=].target.comment = ","##34#",G32,"##34#"),"")</f>
        <v>* group[=].element[=].target.comment = ##34#result.resolve().ofType(Observation).specimen##34#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x14ac:dyDescent="0.75">
      <c r="B33" s="9"/>
      <c r="C33" s="9"/>
      <c r="D33" s="14"/>
      <c r="E33" s="14"/>
      <c r="F33" s="75"/>
      <c r="G33" s="75"/>
      <c r="H33" s="76"/>
      <c r="I33" s="14"/>
      <c r="J33" s="14"/>
      <c r="K33" s="14"/>
      <c r="L33" s="14"/>
      <c r="M33" s="14"/>
      <c r="N33" s="1"/>
      <c r="P33" s="9"/>
      <c r="Q33" s="9"/>
      <c r="R33" s="9"/>
      <c r="S33" s="14"/>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INDEX('Report-ConceptMap-1'!$I$15:$N$270,Q34+1,R34)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INDEX('Report-ConceptMap-1'!$I$15:$N$270,Q35+1,R35)</f>
        <v>//-- unmatched</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INDEX('Report-ConceptMap-1'!$I$15:$N$270,Q36+1,R36)</f>
        <v>//-- unmatched</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INDEX('Report-ConceptMap-1'!$I$15:$N$270,Q37+1,R37)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INDEX('Report-ConceptMap-1'!$I$15:$N$270,Q45+1,R45)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INDEX('Report-ConceptMap-1'!$I$15:$N$270,Q46+1,R46)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0"/>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0"/>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0"/>
        <v>1</v>
      </c>
      <c r="S51" s="14" t="str" cm="1">
        <f t="array" ref="S51">INDEX('Report-ConceptMap-1'!$I$15:$N$270,Q51+1,R51)</f>
        <v>* group[=].element[+].code = #LabReport.header.legalAuthenticator</v>
      </c>
    </row>
    <row r="52" spans="2:19" x14ac:dyDescent="0.75">
      <c r="F52" s="76"/>
      <c r="G52" s="76"/>
      <c r="H52" s="76"/>
      <c r="J52" s="76"/>
      <c r="K52" s="76"/>
      <c r="L52" s="76"/>
      <c r="M52" s="76"/>
      <c r="N52" s="76"/>
      <c r="P52" s="9">
        <v>38</v>
      </c>
      <c r="Q52" s="9">
        <f t="shared" si="9"/>
        <v>6</v>
      </c>
      <c r="R52" s="9">
        <f t="shared" si="10"/>
        <v>2</v>
      </c>
      <c r="S52" s="14" t="str" cm="1">
        <f t="array" ref="S52">INDEX('Report-ConceptMap-1'!$I$15:$N$270,Q52+1,R52)</f>
        <v>* group[=].element[=].display = ##34#A.1.6 Legal authenticator##34#</v>
      </c>
    </row>
    <row r="53" spans="2:19" ht="29.5" x14ac:dyDescent="0.75">
      <c r="B53" t="s">
        <v>647</v>
      </c>
      <c r="C53" t="s">
        <v>648</v>
      </c>
      <c r="D53" s="1" t="s">
        <v>649</v>
      </c>
      <c r="E53" t="s">
        <v>650</v>
      </c>
      <c r="P53" s="9">
        <v>39</v>
      </c>
      <c r="Q53" s="9">
        <f t="shared" si="9"/>
        <v>6</v>
      </c>
      <c r="R53" s="9">
        <f t="shared" si="10"/>
        <v>3</v>
      </c>
      <c r="S53" s="14" t="str" cm="1">
        <f t="array" ref="S53">INDEX('Report-ConceptMap-1'!$I$15:$N$270,Q53+1,R53)</f>
        <v>//-- unmatched</v>
      </c>
    </row>
    <row r="54" spans="2:19" x14ac:dyDescent="0.75">
      <c r="P54" s="9">
        <v>40</v>
      </c>
      <c r="Q54" s="9">
        <f t="shared" si="9"/>
        <v>6</v>
      </c>
      <c r="R54" s="9">
        <f t="shared" si="10"/>
        <v>4</v>
      </c>
      <c r="S54" s="14" t="str" cm="1">
        <f t="array" ref="S54">INDEX('Report-ConceptMap-1'!$I$15:$N$270,Q54+1,R54)</f>
        <v>//-- unmatched</v>
      </c>
    </row>
    <row r="55" spans="2:19" x14ac:dyDescent="0.75">
      <c r="P55" s="9">
        <v>41</v>
      </c>
      <c r="Q55" s="9">
        <f t="shared" si="9"/>
        <v>6</v>
      </c>
      <c r="R55" s="9">
        <f t="shared" si="10"/>
        <v>5</v>
      </c>
      <c r="S55" s="14" t="str" cm="1">
        <f t="array" ref="S55">INDEX('Report-ConceptMap-1'!$I$15:$N$270,Q55+1,R55)</f>
        <v>* group[=].element[=].target.equivalence = #unmatched</v>
      </c>
    </row>
    <row r="56" spans="2:19" ht="29.5" x14ac:dyDescent="0.75">
      <c r="P56" s="9">
        <v>42</v>
      </c>
      <c r="Q56" s="9">
        <f t="shared" si="9"/>
        <v>6</v>
      </c>
      <c r="R56" s="9">
        <f t="shared" si="10"/>
        <v>6</v>
      </c>
      <c r="S56" s="14" t="str" cm="1">
        <f t="array" ref="S56">INDEX('Report-ConceptMap-1'!$I$15:$N$270,Q56+1,R56)</f>
        <v>* group[=].element[=].target.comment = ##34#Mapped in the Composition resource##34#</v>
      </c>
    </row>
    <row r="57" spans="2:19" x14ac:dyDescent="0.75">
      <c r="P57" s="9">
        <v>43</v>
      </c>
      <c r="Q57" s="9">
        <f t="shared" si="9"/>
        <v>7</v>
      </c>
      <c r="R57" s="9">
        <f t="shared" si="10"/>
        <v>1</v>
      </c>
      <c r="S57" s="14" t="str" cm="1">
        <f t="array" ref="S57">INDEX('Report-ConceptMap-1'!$I$15:$N$270,Q57+1,R57)</f>
        <v>* group[=].element[+].code = #LabReport.header.validator</v>
      </c>
    </row>
    <row r="58" spans="2:19" x14ac:dyDescent="0.75">
      <c r="P58" s="9">
        <v>44</v>
      </c>
      <c r="Q58" s="9">
        <f t="shared" si="9"/>
        <v>7</v>
      </c>
      <c r="R58" s="9">
        <f t="shared" si="10"/>
        <v>2</v>
      </c>
      <c r="S58" s="14" t="str" cm="1">
        <f t="array" ref="S58">INDEX('Report-ConceptMap-1'!$I$15:$N$270,Q58+1,R58)</f>
        <v>* group[=].element[=].display = ##34#A.1.7 Result validator##34#</v>
      </c>
    </row>
    <row r="59" spans="2:19" x14ac:dyDescent="0.75">
      <c r="P59" s="9">
        <v>45</v>
      </c>
      <c r="Q59" s="9">
        <f t="shared" si="9"/>
        <v>7</v>
      </c>
      <c r="R59" s="9">
        <f t="shared" si="10"/>
        <v>3</v>
      </c>
      <c r="S59" s="14" t="str" cm="1">
        <f t="array" ref="S59">INDEX('Report-ConceptMap-1'!$I$15:$N$270,Q59+1,R59)</f>
        <v>//-- unmatched</v>
      </c>
    </row>
    <row r="60" spans="2:19" x14ac:dyDescent="0.75">
      <c r="P60" s="9">
        <v>46</v>
      </c>
      <c r="Q60" s="9">
        <f t="shared" si="9"/>
        <v>7</v>
      </c>
      <c r="R60" s="9">
        <f t="shared" si="10"/>
        <v>4</v>
      </c>
      <c r="S60" s="14" t="str" cm="1">
        <f t="array" ref="S60">INDEX('Report-ConceptMap-1'!$I$15:$N$270,Q60+1,R60)</f>
        <v>//-- unmatched</v>
      </c>
    </row>
    <row r="61" spans="2:19" x14ac:dyDescent="0.75">
      <c r="P61" s="9">
        <v>47</v>
      </c>
      <c r="Q61" s="9">
        <f t="shared" si="9"/>
        <v>7</v>
      </c>
      <c r="R61" s="9">
        <f t="shared" si="10"/>
        <v>5</v>
      </c>
      <c r="S61" s="14" t="str" cm="1">
        <f t="array" ref="S61">INDEX('Report-ConceptMap-1'!$I$15:$N$270,Q61+1,R61)</f>
        <v>* group[=].element[=].target.equivalence = #unmatched</v>
      </c>
    </row>
    <row r="62" spans="2:19" ht="29.5" x14ac:dyDescent="0.75">
      <c r="P62" s="9">
        <v>48</v>
      </c>
      <c r="Q62" s="9">
        <f t="shared" si="9"/>
        <v>7</v>
      </c>
      <c r="R62" s="9">
        <f t="shared" si="10"/>
        <v>6</v>
      </c>
      <c r="S62" s="14" t="str" cm="1">
        <f t="array" ref="S62">INDEX('Report-ConceptMap-1'!$I$15:$N$270,Q62+1,R62)</f>
        <v>* group[=].element[=].target.comment = ##34#Mapped in the Composition resource##34#</v>
      </c>
    </row>
    <row r="63" spans="2:19" x14ac:dyDescent="0.75">
      <c r="P63" s="9">
        <v>49</v>
      </c>
      <c r="Q63" s="9">
        <f t="shared" si="9"/>
        <v>8</v>
      </c>
      <c r="R63" s="9">
        <f t="shared" si="10"/>
        <v>1</v>
      </c>
      <c r="S63" s="14" t="str" cm="1">
        <f t="array" ref="S63">INDEX('Report-ConceptMap-1'!$I$15:$N$270,Q63+1,R63)</f>
        <v>* group[=].element[+].code = #LabReport.header.metadata</v>
      </c>
    </row>
    <row r="64" spans="2:19" x14ac:dyDescent="0.75">
      <c r="P64" s="9">
        <v>50</v>
      </c>
      <c r="Q64" s="9">
        <f t="shared" si="9"/>
        <v>8</v>
      </c>
      <c r="R64" s="9">
        <f t="shared" si="10"/>
        <v>2</v>
      </c>
      <c r="S64" s="14" t="str" cm="1">
        <f t="array" ref="S64">INDEX('Report-ConceptMap-1'!$I$15:$N$270,Q64+1,R64)</f>
        <v>* group[=].element[=].display = ##34#A.1.8 Laboratory report metadata##34#</v>
      </c>
    </row>
    <row r="65" spans="16:19" x14ac:dyDescent="0.75">
      <c r="P65" s="9">
        <v>51</v>
      </c>
      <c r="Q65" s="9">
        <f t="shared" si="9"/>
        <v>8</v>
      </c>
      <c r="R65" s="9">
        <f t="shared" si="10"/>
        <v>3</v>
      </c>
      <c r="S65" s="14" t="str" cm="1">
        <f t="array" ref="S65">INDEX('Report-ConceptMap-1'!$I$15:$N$270,Q65+1,R65)</f>
        <v>* group[=].element[=].target.code = #DiagnosticReport</v>
      </c>
    </row>
    <row r="66" spans="16:19" x14ac:dyDescent="0.75">
      <c r="P66" s="9">
        <v>52</v>
      </c>
      <c r="Q66" s="9">
        <f t="shared" si="9"/>
        <v>8</v>
      </c>
      <c r="R66" s="9">
        <f t="shared" si="10"/>
        <v>4</v>
      </c>
      <c r="S66" s="14" t="str" cm="1">
        <f t="array" ref="S66">INDEX('Report-ConceptMap-1'!$I$15:$N$270,Q66+1,R66)</f>
        <v>* group[=].element[=].target.display = ##34###34#</v>
      </c>
    </row>
    <row r="67" spans="16:19" x14ac:dyDescent="0.75">
      <c r="P67" s="9">
        <v>53</v>
      </c>
      <c r="Q67" s="9">
        <f t="shared" si="9"/>
        <v>8</v>
      </c>
      <c r="R67" s="9">
        <f t="shared" si="10"/>
        <v>5</v>
      </c>
      <c r="S67" s="14" t="str" cm="1">
        <f t="array" ref="S67">INDEX('Report-ConceptMap-1'!$I$15:$N$270,Q67+1,R67)</f>
        <v>* group[=].element[=].target.equivalence = #relatedto</v>
      </c>
    </row>
    <row r="68" spans="16:19" x14ac:dyDescent="0.75">
      <c r="P68" s="9">
        <v>54</v>
      </c>
      <c r="Q68" s="9">
        <f t="shared" si="9"/>
        <v>8</v>
      </c>
      <c r="R68" s="9">
        <f t="shared" si="10"/>
        <v>6</v>
      </c>
      <c r="S68" s="14" t="str" cm="1">
        <f t="array" ref="S68">INDEX('Report-ConceptMap-1'!$I$15:$N$270,Q68+1,R68)</f>
        <v/>
      </c>
    </row>
    <row r="69" spans="16:19" x14ac:dyDescent="0.75">
      <c r="P69" s="9">
        <v>55</v>
      </c>
      <c r="Q69" s="9">
        <f t="shared" si="9"/>
        <v>9</v>
      </c>
      <c r="R69" s="9">
        <f t="shared" si="10"/>
        <v>1</v>
      </c>
      <c r="S69" s="14" t="str" cm="1">
        <f t="array" ref="S69">INDEX('Report-ConceptMap-1'!$I$15:$N$270,Q69+1,R69)</f>
        <v>* group[=].element[+].code = #LabReport.header.metadata.type</v>
      </c>
    </row>
    <row r="70" spans="16:19" x14ac:dyDescent="0.75">
      <c r="P70" s="9">
        <v>56</v>
      </c>
      <c r="Q70" s="9">
        <f t="shared" si="9"/>
        <v>9</v>
      </c>
      <c r="R70" s="9">
        <f t="shared" si="10"/>
        <v>2</v>
      </c>
      <c r="S70" s="14" t="str" cm="1">
        <f t="array" ref="S70">INDEX('Report-ConceptMap-1'!$I$15:$N$270,Q70+1,R70)</f>
        <v>* group[=].element[=].display = ##34#A.1.8.1 Document type##34#</v>
      </c>
    </row>
    <row r="71" spans="16:19" x14ac:dyDescent="0.75">
      <c r="P71" s="9">
        <v>57</v>
      </c>
      <c r="Q71" s="9">
        <f t="shared" si="9"/>
        <v>9</v>
      </c>
      <c r="R71" s="9">
        <f t="shared" si="10"/>
        <v>3</v>
      </c>
      <c r="S71" s="14" t="str" cm="1">
        <f t="array" ref="S71">INDEX('Report-ConceptMap-1'!$I$15:$N$270,Q71+1,R71)</f>
        <v>* group[=].element[=].target.code = #DiagnosticReport.code</v>
      </c>
    </row>
    <row r="72" spans="16:19" x14ac:dyDescent="0.75">
      <c r="P72" s="9">
        <v>58</v>
      </c>
      <c r="Q72" s="9">
        <f t="shared" si="9"/>
        <v>9</v>
      </c>
      <c r="R72" s="9">
        <f t="shared" si="10"/>
        <v>4</v>
      </c>
      <c r="S72" s="14" t="str" cm="1">
        <f t="array" ref="S72">INDEX('Report-ConceptMap-1'!$I$15:$N$270,Q72+1,R72)</f>
        <v>* group[=].element[=].target.display = ##34###34#</v>
      </c>
    </row>
    <row r="73" spans="16:19" x14ac:dyDescent="0.75">
      <c r="P73" s="9">
        <v>59</v>
      </c>
      <c r="Q73" s="9">
        <f t="shared" si="9"/>
        <v>9</v>
      </c>
      <c r="R73" s="9">
        <f t="shared" si="10"/>
        <v>5</v>
      </c>
      <c r="S73" s="14" t="str" cm="1">
        <f t="array" ref="S73">INDEX('Report-ConceptMap-1'!$I$15:$N$270,Q73+1,R73)</f>
        <v>* group[=].element[=].target.equivalence = #equivalent</v>
      </c>
    </row>
    <row r="74" spans="16:19" x14ac:dyDescent="0.75">
      <c r="P74" s="9">
        <v>60</v>
      </c>
      <c r="Q74" s="9">
        <f t="shared" si="9"/>
        <v>9</v>
      </c>
      <c r="R74" s="9">
        <f t="shared" si="10"/>
        <v>6</v>
      </c>
      <c r="S74" s="14" t="str" cm="1">
        <f t="array" ref="S74">INDEX('Report-ConceptMap-1'!$I$15:$N$270,Q74+1,R74)</f>
        <v/>
      </c>
    </row>
    <row r="75" spans="16:19" x14ac:dyDescent="0.75">
      <c r="P75" s="9">
        <v>61</v>
      </c>
      <c r="Q75" s="9">
        <f t="shared" si="9"/>
        <v>10</v>
      </c>
      <c r="R75" s="9">
        <f t="shared" si="10"/>
        <v>1</v>
      </c>
      <c r="S75" s="14" t="str" cm="1">
        <f t="array" ref="S75">INDEX('Report-ConceptMap-1'!$I$15:$N$270,Q75+1,R75)</f>
        <v>* group[=].element[+].code = #LabReport.header.metadata.status</v>
      </c>
    </row>
    <row r="76" spans="16:19" x14ac:dyDescent="0.75">
      <c r="P76" s="9">
        <v>62</v>
      </c>
      <c r="Q76" s="9">
        <f t="shared" si="9"/>
        <v>10</v>
      </c>
      <c r="R76" s="9">
        <f t="shared" si="10"/>
        <v>2</v>
      </c>
      <c r="S76" s="14" t="str" cm="1">
        <f t="array" ref="S76">INDEX('Report-ConceptMap-1'!$I$15:$N$270,Q76+1,R76)</f>
        <v>* group[=].element[=].display = ##34#A.1.8.2 Document status##34#</v>
      </c>
    </row>
    <row r="77" spans="16:19" x14ac:dyDescent="0.75">
      <c r="P77" s="9">
        <v>63</v>
      </c>
      <c r="Q77" s="9">
        <f t="shared" si="9"/>
        <v>10</v>
      </c>
      <c r="R77" s="9">
        <f t="shared" si="10"/>
        <v>3</v>
      </c>
      <c r="S77" s="14" t="str" cm="1">
        <f t="array" ref="S77">INDEX('Report-ConceptMap-1'!$I$15:$N$270,Q77+1,R77)</f>
        <v>* group[=].element[=].target.code = #DiagnosticReport.status</v>
      </c>
    </row>
    <row r="78" spans="16:19" x14ac:dyDescent="0.75">
      <c r="P78" s="9">
        <v>64</v>
      </c>
      <c r="Q78" s="9">
        <f t="shared" si="9"/>
        <v>10</v>
      </c>
      <c r="R78" s="9">
        <f t="shared" si="10"/>
        <v>4</v>
      </c>
      <c r="S78" s="14" t="str" cm="1">
        <f t="array" ref="S78">INDEX('Report-ConceptMap-1'!$I$15:$N$270,Q78+1,R78)</f>
        <v>* group[=].element[=].target.display = ##34###34#</v>
      </c>
    </row>
    <row r="79" spans="16:19" x14ac:dyDescent="0.75">
      <c r="P79" s="9">
        <v>65</v>
      </c>
      <c r="Q79" s="9">
        <f t="shared" si="9"/>
        <v>10</v>
      </c>
      <c r="R79" s="9">
        <f t="shared" si="10"/>
        <v>5</v>
      </c>
      <c r="S79" s="14" t="str" cm="1">
        <f t="array" ref="S79">INDEX('Report-ConceptMap-1'!$I$15:$N$270,Q79+1,R79)</f>
        <v>* group[=].element[=].target.equivalence = #relatedto</v>
      </c>
    </row>
    <row r="80" spans="16:19" x14ac:dyDescent="0.75">
      <c r="P80" s="9">
        <v>66</v>
      </c>
      <c r="Q80" s="9">
        <f t="shared" si="9"/>
        <v>10</v>
      </c>
      <c r="R80" s="9">
        <f t="shared" si="10"/>
        <v>6</v>
      </c>
      <c r="S80" s="14" t="str" cm="1">
        <f t="array" ref="S80">INDEX('Report-ConceptMap-1'!$I$15:$N$270,Q80+1,R80)</f>
        <v/>
      </c>
    </row>
    <row r="81" spans="16:19" x14ac:dyDescent="0.75">
      <c r="P81" s="9">
        <v>67</v>
      </c>
      <c r="Q81" s="9">
        <f t="shared" ref="Q81:Q144" si="25">IF(MOD(P81,$Q$8)=0,P81/$Q$8-1,INT(P81/$Q$8))</f>
        <v>11</v>
      </c>
      <c r="R81" s="9">
        <f t="shared" ref="R81:R144" si="26">IF(MOD(P81,$Q$8)=0,$Q$8,MOD(P81,$Q$8))</f>
        <v>1</v>
      </c>
      <c r="S81" s="14" t="str" cm="1">
        <f t="array" ref="S81">INDEX('Report-ConceptMap-1'!$I$15:$N$270,Q81+1,R81)</f>
        <v>* group[=].element[+].code = #LabReport.header.metadata.dateTime</v>
      </c>
    </row>
    <row r="82" spans="16:19" x14ac:dyDescent="0.75">
      <c r="P82" s="9">
        <v>68</v>
      </c>
      <c r="Q82" s="9">
        <f t="shared" si="25"/>
        <v>11</v>
      </c>
      <c r="R82" s="9">
        <f t="shared" si="26"/>
        <v>2</v>
      </c>
      <c r="S82" s="14" t="str" cm="1">
        <f t="array" ref="S82">INDEX('Report-ConceptMap-1'!$I$15:$N$270,Q82+1,R82)</f>
        <v>* group[=].element[=].display = ##34#A.1.8.3 Report date and time##34#</v>
      </c>
    </row>
    <row r="83" spans="16:19" x14ac:dyDescent="0.75">
      <c r="P83" s="9">
        <v>69</v>
      </c>
      <c r="Q83" s="9">
        <f t="shared" si="25"/>
        <v>11</v>
      </c>
      <c r="R83" s="9">
        <f t="shared" si="26"/>
        <v>3</v>
      </c>
      <c r="S83" s="14" t="str" cm="1">
        <f t="array" ref="S83">INDEX('Report-ConceptMap-1'!$I$15:$N$270,Q83+1,R83)</f>
        <v>* group[=].element[=].target.code = #DiagnosticReport.effectiveDateTime</v>
      </c>
    </row>
    <row r="84" spans="16:19" x14ac:dyDescent="0.75">
      <c r="P84" s="9">
        <v>70</v>
      </c>
      <c r="Q84" s="9">
        <f t="shared" si="25"/>
        <v>11</v>
      </c>
      <c r="R84" s="9">
        <f t="shared" si="26"/>
        <v>4</v>
      </c>
      <c r="S84" s="14" t="str" cm="1">
        <f t="array" ref="S84">INDEX('Report-ConceptMap-1'!$I$15:$N$270,Q84+1,R84)</f>
        <v>* group[=].element[=].target.display = ##34###34#</v>
      </c>
    </row>
    <row r="85" spans="16:19" x14ac:dyDescent="0.75">
      <c r="P85" s="9">
        <v>71</v>
      </c>
      <c r="Q85" s="9">
        <f t="shared" si="25"/>
        <v>11</v>
      </c>
      <c r="R85" s="9">
        <f t="shared" si="26"/>
        <v>5</v>
      </c>
      <c r="S85" s="14" t="str" cm="1">
        <f t="array" ref="S85">INDEX('Report-ConceptMap-1'!$I$15:$N$270,Q85+1,R85)</f>
        <v>* group[=].element[=].target.equivalence = #equivalent</v>
      </c>
    </row>
    <row r="86" spans="16:19" x14ac:dyDescent="0.75">
      <c r="P86" s="9">
        <v>72</v>
      </c>
      <c r="Q86" s="9">
        <f t="shared" si="25"/>
        <v>11</v>
      </c>
      <c r="R86" s="9">
        <f t="shared" si="26"/>
        <v>6</v>
      </c>
      <c r="S86" s="14" t="str" cm="1">
        <f t="array" ref="S86">INDEX('Report-ConceptMap-1'!$I$15:$N$270,Q86+1,R86)</f>
        <v/>
      </c>
    </row>
    <row r="87" spans="16:19" x14ac:dyDescent="0.75">
      <c r="P87" s="9">
        <v>73</v>
      </c>
      <c r="Q87" s="9">
        <f t="shared" si="25"/>
        <v>12</v>
      </c>
      <c r="R87" s="9">
        <f t="shared" si="26"/>
        <v>1</v>
      </c>
      <c r="S87" s="14" t="str" cm="1">
        <f t="array" ref="S87">INDEX('Report-ConceptMap-1'!$I$15:$N$270,Q87+1,R87)</f>
        <v>* group[=].element[+].code = #LabReport.header.metadata.title</v>
      </c>
    </row>
    <row r="88" spans="16:19" x14ac:dyDescent="0.75">
      <c r="P88" s="9">
        <v>74</v>
      </c>
      <c r="Q88" s="9">
        <f t="shared" si="25"/>
        <v>12</v>
      </c>
      <c r="R88" s="9">
        <f t="shared" si="26"/>
        <v>2</v>
      </c>
      <c r="S88" s="14" t="str" cm="1">
        <f t="array" ref="S88">INDEX('Report-ConceptMap-1'!$I$15:$N$270,Q88+1,R88)</f>
        <v>* group[=].element[=].display = ##34#A.1.8.4 Document title##34#</v>
      </c>
    </row>
    <row r="89" spans="16:19" x14ac:dyDescent="0.75">
      <c r="P89" s="9">
        <v>75</v>
      </c>
      <c r="Q89" s="9">
        <f t="shared" si="25"/>
        <v>12</v>
      </c>
      <c r="R89" s="9">
        <f t="shared" si="26"/>
        <v>3</v>
      </c>
      <c r="S89" s="14" t="str" cm="1">
        <f t="array" ref="S89">INDEX('Report-ConceptMap-1'!$I$15:$N$270,Q89+1,R89)</f>
        <v>//-- unmatched</v>
      </c>
    </row>
    <row r="90" spans="16:19" x14ac:dyDescent="0.75">
      <c r="P90" s="9">
        <v>76</v>
      </c>
      <c r="Q90" s="9">
        <f t="shared" si="25"/>
        <v>12</v>
      </c>
      <c r="R90" s="9">
        <f t="shared" si="26"/>
        <v>4</v>
      </c>
      <c r="S90" s="14" t="str" cm="1">
        <f t="array" ref="S90">INDEX('Report-ConceptMap-1'!$I$15:$N$270,Q90+1,R90)</f>
        <v>//-- unmatched</v>
      </c>
    </row>
    <row r="91" spans="16:19" x14ac:dyDescent="0.75">
      <c r="P91" s="9">
        <v>77</v>
      </c>
      <c r="Q91" s="9">
        <f t="shared" si="25"/>
        <v>12</v>
      </c>
      <c r="R91" s="9">
        <f t="shared" si="26"/>
        <v>5</v>
      </c>
      <c r="S91" s="14" t="str" cm="1">
        <f t="array" ref="S91">INDEX('Report-ConceptMap-1'!$I$15:$N$270,Q91+1,R91)</f>
        <v>* group[=].element[=].target.equivalence = #unmatched</v>
      </c>
    </row>
    <row r="92" spans="16:19" ht="29.5" x14ac:dyDescent="0.75">
      <c r="P92" s="9">
        <v>78</v>
      </c>
      <c r="Q92" s="9">
        <f t="shared" si="25"/>
        <v>12</v>
      </c>
      <c r="R92" s="9">
        <f t="shared" si="26"/>
        <v>6</v>
      </c>
      <c r="S92" s="14" t="str" cm="1">
        <f t="array" ref="S92">INDEX('Report-ConceptMap-1'!$I$15:$N$270,Q92+1,R92)</f>
        <v>* group[=].element[=].target.comment = ##34#Mapped in the Composition resource##34#</v>
      </c>
    </row>
    <row r="93" spans="16:19" x14ac:dyDescent="0.75">
      <c r="P93" s="9">
        <v>79</v>
      </c>
      <c r="Q93" s="9">
        <f t="shared" si="25"/>
        <v>13</v>
      </c>
      <c r="R93" s="9">
        <f t="shared" si="26"/>
        <v>1</v>
      </c>
      <c r="S93" s="14" t="str" cm="1">
        <f t="array" ref="S93">INDEX('Report-ConceptMap-1'!$I$15:$N$270,Q93+1,R93)</f>
        <v>* group[=].element[+].code = #LabReport.header.metadata.custodian</v>
      </c>
    </row>
    <row r="94" spans="16:19" x14ac:dyDescent="0.75">
      <c r="P94" s="9">
        <v>80</v>
      </c>
      <c r="Q94" s="9">
        <f t="shared" si="25"/>
        <v>13</v>
      </c>
      <c r="R94" s="9">
        <f t="shared" si="26"/>
        <v>2</v>
      </c>
      <c r="S94" s="14" t="str" cm="1">
        <f t="array" ref="S94">INDEX('Report-ConceptMap-1'!$I$15:$N$270,Q94+1,R94)</f>
        <v>* group[=].element[=].display = ##34#A.1.8.5 Report custodian##34#</v>
      </c>
    </row>
    <row r="95" spans="16:19" x14ac:dyDescent="0.75">
      <c r="P95" s="9">
        <v>81</v>
      </c>
      <c r="Q95" s="9">
        <f t="shared" si="25"/>
        <v>13</v>
      </c>
      <c r="R95" s="9">
        <f t="shared" si="26"/>
        <v>3</v>
      </c>
      <c r="S95" s="14" t="str" cm="1">
        <f t="array" ref="S95">INDEX('Report-ConceptMap-1'!$I$15:$N$270,Q95+1,R95)</f>
        <v>//-- unmatched</v>
      </c>
    </row>
    <row r="96" spans="16:19" x14ac:dyDescent="0.75">
      <c r="P96" s="9">
        <v>82</v>
      </c>
      <c r="Q96" s="9">
        <f t="shared" si="25"/>
        <v>13</v>
      </c>
      <c r="R96" s="9">
        <f t="shared" si="26"/>
        <v>4</v>
      </c>
      <c r="S96" s="14" t="str" cm="1">
        <f t="array" ref="S96">INDEX('Report-ConceptMap-1'!$I$15:$N$270,Q96+1,R96)</f>
        <v>//-- unmatched</v>
      </c>
    </row>
    <row r="97" spans="16:19" x14ac:dyDescent="0.75">
      <c r="P97" s="9">
        <v>83</v>
      </c>
      <c r="Q97" s="9">
        <f t="shared" si="25"/>
        <v>13</v>
      </c>
      <c r="R97" s="9">
        <f t="shared" si="26"/>
        <v>5</v>
      </c>
      <c r="S97" s="14" t="str" cm="1">
        <f t="array" ref="S97">INDEX('Report-ConceptMap-1'!$I$15:$N$270,Q97+1,R97)</f>
        <v>* group[=].element[=].target.equivalence = #unmatched</v>
      </c>
    </row>
    <row r="98" spans="16:19" ht="29.5" x14ac:dyDescent="0.75">
      <c r="P98" s="9">
        <v>84</v>
      </c>
      <c r="Q98" s="9">
        <f t="shared" si="25"/>
        <v>13</v>
      </c>
      <c r="R98" s="9">
        <f t="shared" si="26"/>
        <v>6</v>
      </c>
      <c r="S98" s="14" t="str" cm="1">
        <f t="array" ref="S98">INDEX('Report-ConceptMap-1'!$I$15:$N$270,Q98+1,R98)</f>
        <v>* group[=].element[=].target.comment = ##34#Mapped in the Composition resource##34#</v>
      </c>
    </row>
    <row r="99" spans="16:19" x14ac:dyDescent="0.75">
      <c r="P99" s="9">
        <v>85</v>
      </c>
      <c r="Q99" s="9">
        <f t="shared" si="25"/>
        <v>14</v>
      </c>
      <c r="R99" s="9">
        <f t="shared" si="26"/>
        <v>1</v>
      </c>
      <c r="S99" s="14" t="str" cm="1">
        <f t="array" ref="S99">INDEX('Report-ConceptMap-1'!$I$15:$N$270,Q99+1,R99)</f>
        <v>* group[=].element[+].code = #LabReport.order</v>
      </c>
    </row>
    <row r="100" spans="16:19" x14ac:dyDescent="0.75">
      <c r="P100" s="9">
        <v>86</v>
      </c>
      <c r="Q100" s="9">
        <f t="shared" si="25"/>
        <v>14</v>
      </c>
      <c r="R100" s="9">
        <f t="shared" si="26"/>
        <v>2</v>
      </c>
      <c r="S100" s="14" t="str" cm="1">
        <f t="array" ref="S100">INDEX('Report-ConceptMap-1'!$I$15:$N$270,Q100+1,R100)</f>
        <v>* group[=].element[=].display = ##34#A.2-A.3 Order##34#</v>
      </c>
    </row>
    <row r="101" spans="16:19" x14ac:dyDescent="0.75">
      <c r="P101" s="9">
        <v>87</v>
      </c>
      <c r="Q101" s="9">
        <f t="shared" si="25"/>
        <v>14</v>
      </c>
      <c r="R101" s="9">
        <f t="shared" si="26"/>
        <v>3</v>
      </c>
      <c r="S101" s="14" t="str" cm="1">
        <f t="array" ref="S101">INDEX('Report-ConceptMap-1'!$I$15:$N$270,Q101+1,R101)</f>
        <v>* group[=].element[=].target.code = #DiagnosticReport.basedOn</v>
      </c>
    </row>
    <row r="102" spans="16:19" x14ac:dyDescent="0.75">
      <c r="P102" s="9">
        <v>88</v>
      </c>
      <c r="Q102" s="9">
        <f t="shared" si="25"/>
        <v>14</v>
      </c>
      <c r="R102" s="9">
        <f t="shared" si="26"/>
        <v>4</v>
      </c>
      <c r="S102" s="14" t="str" cm="1">
        <f t="array" ref="S102">INDEX('Report-ConceptMap-1'!$I$15:$N$270,Q102+1,R102)</f>
        <v>* group[=].element[=].target.display = ##34###34#</v>
      </c>
    </row>
    <row r="103" spans="16:19" x14ac:dyDescent="0.75">
      <c r="P103" s="9">
        <v>89</v>
      </c>
      <c r="Q103" s="9">
        <f t="shared" si="25"/>
        <v>14</v>
      </c>
      <c r="R103" s="9">
        <f t="shared" si="26"/>
        <v>5</v>
      </c>
      <c r="S103" s="14" t="str" cm="1">
        <f t="array" ref="S103">INDEX('Report-ConceptMap-1'!$I$15:$N$270,Q103+1,R103)</f>
        <v>* group[=].element[=].target.equivalence = #relatedto</v>
      </c>
    </row>
    <row r="104" spans="16:19" ht="29.5" x14ac:dyDescent="0.75">
      <c r="P104" s="9">
        <v>90</v>
      </c>
      <c r="Q104" s="9">
        <f t="shared" si="25"/>
        <v>14</v>
      </c>
      <c r="R104" s="9">
        <f t="shared" si="26"/>
        <v>6</v>
      </c>
      <c r="S104" s="14" t="str" cm="1">
        <f t="array" ref="S104">INDEX('Report-ConceptMap-1'!$I$15:$N$270,Q104+1,R104)</f>
        <v>* group[=].element[=].target.comment = ##34#basedOn.resolve().ofType(ServiceRequest)##34#</v>
      </c>
    </row>
    <row r="105" spans="16:19" x14ac:dyDescent="0.75">
      <c r="P105" s="9">
        <v>91</v>
      </c>
      <c r="Q105" s="9">
        <f t="shared" si="25"/>
        <v>15</v>
      </c>
      <c r="R105" s="9">
        <f t="shared" si="26"/>
        <v>1</v>
      </c>
      <c r="S105" s="14" t="str" cm="1">
        <f t="array" ref="S105">INDEX('Report-ConceptMap-1'!$I$15:$N$270,Q105+1,R105)</f>
        <v>* group[=].element[+].code = #LabReport.specimen</v>
      </c>
    </row>
    <row r="106" spans="16:19" x14ac:dyDescent="0.75">
      <c r="P106" s="9">
        <v>92</v>
      </c>
      <c r="Q106" s="9">
        <f t="shared" si="25"/>
        <v>15</v>
      </c>
      <c r="R106" s="9">
        <f t="shared" si="26"/>
        <v>2</v>
      </c>
      <c r="S106" s="14" t="str" cm="1">
        <f t="array" ref="S106">INDEX('Report-ConceptMap-1'!$I$15:$N$270,Q106+1,R106)</f>
        <v>* group[=].element[=].display = ##34#A.4 Specimen information##34#</v>
      </c>
    </row>
    <row r="107" spans="16:19" x14ac:dyDescent="0.75">
      <c r="P107" s="9">
        <v>93</v>
      </c>
      <c r="Q107" s="9">
        <f t="shared" si="25"/>
        <v>15</v>
      </c>
      <c r="R107" s="9">
        <f t="shared" si="26"/>
        <v>3</v>
      </c>
      <c r="S107" s="14" t="str" cm="1">
        <f t="array" ref="S107">INDEX('Report-ConceptMap-1'!$I$15:$N$270,Q107+1,R107)</f>
        <v>* group[=].element[=].target.code = #DiagnosticReport.specimen</v>
      </c>
    </row>
    <row r="108" spans="16:19" x14ac:dyDescent="0.75">
      <c r="P108" s="9">
        <v>94</v>
      </c>
      <c r="Q108" s="9">
        <f t="shared" si="25"/>
        <v>15</v>
      </c>
      <c r="R108" s="9">
        <f t="shared" si="26"/>
        <v>4</v>
      </c>
      <c r="S108" s="14" t="str" cm="1">
        <f t="array" ref="S108">INDEX('Report-ConceptMap-1'!$I$15:$N$270,Q108+1,R108)</f>
        <v>* group[=].element[=].target.display = ##34###34#</v>
      </c>
    </row>
    <row r="109" spans="16:19" x14ac:dyDescent="0.75">
      <c r="P109" s="9">
        <v>95</v>
      </c>
      <c r="Q109" s="9">
        <f t="shared" si="25"/>
        <v>15</v>
      </c>
      <c r="R109" s="9">
        <f t="shared" si="26"/>
        <v>5</v>
      </c>
      <c r="S109" s="14" t="str" cm="1">
        <f t="array" ref="S109">INDEX('Report-ConceptMap-1'!$I$15:$N$270,Q109+1,R109)</f>
        <v>* group[=].element[=].target.equivalence = #relatedto</v>
      </c>
    </row>
    <row r="110" spans="16:19" x14ac:dyDescent="0.75">
      <c r="P110" s="9">
        <v>96</v>
      </c>
      <c r="Q110" s="9">
        <f t="shared" si="25"/>
        <v>15</v>
      </c>
      <c r="R110" s="9">
        <f t="shared" si="26"/>
        <v>6</v>
      </c>
      <c r="S110" s="14" t="str" cm="1">
        <f t="array" ref="S110">INDEX('Report-ConceptMap-1'!$I$15:$N$270,Q110+1,R110)</f>
        <v/>
      </c>
    </row>
    <row r="111" spans="16:19" x14ac:dyDescent="0.75">
      <c r="P111" s="9">
        <v>97</v>
      </c>
      <c r="Q111" s="9">
        <f t="shared" si="25"/>
        <v>16</v>
      </c>
      <c r="R111" s="9">
        <f t="shared" si="26"/>
        <v>1</v>
      </c>
      <c r="S111" s="14" t="str" cm="1">
        <f t="array" ref="S111">INDEX('Report-ConceptMap-1'!$I$15:$N$270,Q111+1,R111)</f>
        <v>* group[=].element[+].code = #LabReport.result</v>
      </c>
    </row>
    <row r="112" spans="16:19" x14ac:dyDescent="0.75">
      <c r="P112" s="9">
        <v>98</v>
      </c>
      <c r="Q112" s="9">
        <f t="shared" si="25"/>
        <v>16</v>
      </c>
      <c r="R112" s="9">
        <f t="shared" si="26"/>
        <v>2</v>
      </c>
      <c r="S112" s="14" t="str" cm="1">
        <f t="array" ref="S112">INDEX('Report-ConceptMap-1'!$I$15:$N$270,Q112+1,R112)</f>
        <v>* group[=].element[=].display = ##34#A.5 Results data elements##34#</v>
      </c>
    </row>
    <row r="113" spans="16:19" x14ac:dyDescent="0.75">
      <c r="P113" s="9">
        <v>99</v>
      </c>
      <c r="Q113" s="9">
        <f t="shared" si="25"/>
        <v>16</v>
      </c>
      <c r="R113" s="9">
        <f t="shared" si="26"/>
        <v>3</v>
      </c>
      <c r="S113" s="14" t="str" cm="1">
        <f t="array" ref="S113">INDEX('Report-ConceptMap-1'!$I$15:$N$270,Q113+1,R113)</f>
        <v>* group[=].element[=].target.code = #DiagnosticReport.result</v>
      </c>
    </row>
    <row r="114" spans="16:19" x14ac:dyDescent="0.75">
      <c r="P114" s="9">
        <v>100</v>
      </c>
      <c r="Q114" s="9">
        <f t="shared" si="25"/>
        <v>16</v>
      </c>
      <c r="R114" s="9">
        <f t="shared" si="26"/>
        <v>4</v>
      </c>
      <c r="S114" s="14" t="str" cm="1">
        <f t="array" ref="S114">INDEX('Report-ConceptMap-1'!$I$15:$N$270,Q114+1,R114)</f>
        <v>* group[=].element[=].target.display = ##34###34#</v>
      </c>
    </row>
    <row r="115" spans="16:19" x14ac:dyDescent="0.75">
      <c r="P115" s="9">
        <v>101</v>
      </c>
      <c r="Q115" s="9">
        <f t="shared" si="25"/>
        <v>16</v>
      </c>
      <c r="R115" s="9">
        <f t="shared" si="26"/>
        <v>5</v>
      </c>
      <c r="S115" s="14" t="str" cm="1">
        <f t="array" ref="S115">INDEX('Report-ConceptMap-1'!$I$15:$N$270,Q115+1,R115)</f>
        <v>* group[=].element[=].target.equivalence = #relatedto</v>
      </c>
    </row>
    <row r="116" spans="16:19" x14ac:dyDescent="0.75">
      <c r="P116" s="9">
        <v>102</v>
      </c>
      <c r="Q116" s="9">
        <f t="shared" si="25"/>
        <v>16</v>
      </c>
      <c r="R116" s="9">
        <f t="shared" si="26"/>
        <v>6</v>
      </c>
      <c r="S116" s="14" t="str" cm="1">
        <f t="array" ref="S116">INDEX('Report-ConceptMap-1'!$I$15:$N$270,Q116+1,R116)</f>
        <v/>
      </c>
    </row>
    <row r="117" spans="16:19" x14ac:dyDescent="0.75">
      <c r="P117" s="9">
        <v>103</v>
      </c>
      <c r="Q117" s="9">
        <f t="shared" si="25"/>
        <v>17</v>
      </c>
      <c r="R117" s="9">
        <f t="shared" si="26"/>
        <v>1</v>
      </c>
      <c r="S117" s="14" t="str" cm="1">
        <f t="array" ref="S117">INDEX('Report-ConceptMap-1'!$I$15:$N$270,Q117+1,R117)</f>
        <v>* group[=].element[+].code = #LabReport.specimen</v>
      </c>
    </row>
    <row r="118" spans="16:19" x14ac:dyDescent="0.75">
      <c r="P118" s="9">
        <v>104</v>
      </c>
      <c r="Q118" s="9">
        <f t="shared" si="25"/>
        <v>17</v>
      </c>
      <c r="R118" s="9">
        <f t="shared" si="26"/>
        <v>2</v>
      </c>
      <c r="S118" s="14" t="str" cm="1">
        <f t="array" ref="S118">INDEX('Report-ConceptMap-1'!$I$15:$N$270,Q118+1,R118)</f>
        <v>* group[=].element[=].display = ##34#A.4 Specimen information##34#</v>
      </c>
    </row>
    <row r="119" spans="16:19" x14ac:dyDescent="0.75">
      <c r="P119" s="9">
        <v>105</v>
      </c>
      <c r="Q119" s="9">
        <f t="shared" si="25"/>
        <v>17</v>
      </c>
      <c r="R119" s="9">
        <f t="shared" si="26"/>
        <v>3</v>
      </c>
      <c r="S119" s="14" t="str" cm="1">
        <f t="array" ref="S119">INDEX('Report-ConceptMap-1'!$I$15:$N$270,Q119+1,R119)</f>
        <v>* group[=].element[=].target.code = #DiagnosticReport.result.specimen</v>
      </c>
    </row>
    <row r="120" spans="16:19" x14ac:dyDescent="0.75">
      <c r="P120" s="9">
        <v>106</v>
      </c>
      <c r="Q120" s="9">
        <f t="shared" si="25"/>
        <v>17</v>
      </c>
      <c r="R120" s="9">
        <f t="shared" si="26"/>
        <v>4</v>
      </c>
      <c r="S120" s="14" t="str" cm="1">
        <f t="array" ref="S120">INDEX('Report-ConceptMap-1'!$I$15:$N$270,Q120+1,R120)</f>
        <v>* group[=].element[=].target.display = ##34###34#</v>
      </c>
    </row>
    <row r="121" spans="16:19" x14ac:dyDescent="0.75">
      <c r="P121" s="9">
        <v>107</v>
      </c>
      <c r="Q121" s="9">
        <f t="shared" si="25"/>
        <v>17</v>
      </c>
      <c r="R121" s="9">
        <f t="shared" si="26"/>
        <v>5</v>
      </c>
      <c r="S121" s="14" t="str" cm="1">
        <f t="array" ref="S121">INDEX('Report-ConceptMap-1'!$I$15:$N$270,Q121+1,R121)</f>
        <v>* group[=].element[=].target.equivalence = #relatedto</v>
      </c>
    </row>
    <row r="122" spans="16:19" ht="29.5" x14ac:dyDescent="0.75">
      <c r="P122" s="9">
        <v>108</v>
      </c>
      <c r="Q122" s="9">
        <f t="shared" si="25"/>
        <v>17</v>
      </c>
      <c r="R122" s="9">
        <f t="shared" si="26"/>
        <v>6</v>
      </c>
      <c r="S122" s="14" t="str" cm="1">
        <f t="array" ref="S122">INDEX('Report-ConceptMap-1'!$I$15:$N$270,Q122+1,R122)</f>
        <v>* group[=].element[=].target.comment = ##34#result.resolve().ofType(Observation).specimen##34#</v>
      </c>
    </row>
    <row r="123" spans="16:19" x14ac:dyDescent="0.75">
      <c r="P123" s="9">
        <v>109</v>
      </c>
      <c r="Q123" s="9">
        <f t="shared" si="25"/>
        <v>18</v>
      </c>
      <c r="R123" s="9">
        <f t="shared" si="26"/>
        <v>1</v>
      </c>
      <c r="S123" s="14" cm="1">
        <f t="array" ref="S123">INDEX('Report-ConceptMap-1'!$I$15:$N$270,Q123+1,R123)</f>
        <v>0</v>
      </c>
    </row>
    <row r="124" spans="16:19" x14ac:dyDescent="0.75">
      <c r="P124" s="9">
        <v>110</v>
      </c>
      <c r="Q124" s="9">
        <f t="shared" si="25"/>
        <v>18</v>
      </c>
      <c r="R124" s="9">
        <f t="shared" si="26"/>
        <v>2</v>
      </c>
      <c r="S124" s="14" cm="1">
        <f t="array" ref="S124">INDEX('Report-ConceptMap-1'!$I$15:$N$270,Q124+1,R124)</f>
        <v>0</v>
      </c>
    </row>
    <row r="125" spans="16:19" x14ac:dyDescent="0.75">
      <c r="P125" s="9">
        <v>111</v>
      </c>
      <c r="Q125" s="9">
        <f t="shared" si="25"/>
        <v>18</v>
      </c>
      <c r="R125" s="9">
        <f t="shared" si="26"/>
        <v>3</v>
      </c>
      <c r="S125" s="14" cm="1">
        <f t="array" ref="S125">INDEX('Report-ConceptMap-1'!$I$15:$N$270,Q125+1,R125)</f>
        <v>0</v>
      </c>
    </row>
    <row r="126" spans="16:19" x14ac:dyDescent="0.75">
      <c r="P126" s="9">
        <v>112</v>
      </c>
      <c r="Q126" s="9">
        <f t="shared" si="25"/>
        <v>18</v>
      </c>
      <c r="R126" s="9">
        <f t="shared" si="26"/>
        <v>4</v>
      </c>
      <c r="S126" s="14" cm="1">
        <f t="array" ref="S126">INDEX('Report-ConceptMap-1'!$I$15:$N$270,Q126+1,R126)</f>
        <v>0</v>
      </c>
    </row>
    <row r="127" spans="16:19" x14ac:dyDescent="0.75">
      <c r="P127" s="9">
        <v>113</v>
      </c>
      <c r="Q127" s="9">
        <f t="shared" si="25"/>
        <v>18</v>
      </c>
      <c r="R127" s="9">
        <f t="shared" si="26"/>
        <v>5</v>
      </c>
      <c r="S127" s="14" cm="1">
        <f t="array" ref="S127">INDEX('Report-ConceptMap-1'!$I$15:$N$270,Q127+1,R127)</f>
        <v>0</v>
      </c>
    </row>
    <row r="128" spans="16:19" x14ac:dyDescent="0.75">
      <c r="P128" s="9">
        <v>114</v>
      </c>
      <c r="Q128" s="9">
        <f t="shared" si="25"/>
        <v>18</v>
      </c>
      <c r="R128" s="9">
        <f t="shared" si="26"/>
        <v>6</v>
      </c>
      <c r="S128" s="14" cm="1">
        <f t="array" ref="S128">INDEX('Report-ConceptMap-1'!$I$15:$N$270,Q128+1,R128)</f>
        <v>0</v>
      </c>
    </row>
    <row r="129" spans="16:19" x14ac:dyDescent="0.75">
      <c r="P129" s="9">
        <v>115</v>
      </c>
      <c r="Q129" s="9">
        <f t="shared" si="25"/>
        <v>19</v>
      </c>
      <c r="R129" s="9">
        <f t="shared" si="26"/>
        <v>1</v>
      </c>
      <c r="S129" s="14" cm="1">
        <f t="array" ref="S129">INDEX('Report-ConceptMap-1'!$I$15:$N$270,Q129+1,R129)</f>
        <v>0</v>
      </c>
    </row>
    <row r="130" spans="16:19" x14ac:dyDescent="0.75">
      <c r="P130" s="9">
        <v>116</v>
      </c>
      <c r="Q130" s="9">
        <f t="shared" si="25"/>
        <v>19</v>
      </c>
      <c r="R130" s="9">
        <f t="shared" si="26"/>
        <v>2</v>
      </c>
      <c r="S130" s="14" cm="1">
        <f t="array" ref="S130">INDEX('Report-ConceptMap-1'!$I$15:$N$270,Q130+1,R130)</f>
        <v>0</v>
      </c>
    </row>
    <row r="131" spans="16:19" x14ac:dyDescent="0.75">
      <c r="P131" s="9">
        <v>117</v>
      </c>
      <c r="Q131" s="9">
        <f t="shared" si="25"/>
        <v>19</v>
      </c>
      <c r="R131" s="9">
        <f t="shared" si="26"/>
        <v>3</v>
      </c>
      <c r="S131" s="14" cm="1">
        <f t="array" ref="S131">INDEX('Report-ConceptMap-1'!$I$15:$N$270,Q131+1,R131)</f>
        <v>0</v>
      </c>
    </row>
    <row r="132" spans="16:19" x14ac:dyDescent="0.75">
      <c r="P132" s="9">
        <v>118</v>
      </c>
      <c r="Q132" s="9">
        <f t="shared" si="25"/>
        <v>19</v>
      </c>
      <c r="R132" s="9">
        <f t="shared" si="26"/>
        <v>4</v>
      </c>
      <c r="S132" s="14" cm="1">
        <f t="array" ref="S132">INDEX('Report-ConceptMap-1'!$I$15:$N$270,Q132+1,R132)</f>
        <v>0</v>
      </c>
    </row>
    <row r="133" spans="16:19" x14ac:dyDescent="0.75">
      <c r="P133" s="9">
        <v>119</v>
      </c>
      <c r="Q133" s="9">
        <f t="shared" si="25"/>
        <v>19</v>
      </c>
      <c r="R133" s="9">
        <f t="shared" si="26"/>
        <v>5</v>
      </c>
      <c r="S133" s="14" cm="1">
        <f t="array" ref="S133">INDEX('Report-ConceptMap-1'!$I$15:$N$270,Q133+1,R133)</f>
        <v>0</v>
      </c>
    </row>
    <row r="134" spans="16:19" x14ac:dyDescent="0.75">
      <c r="P134" s="9">
        <v>120</v>
      </c>
      <c r="Q134" s="9">
        <f t="shared" si="25"/>
        <v>19</v>
      </c>
      <c r="R134" s="9">
        <f t="shared" si="26"/>
        <v>6</v>
      </c>
      <c r="S134" s="14" cm="1">
        <f t="array" ref="S134">INDEX('Report-ConceptMap-1'!$I$15:$N$270,Q134+1,R134)</f>
        <v>0</v>
      </c>
    </row>
    <row r="135" spans="16:19" x14ac:dyDescent="0.75">
      <c r="P135" s="9">
        <v>121</v>
      </c>
      <c r="Q135" s="9">
        <f t="shared" si="25"/>
        <v>20</v>
      </c>
      <c r="R135" s="9">
        <f t="shared" si="26"/>
        <v>1</v>
      </c>
      <c r="S135" s="14" cm="1">
        <f t="array" ref="S135">INDEX('Report-ConceptMap-1'!$I$15:$N$270,Q135+1,R135)</f>
        <v>0</v>
      </c>
    </row>
    <row r="136" spans="16:19" x14ac:dyDescent="0.75">
      <c r="P136" s="9">
        <v>122</v>
      </c>
      <c r="Q136" s="9">
        <f t="shared" si="25"/>
        <v>20</v>
      </c>
      <c r="R136" s="9">
        <f t="shared" si="26"/>
        <v>2</v>
      </c>
      <c r="S136" s="14" cm="1">
        <f t="array" ref="S136">INDEX('Report-ConceptMap-1'!$I$15:$N$270,Q136+1,R136)</f>
        <v>0</v>
      </c>
    </row>
    <row r="137" spans="16:19" x14ac:dyDescent="0.75">
      <c r="P137" s="9">
        <v>123</v>
      </c>
      <c r="Q137" s="9">
        <f t="shared" si="25"/>
        <v>20</v>
      </c>
      <c r="R137" s="9">
        <f t="shared" si="26"/>
        <v>3</v>
      </c>
      <c r="S137" s="14" cm="1">
        <f t="array" ref="S137">INDEX('Report-ConceptMap-1'!$I$15:$N$270,Q137+1,R137)</f>
        <v>0</v>
      </c>
    </row>
    <row r="138" spans="16:19" x14ac:dyDescent="0.75">
      <c r="P138" s="9">
        <v>124</v>
      </c>
      <c r="Q138" s="9">
        <f t="shared" si="25"/>
        <v>20</v>
      </c>
      <c r="R138" s="9">
        <f t="shared" si="26"/>
        <v>4</v>
      </c>
      <c r="S138" s="14" cm="1">
        <f t="array" ref="S138">INDEX('Report-ConceptMap-1'!$I$15:$N$270,Q138+1,R138)</f>
        <v>0</v>
      </c>
    </row>
    <row r="139" spans="16:19" x14ac:dyDescent="0.75">
      <c r="P139" s="9">
        <v>125</v>
      </c>
      <c r="Q139" s="9">
        <f t="shared" si="25"/>
        <v>20</v>
      </c>
      <c r="R139" s="9">
        <f t="shared" si="26"/>
        <v>5</v>
      </c>
      <c r="S139" s="14" cm="1">
        <f t="array" ref="S139">INDEX('Report-ConceptMap-1'!$I$15:$N$270,Q139+1,R139)</f>
        <v>0</v>
      </c>
    </row>
    <row r="140" spans="16:19" x14ac:dyDescent="0.75">
      <c r="P140" s="9">
        <v>126</v>
      </c>
      <c r="Q140" s="9">
        <f t="shared" si="25"/>
        <v>20</v>
      </c>
      <c r="R140" s="9">
        <f t="shared" si="26"/>
        <v>6</v>
      </c>
      <c r="S140" s="14" cm="1">
        <f t="array" ref="S140">INDEX('Report-ConceptMap-1'!$I$15:$N$270,Q140+1,R140)</f>
        <v>0</v>
      </c>
    </row>
    <row r="141" spans="16:19" x14ac:dyDescent="0.75">
      <c r="P141" s="9">
        <v>127</v>
      </c>
      <c r="Q141" s="9">
        <f t="shared" si="25"/>
        <v>21</v>
      </c>
      <c r="R141" s="9">
        <f t="shared" si="26"/>
        <v>1</v>
      </c>
      <c r="S141" s="14" cm="1">
        <f t="array" ref="S141">INDEX('Report-ConceptMap-1'!$I$15:$N$270,Q141+1,R141)</f>
        <v>0</v>
      </c>
    </row>
    <row r="142" spans="16:19" x14ac:dyDescent="0.75">
      <c r="P142" s="9">
        <v>128</v>
      </c>
      <c r="Q142" s="9">
        <f t="shared" si="25"/>
        <v>21</v>
      </c>
      <c r="R142" s="9">
        <f t="shared" si="26"/>
        <v>2</v>
      </c>
      <c r="S142" s="14" cm="1">
        <f t="array" ref="S142">INDEX('Report-ConceptMap-1'!$I$15:$N$270,Q142+1,R142)</f>
        <v>0</v>
      </c>
    </row>
    <row r="143" spans="16:19" x14ac:dyDescent="0.75">
      <c r="P143" s="9">
        <v>129</v>
      </c>
      <c r="Q143" s="9">
        <f t="shared" si="25"/>
        <v>21</v>
      </c>
      <c r="R143" s="9">
        <f t="shared" si="26"/>
        <v>3</v>
      </c>
      <c r="S143" s="14" cm="1">
        <f t="array" ref="S143">INDEX('Report-ConceptMap-1'!$I$15:$N$270,Q143+1,R143)</f>
        <v>0</v>
      </c>
    </row>
    <row r="144" spans="16:19" x14ac:dyDescent="0.75">
      <c r="P144" s="9">
        <v>130</v>
      </c>
      <c r="Q144" s="9">
        <f t="shared" si="25"/>
        <v>21</v>
      </c>
      <c r="R144" s="9">
        <f t="shared" si="26"/>
        <v>4</v>
      </c>
      <c r="S144" s="14" cm="1">
        <f t="array" ref="S144">INDEX('Report-ConceptMap-1'!$I$15:$N$270,Q144+1,R144)</f>
        <v>0</v>
      </c>
    </row>
    <row r="145" spans="16:19" x14ac:dyDescent="0.75">
      <c r="P145" s="9">
        <v>131</v>
      </c>
      <c r="Q145" s="9">
        <f t="shared" ref="Q145:Q190" si="27">IF(MOD(P145,$Q$8)=0,P145/$Q$8-1,INT(P145/$Q$8))</f>
        <v>21</v>
      </c>
      <c r="R145" s="9">
        <f t="shared" ref="R145:R190" si="28">IF(MOD(P145,$Q$8)=0,$Q$8,MOD(P145,$Q$8))</f>
        <v>5</v>
      </c>
      <c r="S145" s="14" cm="1">
        <f t="array" ref="S145">INDEX('Report-ConceptMap-1'!$I$15:$N$270,Q145+1,R145)</f>
        <v>0</v>
      </c>
    </row>
    <row r="146" spans="16:19" x14ac:dyDescent="0.75">
      <c r="P146" s="9">
        <v>132</v>
      </c>
      <c r="Q146" s="9">
        <f t="shared" si="27"/>
        <v>21</v>
      </c>
      <c r="R146" s="9">
        <f t="shared" si="28"/>
        <v>6</v>
      </c>
      <c r="S146" s="14" cm="1">
        <f t="array" ref="S146">INDEX('Report-ConceptMap-1'!$I$15:$N$270,Q146+1,R146)</f>
        <v>0</v>
      </c>
    </row>
    <row r="147" spans="16:19" x14ac:dyDescent="0.75">
      <c r="P147" s="9">
        <v>133</v>
      </c>
      <c r="Q147" s="9">
        <f t="shared" si="27"/>
        <v>22</v>
      </c>
      <c r="R147" s="9">
        <f t="shared" si="28"/>
        <v>1</v>
      </c>
      <c r="S147" s="14" cm="1">
        <f t="array" ref="S147">INDEX('Report-ConceptMap-1'!$I$15:$N$270,Q147+1,R147)</f>
        <v>0</v>
      </c>
    </row>
    <row r="148" spans="16:19" x14ac:dyDescent="0.75">
      <c r="P148" s="9">
        <v>134</v>
      </c>
      <c r="Q148" s="9">
        <f t="shared" si="27"/>
        <v>22</v>
      </c>
      <c r="R148" s="9">
        <f t="shared" si="28"/>
        <v>2</v>
      </c>
      <c r="S148" s="14" cm="1">
        <f t="array" ref="S148">INDEX('Report-ConceptMap-1'!$I$15:$N$270,Q148+1,R148)</f>
        <v>0</v>
      </c>
    </row>
    <row r="149" spans="16:19" x14ac:dyDescent="0.75">
      <c r="P149" s="9">
        <v>135</v>
      </c>
      <c r="Q149" s="9">
        <f t="shared" si="27"/>
        <v>22</v>
      </c>
      <c r="R149" s="9">
        <f t="shared" si="28"/>
        <v>3</v>
      </c>
      <c r="S149" s="14" cm="1">
        <f t="array" ref="S149">INDEX('Report-ConceptMap-1'!$I$15:$N$270,Q149+1,R149)</f>
        <v>0</v>
      </c>
    </row>
    <row r="150" spans="16:19" x14ac:dyDescent="0.75">
      <c r="P150" s="9">
        <v>136</v>
      </c>
      <c r="Q150" s="9">
        <f t="shared" si="27"/>
        <v>22</v>
      </c>
      <c r="R150" s="9">
        <f t="shared" si="28"/>
        <v>4</v>
      </c>
      <c r="S150" s="14" cm="1">
        <f t="array" ref="S150">INDEX('Report-ConceptMap-1'!$I$15:$N$270,Q150+1,R150)</f>
        <v>0</v>
      </c>
    </row>
    <row r="151" spans="16:19" x14ac:dyDescent="0.75">
      <c r="P151" s="9">
        <v>137</v>
      </c>
      <c r="Q151" s="9">
        <f t="shared" si="27"/>
        <v>22</v>
      </c>
      <c r="R151" s="9">
        <f t="shared" si="28"/>
        <v>5</v>
      </c>
      <c r="S151" s="14" cm="1">
        <f t="array" ref="S151">INDEX('Report-ConceptMap-1'!$I$15:$N$270,Q151+1,R151)</f>
        <v>0</v>
      </c>
    </row>
    <row r="152" spans="16:19" x14ac:dyDescent="0.75">
      <c r="P152" s="9">
        <v>138</v>
      </c>
      <c r="Q152" s="9">
        <f t="shared" si="27"/>
        <v>22</v>
      </c>
      <c r="R152" s="9">
        <f t="shared" si="28"/>
        <v>6</v>
      </c>
      <c r="S152" s="14" cm="1">
        <f t="array" ref="S152">INDEX('Report-ConceptMap-1'!$I$15:$N$270,Q152+1,R152)</f>
        <v>0</v>
      </c>
    </row>
    <row r="153" spans="16:19" x14ac:dyDescent="0.75">
      <c r="P153" s="9">
        <v>139</v>
      </c>
      <c r="Q153" s="9">
        <f t="shared" si="27"/>
        <v>23</v>
      </c>
      <c r="R153" s="9">
        <f t="shared" si="28"/>
        <v>1</v>
      </c>
      <c r="S153" s="14" cm="1">
        <f t="array" ref="S153">INDEX('Report-ConceptMap-1'!$I$15:$N$270,Q153+1,R153)</f>
        <v>0</v>
      </c>
    </row>
    <row r="154" spans="16:19" x14ac:dyDescent="0.75">
      <c r="P154" s="9">
        <v>140</v>
      </c>
      <c r="Q154" s="9">
        <f t="shared" si="27"/>
        <v>23</v>
      </c>
      <c r="R154" s="9">
        <f t="shared" si="28"/>
        <v>2</v>
      </c>
      <c r="S154" s="14" cm="1">
        <f t="array" ref="S154">INDEX('Report-ConceptMap-1'!$I$15:$N$270,Q154+1,R154)</f>
        <v>0</v>
      </c>
    </row>
    <row r="155" spans="16:19" x14ac:dyDescent="0.75">
      <c r="P155" s="9">
        <v>141</v>
      </c>
      <c r="Q155" s="9">
        <f t="shared" si="27"/>
        <v>23</v>
      </c>
      <c r="R155" s="9">
        <f t="shared" si="28"/>
        <v>3</v>
      </c>
      <c r="S155" s="14" cm="1">
        <f t="array" ref="S155">INDEX('Report-ConceptMap-1'!$I$15:$N$270,Q155+1,R155)</f>
        <v>0</v>
      </c>
    </row>
    <row r="156" spans="16:19" x14ac:dyDescent="0.75">
      <c r="P156" s="9">
        <v>142</v>
      </c>
      <c r="Q156" s="9">
        <f t="shared" si="27"/>
        <v>23</v>
      </c>
      <c r="R156" s="9">
        <f t="shared" si="28"/>
        <v>4</v>
      </c>
      <c r="S156" s="14" cm="1">
        <f t="array" ref="S156">INDEX('Report-ConceptMap-1'!$I$15:$N$270,Q156+1,R156)</f>
        <v>0</v>
      </c>
    </row>
    <row r="157" spans="16:19" x14ac:dyDescent="0.75">
      <c r="P157" s="9">
        <v>143</v>
      </c>
      <c r="Q157" s="9">
        <f t="shared" si="27"/>
        <v>23</v>
      </c>
      <c r="R157" s="9">
        <f t="shared" si="28"/>
        <v>5</v>
      </c>
      <c r="S157" s="14" cm="1">
        <f t="array" ref="S157">INDEX('Report-ConceptMap-1'!$I$15:$N$270,Q157+1,R157)</f>
        <v>0</v>
      </c>
    </row>
    <row r="158" spans="16:19" x14ac:dyDescent="0.75">
      <c r="P158" s="9">
        <v>144</v>
      </c>
      <c r="Q158" s="9">
        <f t="shared" si="27"/>
        <v>23</v>
      </c>
      <c r="R158" s="9">
        <f t="shared" si="28"/>
        <v>6</v>
      </c>
      <c r="S158" s="14" cm="1">
        <f t="array" ref="S158">INDEX('Report-ConceptMap-1'!$I$15:$N$270,Q158+1,R158)</f>
        <v>0</v>
      </c>
    </row>
    <row r="159" spans="16:19" x14ac:dyDescent="0.75">
      <c r="P159" s="9">
        <v>145</v>
      </c>
      <c r="Q159" s="9">
        <f t="shared" si="27"/>
        <v>24</v>
      </c>
      <c r="R159" s="9">
        <f t="shared" si="28"/>
        <v>1</v>
      </c>
      <c r="S159" s="14" cm="1">
        <f t="array" ref="S159">INDEX('Report-ConceptMap-1'!$I$15:$N$270,Q159+1,R159)</f>
        <v>0</v>
      </c>
    </row>
    <row r="160" spans="16:19" x14ac:dyDescent="0.75">
      <c r="P160" s="9">
        <v>146</v>
      </c>
      <c r="Q160" s="9">
        <f t="shared" si="27"/>
        <v>24</v>
      </c>
      <c r="R160" s="9">
        <f t="shared" si="28"/>
        <v>2</v>
      </c>
      <c r="S160" s="14" cm="1">
        <f t="array" ref="S160">INDEX('Report-ConceptMap-1'!$I$15:$N$270,Q160+1,R160)</f>
        <v>0</v>
      </c>
    </row>
    <row r="161" spans="16:19" x14ac:dyDescent="0.75">
      <c r="P161" s="9">
        <v>147</v>
      </c>
      <c r="Q161" s="9">
        <f t="shared" si="27"/>
        <v>24</v>
      </c>
      <c r="R161" s="9">
        <f t="shared" si="28"/>
        <v>3</v>
      </c>
      <c r="S161" s="14" cm="1">
        <f t="array" ref="S161">INDEX('Report-ConceptMap-1'!$I$15:$N$270,Q161+1,R161)</f>
        <v>0</v>
      </c>
    </row>
    <row r="162" spans="16:19" x14ac:dyDescent="0.75">
      <c r="P162" s="9">
        <v>148</v>
      </c>
      <c r="Q162" s="9">
        <f t="shared" si="27"/>
        <v>24</v>
      </c>
      <c r="R162" s="9">
        <f t="shared" si="28"/>
        <v>4</v>
      </c>
      <c r="S162" s="14" cm="1">
        <f t="array" ref="S162">INDEX('Report-ConceptMap-1'!$I$15:$N$270,Q162+1,R162)</f>
        <v>0</v>
      </c>
    </row>
    <row r="163" spans="16:19" x14ac:dyDescent="0.75">
      <c r="P163" s="9">
        <v>149</v>
      </c>
      <c r="Q163" s="9">
        <f t="shared" si="27"/>
        <v>24</v>
      </c>
      <c r="R163" s="9">
        <f t="shared" si="28"/>
        <v>5</v>
      </c>
      <c r="S163" s="14" cm="1">
        <f t="array" ref="S163">INDEX('Report-ConceptMap-1'!$I$15:$N$270,Q163+1,R163)</f>
        <v>0</v>
      </c>
    </row>
    <row r="164" spans="16:19" x14ac:dyDescent="0.75">
      <c r="P164" s="9">
        <v>150</v>
      </c>
      <c r="Q164" s="9">
        <f t="shared" si="27"/>
        <v>24</v>
      </c>
      <c r="R164" s="9">
        <f t="shared" si="28"/>
        <v>6</v>
      </c>
      <c r="S164" s="14" cm="1">
        <f t="array" ref="S164">INDEX('Report-ConceptMap-1'!$I$15:$N$270,Q164+1,R164)</f>
        <v>0</v>
      </c>
    </row>
    <row r="165" spans="16:19" x14ac:dyDescent="0.75">
      <c r="P165" s="9">
        <v>151</v>
      </c>
      <c r="Q165" s="9">
        <f t="shared" si="27"/>
        <v>25</v>
      </c>
      <c r="R165" s="9">
        <f t="shared" si="28"/>
        <v>1</v>
      </c>
      <c r="S165" s="14" cm="1">
        <f t="array" ref="S165">INDEX('Report-ConceptMap-1'!$I$15:$N$270,Q165+1,R165)</f>
        <v>0</v>
      </c>
    </row>
    <row r="166" spans="16:19" x14ac:dyDescent="0.75">
      <c r="P166" s="9">
        <v>152</v>
      </c>
      <c r="Q166" s="9">
        <f t="shared" si="27"/>
        <v>25</v>
      </c>
      <c r="R166" s="9">
        <f t="shared" si="28"/>
        <v>2</v>
      </c>
      <c r="S166" s="14" cm="1">
        <f t="array" ref="S166">INDEX('Report-ConceptMap-1'!$I$15:$N$270,Q166+1,R166)</f>
        <v>0</v>
      </c>
    </row>
    <row r="167" spans="16:19" x14ac:dyDescent="0.75">
      <c r="P167" s="9">
        <v>153</v>
      </c>
      <c r="Q167" s="9">
        <f t="shared" si="27"/>
        <v>25</v>
      </c>
      <c r="R167" s="9">
        <f t="shared" si="28"/>
        <v>3</v>
      </c>
      <c r="S167" s="14" cm="1">
        <f t="array" ref="S167">INDEX('Report-ConceptMap-1'!$I$15:$N$270,Q167+1,R167)</f>
        <v>0</v>
      </c>
    </row>
    <row r="168" spans="16:19" x14ac:dyDescent="0.75">
      <c r="P168" s="9">
        <v>154</v>
      </c>
      <c r="Q168" s="9">
        <f t="shared" si="27"/>
        <v>25</v>
      </c>
      <c r="R168" s="9">
        <f t="shared" si="28"/>
        <v>4</v>
      </c>
      <c r="S168" s="14" cm="1">
        <f t="array" ref="S168">INDEX('Report-ConceptMap-1'!$I$15:$N$270,Q168+1,R168)</f>
        <v>0</v>
      </c>
    </row>
    <row r="169" spans="16:19" x14ac:dyDescent="0.75">
      <c r="P169" s="9">
        <v>155</v>
      </c>
      <c r="Q169" s="9">
        <f t="shared" si="27"/>
        <v>25</v>
      </c>
      <c r="R169" s="9">
        <f t="shared" si="28"/>
        <v>5</v>
      </c>
      <c r="S169" s="14" cm="1">
        <f t="array" ref="S169">INDEX('Report-ConceptMap-1'!$I$15:$N$270,Q169+1,R169)</f>
        <v>0</v>
      </c>
    </row>
    <row r="170" spans="16:19" x14ac:dyDescent="0.75">
      <c r="P170" s="9">
        <v>156</v>
      </c>
      <c r="Q170" s="9">
        <f t="shared" si="27"/>
        <v>25</v>
      </c>
      <c r="R170" s="9">
        <f t="shared" si="28"/>
        <v>6</v>
      </c>
      <c r="S170" s="14" cm="1">
        <f t="array" ref="S170">INDEX('Report-ConceptMap-1'!$I$15:$N$270,Q170+1,R170)</f>
        <v>0</v>
      </c>
    </row>
    <row r="171" spans="16:19" x14ac:dyDescent="0.75">
      <c r="P171" s="9">
        <v>157</v>
      </c>
      <c r="Q171" s="9">
        <f t="shared" si="27"/>
        <v>26</v>
      </c>
      <c r="R171" s="9">
        <f t="shared" si="28"/>
        <v>1</v>
      </c>
      <c r="S171" s="14" cm="1">
        <f t="array" ref="S171">INDEX('Report-ConceptMap-1'!$I$15:$N$270,Q171+1,R171)</f>
        <v>0</v>
      </c>
    </row>
    <row r="172" spans="16:19" x14ac:dyDescent="0.75">
      <c r="P172" s="9">
        <v>158</v>
      </c>
      <c r="Q172" s="9">
        <f t="shared" si="27"/>
        <v>26</v>
      </c>
      <c r="R172" s="9">
        <f t="shared" si="28"/>
        <v>2</v>
      </c>
      <c r="S172" s="14" cm="1">
        <f t="array" ref="S172">INDEX('Report-ConceptMap-1'!$I$15:$N$270,Q172+1,R172)</f>
        <v>0</v>
      </c>
    </row>
    <row r="173" spans="16:19" x14ac:dyDescent="0.75">
      <c r="P173" s="9">
        <v>159</v>
      </c>
      <c r="Q173" s="9">
        <f t="shared" si="27"/>
        <v>26</v>
      </c>
      <c r="R173" s="9">
        <f t="shared" si="28"/>
        <v>3</v>
      </c>
      <c r="S173" s="14" cm="1">
        <f t="array" ref="S173">INDEX('Report-ConceptMap-1'!$I$15:$N$270,Q173+1,R173)</f>
        <v>0</v>
      </c>
    </row>
    <row r="174" spans="16:19" x14ac:dyDescent="0.75">
      <c r="P174" s="9">
        <v>160</v>
      </c>
      <c r="Q174" s="9">
        <f t="shared" si="27"/>
        <v>26</v>
      </c>
      <c r="R174" s="9">
        <f t="shared" si="28"/>
        <v>4</v>
      </c>
      <c r="S174" s="14" cm="1">
        <f t="array" ref="S174">INDEX('Report-ConceptMap-1'!$I$15:$N$270,Q174+1,R174)</f>
        <v>0</v>
      </c>
    </row>
    <row r="175" spans="16:19" x14ac:dyDescent="0.75">
      <c r="P175" s="9">
        <v>161</v>
      </c>
      <c r="Q175" s="9">
        <f t="shared" si="27"/>
        <v>26</v>
      </c>
      <c r="R175" s="9">
        <f t="shared" si="28"/>
        <v>5</v>
      </c>
      <c r="S175" s="14" cm="1">
        <f t="array" ref="S175">INDEX('Report-ConceptMap-1'!$I$15:$N$270,Q175+1,R175)</f>
        <v>0</v>
      </c>
    </row>
    <row r="176" spans="16:19" x14ac:dyDescent="0.75">
      <c r="P176" s="9">
        <v>162</v>
      </c>
      <c r="Q176" s="9">
        <f t="shared" si="27"/>
        <v>26</v>
      </c>
      <c r="R176" s="9">
        <f t="shared" si="28"/>
        <v>6</v>
      </c>
      <c r="S176" s="14" cm="1">
        <f t="array" ref="S176">INDEX('Report-ConceptMap-1'!$I$15:$N$270,Q176+1,R176)</f>
        <v>0</v>
      </c>
    </row>
    <row r="177" spans="16:19" x14ac:dyDescent="0.75">
      <c r="P177" s="9">
        <v>163</v>
      </c>
      <c r="Q177" s="9">
        <f t="shared" si="27"/>
        <v>27</v>
      </c>
      <c r="R177" s="9">
        <f t="shared" si="28"/>
        <v>1</v>
      </c>
      <c r="S177" s="14" cm="1">
        <f t="array" ref="S177">INDEX('Report-ConceptMap-1'!$I$15:$N$270,Q177+1,R177)</f>
        <v>0</v>
      </c>
    </row>
    <row r="178" spans="16:19" x14ac:dyDescent="0.75">
      <c r="P178" s="9">
        <v>164</v>
      </c>
      <c r="Q178" s="9">
        <f t="shared" si="27"/>
        <v>27</v>
      </c>
      <c r="R178" s="9">
        <f t="shared" si="28"/>
        <v>2</v>
      </c>
      <c r="S178" s="14" cm="1">
        <f t="array" ref="S178">INDEX('Report-ConceptMap-1'!$I$15:$N$270,Q178+1,R178)</f>
        <v>0</v>
      </c>
    </row>
    <row r="179" spans="16:19" x14ac:dyDescent="0.75">
      <c r="P179" s="9">
        <v>165</v>
      </c>
      <c r="Q179" s="9">
        <f t="shared" si="27"/>
        <v>27</v>
      </c>
      <c r="R179" s="9">
        <f t="shared" si="28"/>
        <v>3</v>
      </c>
      <c r="S179" s="14" cm="1">
        <f t="array" ref="S179">INDEX('Report-ConceptMap-1'!$I$15:$N$270,Q179+1,R179)</f>
        <v>0</v>
      </c>
    </row>
    <row r="180" spans="16:19" x14ac:dyDescent="0.75">
      <c r="P180" s="9">
        <v>166</v>
      </c>
      <c r="Q180" s="9">
        <f t="shared" si="27"/>
        <v>27</v>
      </c>
      <c r="R180" s="9">
        <f t="shared" si="28"/>
        <v>4</v>
      </c>
      <c r="S180" s="14" cm="1">
        <f t="array" ref="S180">INDEX('Report-ConceptMap-1'!$I$15:$N$270,Q180+1,R180)</f>
        <v>0</v>
      </c>
    </row>
    <row r="181" spans="16:19" x14ac:dyDescent="0.75">
      <c r="P181" s="9">
        <v>167</v>
      </c>
      <c r="Q181" s="9">
        <f t="shared" si="27"/>
        <v>27</v>
      </c>
      <c r="R181" s="9">
        <f t="shared" si="28"/>
        <v>5</v>
      </c>
      <c r="S181" s="14" cm="1">
        <f t="array" ref="S181">INDEX('Report-ConceptMap-1'!$I$15:$N$270,Q181+1,R181)</f>
        <v>0</v>
      </c>
    </row>
    <row r="182" spans="16:19" x14ac:dyDescent="0.75">
      <c r="P182" s="9">
        <v>168</v>
      </c>
      <c r="Q182" s="9">
        <f t="shared" si="27"/>
        <v>27</v>
      </c>
      <c r="R182" s="9">
        <f t="shared" si="28"/>
        <v>6</v>
      </c>
      <c r="S182" s="14" cm="1">
        <f t="array" ref="S182">INDEX('Report-ConceptMap-1'!$I$15:$N$270,Q182+1,R182)</f>
        <v>0</v>
      </c>
    </row>
    <row r="183" spans="16:19" x14ac:dyDescent="0.75">
      <c r="P183" s="9">
        <v>169</v>
      </c>
      <c r="Q183" s="9">
        <f t="shared" si="27"/>
        <v>28</v>
      </c>
      <c r="R183" s="9">
        <f t="shared" si="28"/>
        <v>1</v>
      </c>
      <c r="S183" s="14" cm="1">
        <f t="array" ref="S183">INDEX('Report-ConceptMap-1'!$I$15:$N$270,Q183+1,R183)</f>
        <v>0</v>
      </c>
    </row>
    <row r="184" spans="16:19" x14ac:dyDescent="0.75">
      <c r="P184" s="9">
        <v>170</v>
      </c>
      <c r="Q184" s="9">
        <f t="shared" si="27"/>
        <v>28</v>
      </c>
      <c r="R184" s="9">
        <f t="shared" si="28"/>
        <v>2</v>
      </c>
      <c r="S184" s="14" cm="1">
        <f t="array" ref="S184">INDEX('Report-ConceptMap-1'!$I$15:$N$270,Q184+1,R184)</f>
        <v>0</v>
      </c>
    </row>
    <row r="185" spans="16:19" x14ac:dyDescent="0.75">
      <c r="P185" s="9">
        <v>171</v>
      </c>
      <c r="Q185" s="9">
        <f t="shared" si="27"/>
        <v>28</v>
      </c>
      <c r="R185" s="9">
        <f t="shared" si="28"/>
        <v>3</v>
      </c>
      <c r="S185" s="14" cm="1">
        <f t="array" ref="S185">INDEX('Report-ConceptMap-1'!$I$15:$N$270,Q185+1,R185)</f>
        <v>0</v>
      </c>
    </row>
    <row r="186" spans="16:19" x14ac:dyDescent="0.75">
      <c r="P186" s="9">
        <v>172</v>
      </c>
      <c r="Q186" s="9">
        <f t="shared" si="27"/>
        <v>28</v>
      </c>
      <c r="R186" s="9">
        <f t="shared" si="28"/>
        <v>4</v>
      </c>
      <c r="S186" s="14" cm="1">
        <f t="array" ref="S186">INDEX('Report-ConceptMap-1'!$I$15:$N$270,Q186+1,R186)</f>
        <v>0</v>
      </c>
    </row>
    <row r="187" spans="16:19" x14ac:dyDescent="0.75">
      <c r="P187" s="9">
        <v>173</v>
      </c>
      <c r="Q187" s="9">
        <f t="shared" si="27"/>
        <v>28</v>
      </c>
      <c r="R187" s="9">
        <f t="shared" si="28"/>
        <v>5</v>
      </c>
      <c r="S187" s="14" cm="1">
        <f t="array" ref="S187">INDEX('Report-ConceptMap-1'!$I$15:$N$270,Q187+1,R187)</f>
        <v>0</v>
      </c>
    </row>
    <row r="188" spans="16:19" x14ac:dyDescent="0.75">
      <c r="P188" s="9">
        <v>174</v>
      </c>
      <c r="Q188" s="9">
        <f t="shared" si="27"/>
        <v>28</v>
      </c>
      <c r="R188" s="9">
        <f t="shared" si="28"/>
        <v>6</v>
      </c>
      <c r="S188" s="14" cm="1">
        <f t="array" ref="S188">INDEX('Report-ConceptMap-1'!$I$15:$N$270,Q188+1,R188)</f>
        <v>0</v>
      </c>
    </row>
    <row r="189" spans="16:19" x14ac:dyDescent="0.75">
      <c r="P189" s="9">
        <v>175</v>
      </c>
      <c r="Q189" s="9">
        <f t="shared" si="27"/>
        <v>29</v>
      </c>
      <c r="R189" s="9">
        <f t="shared" si="28"/>
        <v>1</v>
      </c>
      <c r="S189" s="14" cm="1">
        <f t="array" ref="S189">INDEX('Report-ConceptMap-1'!$I$15:$N$270,Q189+1,R189)</f>
        <v>0</v>
      </c>
    </row>
    <row r="190" spans="16:19" x14ac:dyDescent="0.75">
      <c r="P190" s="9">
        <v>176</v>
      </c>
      <c r="Q190" s="9">
        <f t="shared" si="27"/>
        <v>29</v>
      </c>
      <c r="R190" s="9">
        <f t="shared" si="28"/>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89"/>
  <sheetViews>
    <sheetView topLeftCell="C1" workbookViewId="0">
      <selection activeCell="E4" sqref="E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684</v>
      </c>
      <c r="E3" t="str">
        <f>'Report-ConceptMap-1'!E3</f>
        <v>http://hl7.eu/fhir/laboratory/StructureDefinition/LabReport</v>
      </c>
    </row>
    <row r="4" spans="1:19" x14ac:dyDescent="0.75">
      <c r="B4" s="73" t="s">
        <v>19</v>
      </c>
      <c r="C4" s="54" t="s">
        <v>679</v>
      </c>
      <c r="D4" s="73" t="s">
        <v>685</v>
      </c>
      <c r="E4" s="84" t="s">
        <v>890</v>
      </c>
    </row>
    <row r="5" spans="1:19" x14ac:dyDescent="0.75">
      <c r="B5" s="73" t="s">
        <v>13</v>
      </c>
      <c r="C5" s="10" t="s">
        <v>680</v>
      </c>
      <c r="D5" s="73"/>
      <c r="E5" s="10"/>
    </row>
    <row r="6" spans="1:19" x14ac:dyDescent="0.75">
      <c r="B6" s="73" t="s">
        <v>35</v>
      </c>
      <c r="C6" s="72" t="s">
        <v>674</v>
      </c>
      <c r="D6" s="73" t="s">
        <v>681</v>
      </c>
      <c r="E6" t="s">
        <v>674</v>
      </c>
    </row>
    <row r="7" spans="1:19" x14ac:dyDescent="0.75">
      <c r="B7" s="73" t="s">
        <v>18</v>
      </c>
      <c r="C7" s="80" t="s">
        <v>677</v>
      </c>
      <c r="D7" s="73" t="s">
        <v>682</v>
      </c>
      <c r="E7" t="s">
        <v>688</v>
      </c>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J30"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30" si="1">IF(F15="unmatched","//-- unmatched","* group[=].element[=].target.display = ##34#"&amp;E15&amp;"##34#")</f>
        <v>* group[=].element[=].target.display = ##34###34#</v>
      </c>
      <c r="M15" s="14" t="str">
        <f t="shared" ref="M15:M30" si="2">"* group[=].element[=].target.equivalence = #"&amp;F15</f>
        <v>* group[=].element[=].target.equivalence = #relatedto</v>
      </c>
      <c r="N15" s="4" t="str">
        <f t="shared" ref="N15:N30" si="3">IF(G15&lt;&gt;"",CONCATENATE("* group[=].element[=].target.comment = ","##34#",G15,"##34#"),"")</f>
        <v/>
      </c>
      <c r="P15" s="9">
        <v>1</v>
      </c>
      <c r="Q15" s="9">
        <f>IF(MOD(P15,$Q$8)=0,P15/$Q$8-1,INT(P15/$Q$8))</f>
        <v>0</v>
      </c>
      <c r="R15" s="9">
        <f>IF(MOD(P15,$Q$8)=0,$Q$8,MOD(P15,$Q$8))</f>
        <v>1</v>
      </c>
      <c r="S15" s="14" t="str" cm="1">
        <f t="array" ref="S15">INDEX('Report-ConceptMap-2'!$I$15:$N$269,Q15+1,R15)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0" si="4">"* group[=].element[+].code = #"&amp;$B$14&amp;"."&amp;B16</f>
        <v>* group[=].element[+].code = #LabReport.header.subject</v>
      </c>
      <c r="J16" s="14" t="str">
        <f t="shared" si="0"/>
        <v>* group[=].element[=].display = ##34#A.1.1 - A1.2 Patient/subject##34#</v>
      </c>
      <c r="K16" s="14" t="str">
        <f t="shared" ref="K16:K32"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INDEX('Report-ConceptMap-2'!$I$15:$N$269,Q16+1,R16)</f>
        <v>* group[=].element[=].display = ##34#A.1 Report header data elements##34#</v>
      </c>
    </row>
    <row r="17" spans="1:19" ht="132.75" x14ac:dyDescent="0.75">
      <c r="A17" s="23"/>
      <c r="B17" s="9" t="str">
        <f>Report!B10</f>
        <v>header.payer</v>
      </c>
      <c r="C17" s="9" t="str">
        <f>Report!C10</f>
        <v>A.1.3 Health insurance and payment information</v>
      </c>
      <c r="D17" s="14" t="s">
        <v>829</v>
      </c>
      <c r="E17" s="9"/>
      <c r="F17" s="75" t="s">
        <v>659</v>
      </c>
      <c r="G17" s="14" t="s">
        <v>689</v>
      </c>
      <c r="H17" s="76"/>
      <c r="I17" s="14" t="str">
        <f t="shared" si="4"/>
        <v>* group[=].element[+].code = #LabReport.header.payer</v>
      </c>
      <c r="J17" s="14" t="str">
        <f t="shared" si="0"/>
        <v>* group[=].element[=].display = ##34#A.1.3 Health insurance and payment information##34#</v>
      </c>
      <c r="K17" s="14" t="str">
        <f t="shared" si="5"/>
        <v>* group[=].element[=].target.code = #Composition.extension:basedOn-order-or-requisition.insurance</v>
      </c>
      <c r="L17" s="14" t="str">
        <f t="shared" si="1"/>
        <v>* group[=].element[=].target.display = ##34###34#</v>
      </c>
      <c r="M17" s="14" t="str">
        <f t="shared" si="2"/>
        <v>* group[=].element[=].target.equivalence = #relatedto</v>
      </c>
      <c r="N17" s="14" t="str">
        <f t="shared" si="3"/>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INDEX('Report-ConceptMap-2'!$I$15:$N$269,Q17+1,R17)</f>
        <v>* group[=].element[=].target.code = #Composition</v>
      </c>
    </row>
    <row r="18" spans="1:19" ht="44.25" x14ac:dyDescent="0.75">
      <c r="A18" s="23"/>
      <c r="B18" s="9" t="str">
        <f>Report!B11</f>
        <v>header.informationRecipient</v>
      </c>
      <c r="C18" s="9" t="str">
        <f>Report!C11</f>
        <v>A.1.4 Information recipient</v>
      </c>
      <c r="D18" s="14" t="s">
        <v>830</v>
      </c>
      <c r="E18" s="9"/>
      <c r="F18" s="75" t="s">
        <v>660</v>
      </c>
      <c r="G18" s="75"/>
      <c r="H18" s="76"/>
      <c r="I18" s="14" t="str">
        <f t="shared" si="4"/>
        <v>* group[=].element[+].code = #LabReport.header.informationRecipient</v>
      </c>
      <c r="J18" s="14" t="str">
        <f t="shared" si="0"/>
        <v>* group[=].element[=].display = ##34#A.1.4 Information recipient##34#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INDEX('Report-ConceptMap-2'!$I$15:$N$269,Q18+1,R18)</f>
        <v>* group[=].element[=].target.display = ##34###34#</v>
      </c>
    </row>
    <row r="19" spans="1:19" ht="44.25" x14ac:dyDescent="0.75">
      <c r="A19" s="23"/>
      <c r="B19" s="9" t="str">
        <f>Report!B12</f>
        <v>header.author</v>
      </c>
      <c r="C19" s="9" t="str">
        <f>Report!C12</f>
        <v>A.1.5 Author</v>
      </c>
      <c r="D19" s="14" t="s">
        <v>831</v>
      </c>
      <c r="E19" s="9"/>
      <c r="F19" s="75" t="s">
        <v>659</v>
      </c>
      <c r="G19" s="75"/>
      <c r="H19" s="76"/>
      <c r="I19" s="14" t="str">
        <f t="shared" si="4"/>
        <v>* group[=].element[+].code = #LabReport.header.author</v>
      </c>
      <c r="J19" s="14" t="str">
        <f t="shared" si="0"/>
        <v>* group[=].element[=].display = ##34#A.1.5 Author##34#</v>
      </c>
      <c r="K19" s="14" t="str">
        <f t="shared" si="5"/>
        <v>* group[=].element[=].target.code = #Composition.author</v>
      </c>
      <c r="L19" s="14" t="str">
        <f t="shared" si="1"/>
        <v>* group[=].element[=].target.display = ##34###34#</v>
      </c>
      <c r="M19" s="14" t="str">
        <f t="shared" si="2"/>
        <v>* group[=].element[=].target.equivalence = #relatedto</v>
      </c>
      <c r="N19" s="14" t="str">
        <f t="shared" si="3"/>
        <v/>
      </c>
      <c r="P19" s="9">
        <v>5</v>
      </c>
      <c r="Q19" s="9">
        <f t="shared" si="6"/>
        <v>0</v>
      </c>
      <c r="R19" s="9">
        <f t="shared" si="7"/>
        <v>5</v>
      </c>
      <c r="S19" s="14" t="str" cm="1">
        <f t="array" ref="S19">INDEX('Report-ConceptMap-2'!$I$15:$N$269,Q19+1,R19)</f>
        <v>* group[=].element[=].target.equivalence = #relatedto</v>
      </c>
    </row>
    <row r="20" spans="1:19" ht="118" x14ac:dyDescent="0.75">
      <c r="A20" s="23"/>
      <c r="B20" s="9" t="str">
        <f>Report!B13</f>
        <v>header.legalAuthenticator</v>
      </c>
      <c r="C20" s="9" t="str">
        <f>Report!C13</f>
        <v>A.1.6 Legal authenticator</v>
      </c>
      <c r="D20" s="14" t="s">
        <v>833</v>
      </c>
      <c r="E20" s="9"/>
      <c r="F20" s="75" t="s">
        <v>658</v>
      </c>
      <c r="G20" s="82" t="s">
        <v>832</v>
      </c>
      <c r="H20" s="76"/>
      <c r="I20" s="14" t="str">
        <f t="shared" si="4"/>
        <v>* group[=].element[+].code = #LabReport.header.legalAuthenticator</v>
      </c>
      <c r="J20" s="14" t="str">
        <f t="shared" si="0"/>
        <v>* group[=].element[=].display = ##34#A.1.6 Legal authenticator##34#</v>
      </c>
      <c r="K20" s="14" t="str">
        <f t="shared" si="5"/>
        <v>* group[=].element[=].target.code = #Composition.attester.party</v>
      </c>
      <c r="L20" s="14" t="str">
        <f t="shared" si="1"/>
        <v>* group[=].element[=].target.display = ##34###34#</v>
      </c>
      <c r="M20" s="14" t="str">
        <f t="shared" si="2"/>
        <v>* group[=].element[=].target.equivalence = #equivalent</v>
      </c>
      <c r="N20" s="14" t="str">
        <f t="shared" si="3"/>
        <v>* group[=].element[=].target.comment = ##34#The person authenticated the content and accepted legal responsibility for its content.
attester.where(mode='legal').party.resolve()##34#</v>
      </c>
      <c r="P20" s="9">
        <v>7</v>
      </c>
      <c r="Q20" s="9">
        <f t="shared" si="6"/>
        <v>1</v>
      </c>
      <c r="R20" s="9">
        <f t="shared" si="7"/>
        <v>1</v>
      </c>
      <c r="S20" s="14" t="str" cm="1">
        <f t="array" ref="S20">INDEX('Report-ConceptMap-2'!$I$15:$N$269,Q20+1,R20)</f>
        <v>* group[=].element[+].code = #LabReport.header.subject</v>
      </c>
    </row>
    <row r="21" spans="1:19" ht="103.25" x14ac:dyDescent="0.75">
      <c r="A21" s="23"/>
      <c r="B21" s="9" t="str">
        <f>Report!B14</f>
        <v>header.validator</v>
      </c>
      <c r="C21" s="9" t="str">
        <f>Report!C14</f>
        <v>A.1.7 Result validator</v>
      </c>
      <c r="D21" s="14" t="s">
        <v>833</v>
      </c>
      <c r="E21" s="9"/>
      <c r="F21" s="75" t="s">
        <v>658</v>
      </c>
      <c r="G21" s="82" t="s">
        <v>834</v>
      </c>
      <c r="H21" s="76"/>
      <c r="I21" s="14" t="str">
        <f t="shared" si="4"/>
        <v>* group[=].element[+].code = #LabReport.header.validator</v>
      </c>
      <c r="J21" s="14" t="str">
        <f t="shared" si="0"/>
        <v>* group[=].element[=].display = ##34#A.1.7 Result validator##34#</v>
      </c>
      <c r="K21" s="14" t="str">
        <f t="shared" si="5"/>
        <v>* group[=].element[=].target.code = #Composition.attester.party</v>
      </c>
      <c r="L21" s="14" t="str">
        <f t="shared" si="1"/>
        <v>* group[=].element[=].target.display = ##34###34#</v>
      </c>
      <c r="M21" s="14" t="str">
        <f t="shared" si="2"/>
        <v>* group[=].element[=].target.equivalence = #equivalent</v>
      </c>
      <c r="N21" s="14" t="str">
        <f t="shared" si="3"/>
        <v>* group[=].element[=].target.comment = ##34#The person authenticated the content in their professional capacity.
attester.where(mode='professional').party.resolve()##34#</v>
      </c>
      <c r="P21" s="9">
        <v>8</v>
      </c>
      <c r="Q21" s="9">
        <f t="shared" si="6"/>
        <v>1</v>
      </c>
      <c r="R21" s="9">
        <f t="shared" si="7"/>
        <v>2</v>
      </c>
      <c r="S21" s="14" t="str" cm="1">
        <f t="array" ref="S21">INDEX('Report-ConceptMap-2'!$I$15:$N$269,Q21+1,R21)</f>
        <v>* group[=].element[=].display = ##34#A.1.1 - A1.2 Patient/subject##34#</v>
      </c>
    </row>
    <row r="22" spans="1:19" ht="44.25" x14ac:dyDescent="0.75">
      <c r="A22" s="23"/>
      <c r="B22" s="9" t="str">
        <f>Report!B15</f>
        <v>header.metadata</v>
      </c>
      <c r="C22" s="9" t="str">
        <f>Report!C15</f>
        <v>A.1.8 Laboratory report metadata</v>
      </c>
      <c r="D22" s="14"/>
      <c r="E22" s="14"/>
      <c r="F22" s="75" t="s">
        <v>659</v>
      </c>
      <c r="G22" s="83"/>
      <c r="H22" s="76"/>
      <c r="I22" s="14" t="str">
        <f t="shared" si="4"/>
        <v>* group[=].element[+].code = #LabReport.header.metadata</v>
      </c>
      <c r="J22" s="14" t="str">
        <f t="shared" si="0"/>
        <v>* group[=].element[=].display = ##34#A.1.8 Laboratory report metadata##34#</v>
      </c>
      <c r="K22" s="14" t="str">
        <f t="shared" si="5"/>
        <v>* group[=].element[=].target.code = #Composition</v>
      </c>
      <c r="L22" s="14" t="str">
        <f t="shared" si="1"/>
        <v>* group[=].element[=].target.display = ##34###34#</v>
      </c>
      <c r="M22" s="14" t="str">
        <f t="shared" si="2"/>
        <v>* group[=].element[=].target.equivalence = #relatedto</v>
      </c>
      <c r="N22" s="14" t="str">
        <f t="shared" si="3"/>
        <v/>
      </c>
      <c r="P22" s="9">
        <v>9</v>
      </c>
      <c r="Q22" s="9">
        <f t="shared" si="6"/>
        <v>1</v>
      </c>
      <c r="R22" s="9">
        <f t="shared" si="7"/>
        <v>3</v>
      </c>
      <c r="S22" s="14" t="str" cm="1">
        <f t="array" ref="S22">INDEX('Report-ConceptMap-2'!$I$15:$N$269,Q22+1,R22)</f>
        <v>* group[=].element[=].target.code = #Composition.subject</v>
      </c>
    </row>
    <row r="23" spans="1:19" ht="44.25" x14ac:dyDescent="0.75">
      <c r="A23" s="23"/>
      <c r="B23" s="9" t="str">
        <f>Report!B16</f>
        <v>header.metadata.type</v>
      </c>
      <c r="C23" s="9" t="str">
        <f>Report!C16</f>
        <v>A.1.8.1 Document type</v>
      </c>
      <c r="D23" s="14" t="s">
        <v>655</v>
      </c>
      <c r="E23" s="14"/>
      <c r="F23" s="75" t="s">
        <v>658</v>
      </c>
      <c r="G23" s="75"/>
      <c r="H23" s="76"/>
      <c r="I23" s="14" t="str">
        <f t="shared" si="4"/>
        <v>* group[=].element[+].code = #LabReport.header.metadata.type</v>
      </c>
      <c r="J23" s="14" t="str">
        <f t="shared" si="0"/>
        <v>* group[=].element[=].display = ##34#A.1.8.1 Document type##34#</v>
      </c>
      <c r="K23" s="14" t="str">
        <f t="shared" si="5"/>
        <v>* group[=].element[=].target.code = #Composition.code</v>
      </c>
      <c r="L23" s="14" t="str">
        <f t="shared" si="1"/>
        <v>* group[=].element[=].target.display = ##34###34#</v>
      </c>
      <c r="M23" s="14" t="str">
        <f t="shared" si="2"/>
        <v>* group[=].element[=].target.equivalence = #equivalent</v>
      </c>
      <c r="N23" s="14" t="str">
        <f t="shared" si="3"/>
        <v/>
      </c>
      <c r="P23" s="9">
        <v>10</v>
      </c>
      <c r="Q23" s="9">
        <f t="shared" si="6"/>
        <v>1</v>
      </c>
      <c r="R23" s="9">
        <f t="shared" si="7"/>
        <v>4</v>
      </c>
      <c r="S23" s="14" t="str" cm="1">
        <f t="array" ref="S23">INDEX('Report-ConceptMap-2'!$I$15:$N$269,Q23+1,R23)</f>
        <v>* group[=].element[=].target.display = ##34###34#</v>
      </c>
    </row>
    <row r="24" spans="1:19" ht="44.25" x14ac:dyDescent="0.75">
      <c r="B24" s="9" t="str">
        <f>Report!B17</f>
        <v>header.metadata.status</v>
      </c>
      <c r="C24" s="9" t="str">
        <f>Report!C17</f>
        <v>A.1.8.2 Document status</v>
      </c>
      <c r="D24" s="14" t="s">
        <v>670</v>
      </c>
      <c r="E24" s="14"/>
      <c r="F24" s="75" t="s">
        <v>659</v>
      </c>
      <c r="G24" s="75" t="s">
        <v>690</v>
      </c>
      <c r="H24" s="76"/>
      <c r="I24" s="14" t="str">
        <f t="shared" si="4"/>
        <v>* group[=].element[+].code = #LabReport.header.metadata.status</v>
      </c>
      <c r="J24" s="14" t="str">
        <f t="shared" si="0"/>
        <v>* group[=].element[=].display = ##34#A.1.8.2 Document status##34#</v>
      </c>
      <c r="K24" s="14" t="str">
        <f t="shared" si="5"/>
        <v>* group[=].element[=].target.code = #Composition.status</v>
      </c>
      <c r="L24" s="14" t="str">
        <f t="shared" si="1"/>
        <v>* group[=].element[=].target.display = ##34###34#</v>
      </c>
      <c r="M24" s="14" t="str">
        <f t="shared" si="2"/>
        <v>* group[=].element[=].target.equivalence = #relatedto</v>
      </c>
      <c r="N24" s="14" t="str">
        <f t="shared" si="3"/>
        <v>* group[=].element[=].target.comment = ##34#to be checked…##34#</v>
      </c>
      <c r="P24" s="9">
        <v>11</v>
      </c>
      <c r="Q24" s="9">
        <f t="shared" si="6"/>
        <v>1</v>
      </c>
      <c r="R24" s="9">
        <f t="shared" si="7"/>
        <v>5</v>
      </c>
      <c r="S24" s="14" t="str" cm="1">
        <f t="array" ref="S24">INDEX('Report-ConceptMap-2'!$I$15:$N$269,Q24+1,R24)</f>
        <v>* group[=].element[=].target.equivalence = #relatedto</v>
      </c>
    </row>
    <row r="25" spans="1:19" ht="44.25" x14ac:dyDescent="0.75">
      <c r="B25" s="9" t="str">
        <f>Report!B18</f>
        <v>header.metadata.dateTime</v>
      </c>
      <c r="C25" s="9" t="str">
        <f>Report!C18</f>
        <v>A.1.8.3 Report date and time</v>
      </c>
      <c r="D25" s="14" t="s">
        <v>691</v>
      </c>
      <c r="E25" s="14"/>
      <c r="F25" s="75" t="s">
        <v>658</v>
      </c>
      <c r="G25" s="75"/>
      <c r="H25" s="76"/>
      <c r="I25" s="14" t="str">
        <f t="shared" si="4"/>
        <v>* group[=].element[+].code = #LabReport.header.metadata.dateTime</v>
      </c>
      <c r="J25" s="14" t="str">
        <f t="shared" si="0"/>
        <v>* group[=].element[=].display = ##34#A.1.8.3 Report date and time##34#</v>
      </c>
      <c r="K25" s="14" t="str">
        <f t="shared" si="5"/>
        <v>* group[=].element[=].target.code = #Composition.date</v>
      </c>
      <c r="L25" s="14" t="str">
        <f t="shared" si="1"/>
        <v>* group[=].element[=].target.display = ##34###34#</v>
      </c>
      <c r="M25" s="14" t="str">
        <f t="shared" si="2"/>
        <v>* group[=].element[=].target.equivalence = #equivalent</v>
      </c>
      <c r="N25" s="14" t="str">
        <f t="shared" si="3"/>
        <v/>
      </c>
      <c r="P25" s="9">
        <v>12</v>
      </c>
      <c r="Q25" s="9">
        <f t="shared" si="6"/>
        <v>1</v>
      </c>
      <c r="R25" s="9">
        <f t="shared" si="7"/>
        <v>6</v>
      </c>
      <c r="S25" s="14" t="str" cm="1">
        <f t="array" ref="S25">INDEX('Report-ConceptMap-2'!$I$15:$N$269,Q25+1,R25)</f>
        <v/>
      </c>
    </row>
    <row r="26" spans="1:19" ht="44.25" x14ac:dyDescent="0.75">
      <c r="B26" s="9" t="str">
        <f>Report!B19</f>
        <v>header.metadata.title</v>
      </c>
      <c r="C26" s="9" t="str">
        <f>Report!C19</f>
        <v>A.1.8.4 Document title</v>
      </c>
      <c r="D26" s="14" t="s">
        <v>692</v>
      </c>
      <c r="E26" s="14"/>
      <c r="F26" s="75" t="s">
        <v>658</v>
      </c>
      <c r="G26" s="75"/>
      <c r="H26" s="76"/>
      <c r="I26" s="14" t="str">
        <f t="shared" si="4"/>
        <v>* group[=].element[+].code = #LabReport.header.metadata.title</v>
      </c>
      <c r="J26" s="14" t="str">
        <f t="shared" si="0"/>
        <v>* group[=].element[=].display = ##34#A.1.8.4 Document title##34#</v>
      </c>
      <c r="K26" s="14" t="str">
        <f t="shared" si="5"/>
        <v>* group[=].element[=].target.code = #Composition.title</v>
      </c>
      <c r="L26" s="14" t="str">
        <f t="shared" si="1"/>
        <v>* group[=].element[=].target.display = ##34###34#</v>
      </c>
      <c r="M26" s="14" t="str">
        <f t="shared" si="2"/>
        <v>* group[=].element[=].target.equivalence = #equivalent</v>
      </c>
      <c r="N26" s="14" t="str">
        <f t="shared" si="3"/>
        <v/>
      </c>
      <c r="P26" s="9">
        <v>13</v>
      </c>
      <c r="Q26" s="9">
        <f t="shared" si="6"/>
        <v>2</v>
      </c>
      <c r="R26" s="9">
        <f t="shared" si="7"/>
        <v>1</v>
      </c>
      <c r="S26" s="14" t="str" cm="1">
        <f t="array" ref="S26">INDEX('Report-ConceptMap-2'!$I$15:$N$269,Q26+1,R26)</f>
        <v>* group[=].element[+].code = #LabReport.header.payer</v>
      </c>
    </row>
    <row r="27" spans="1:19" ht="44.25" x14ac:dyDescent="0.75">
      <c r="B27" s="9" t="str">
        <f>Report!B20</f>
        <v>header.metadata.custodian</v>
      </c>
      <c r="C27" s="9" t="str">
        <f>Report!C20</f>
        <v>A.1.8.5 Report custodian</v>
      </c>
      <c r="D27" s="14" t="s">
        <v>693</v>
      </c>
      <c r="E27" s="14"/>
      <c r="F27" s="75" t="s">
        <v>658</v>
      </c>
      <c r="G27" s="75"/>
      <c r="H27" s="76"/>
      <c r="I27" s="14" t="str">
        <f t="shared" si="4"/>
        <v>* group[=].element[+].code = #LabReport.header.metadata.custodian</v>
      </c>
      <c r="J27" s="14" t="str">
        <f t="shared" si="0"/>
        <v>* group[=].element[=].display = ##34#A.1.8.5 Report custodian##34#</v>
      </c>
      <c r="K27" s="14" t="str">
        <f t="shared" si="5"/>
        <v>* group[=].element[=].target.code = #Composition.custodian</v>
      </c>
      <c r="L27" s="14" t="str">
        <f t="shared" si="1"/>
        <v>* group[=].element[=].target.display = ##34###34#</v>
      </c>
      <c r="M27" s="14" t="str">
        <f t="shared" si="2"/>
        <v>* group[=].element[=].target.equivalence = #equivalent</v>
      </c>
      <c r="N27" s="14" t="str">
        <f t="shared" si="3"/>
        <v/>
      </c>
      <c r="P27" s="9">
        <v>14</v>
      </c>
      <c r="Q27" s="9">
        <f t="shared" si="6"/>
        <v>2</v>
      </c>
      <c r="R27" s="9">
        <f t="shared" si="7"/>
        <v>2</v>
      </c>
      <c r="S27" s="14" t="str" cm="1">
        <f t="array" ref="S27">INDEX('Report-ConceptMap-2'!$I$15:$N$269,Q27+1,R27)</f>
        <v>* group[=].element[=].display = ##34#A.1.3 Health insurance and payment information##34#</v>
      </c>
    </row>
    <row r="28" spans="1:19" ht="118" x14ac:dyDescent="0.75">
      <c r="B28" s="9" t="str">
        <f>Report!B21</f>
        <v>order</v>
      </c>
      <c r="C28" s="9" t="str">
        <f>Report!C21</f>
        <v>A.2-A.3 Order</v>
      </c>
      <c r="D28" s="14" t="s">
        <v>829</v>
      </c>
      <c r="E28" s="14"/>
      <c r="F28" s="75" t="s">
        <v>659</v>
      </c>
      <c r="G28" s="14" t="s">
        <v>694</v>
      </c>
      <c r="H28" s="76"/>
      <c r="I28" s="14" t="str">
        <f t="shared" si="4"/>
        <v>* group[=].element[+].code = #LabReport.order</v>
      </c>
      <c r="J28" s="14" t="str">
        <f t="shared" si="0"/>
        <v>* group[=].element[=].display = ##34#A.2-A.3 Order##34#</v>
      </c>
      <c r="K28" s="14" t="str">
        <f t="shared" si="5"/>
        <v>* group[=].element[=].target.code = #Composition.extension:basedOn-order-or-requisition.insurance</v>
      </c>
      <c r="L28" s="14" t="str">
        <f t="shared" si="1"/>
        <v>* group[=].element[=].target.display = ##34###34#</v>
      </c>
      <c r="M28" s="14" t="str">
        <f t="shared" si="2"/>
        <v>* group[=].element[=].target.equivalence = #relatedto</v>
      </c>
      <c r="N28" s="14" t="str">
        <f t="shared" si="3"/>
        <v>* group[=].element[=].target.comment = ##34#extension(http://hl7.eu/fhir/laboratory/StructureDefinition/composition-basedOn-order-or-requisition).resolve().ofType(ServiceRequest)##34#</v>
      </c>
      <c r="P28" s="9">
        <v>15</v>
      </c>
      <c r="Q28" s="9">
        <f t="shared" si="6"/>
        <v>2</v>
      </c>
      <c r="R28" s="9">
        <f t="shared" si="7"/>
        <v>3</v>
      </c>
      <c r="S28" s="14" t="str" cm="1">
        <f t="array" ref="S28">INDEX('Report-ConceptMap-2'!$I$15:$N$269,Q28+1,R28)</f>
        <v>* group[=].element[=].target.code = #Composition.extension:basedOn-order-or-requisition.insurance</v>
      </c>
    </row>
    <row r="29" spans="1:19" ht="59" x14ac:dyDescent="0.75">
      <c r="B29" s="9" t="str">
        <f>Report!B22</f>
        <v>specimen</v>
      </c>
      <c r="C29" s="9" t="str">
        <f>Report!C22</f>
        <v>A.4 Specimen information</v>
      </c>
      <c r="D29" s="14" t="s">
        <v>835</v>
      </c>
      <c r="E29" s="14"/>
      <c r="F29" s="75" t="s">
        <v>659</v>
      </c>
      <c r="G29" s="75" t="s">
        <v>695</v>
      </c>
      <c r="H29" s="76"/>
      <c r="I29" s="14" t="str">
        <f t="shared" si="4"/>
        <v>* group[=].element[+].code = #LabReport.specimen</v>
      </c>
      <c r="J29" s="14" t="str">
        <f t="shared" si="0"/>
        <v>* group[=].element[=].display = ##34#A.4 Specimen information##34#</v>
      </c>
      <c r="K29" s="14" t="str">
        <f t="shared" si="5"/>
        <v>* group[=].element[=].target.code = #Composition.section:lab-no-subsections.entry.specimen</v>
      </c>
      <c r="L29" s="14" t="str">
        <f t="shared" si="1"/>
        <v>* group[=].element[=].target.display = ##34###34#</v>
      </c>
      <c r="M29" s="14" t="str">
        <f t="shared" si="2"/>
        <v>* group[=].element[=].target.equivalence = #relatedto</v>
      </c>
      <c r="N29" s="14" t="str">
        <f t="shared" si="3"/>
        <v>* group[=].element[=].target.comment = ##34#If no sub sections##34#</v>
      </c>
      <c r="P29" s="9">
        <v>16</v>
      </c>
      <c r="Q29" s="9">
        <f t="shared" si="6"/>
        <v>2</v>
      </c>
      <c r="R29" s="9">
        <f t="shared" si="7"/>
        <v>4</v>
      </c>
      <c r="S29" s="14" t="str" cm="1">
        <f t="array" ref="S29">INDEX('Report-ConceptMap-2'!$I$15:$N$269,Q29+1,R29)</f>
        <v>* group[=].element[=].target.display = ##34###34#</v>
      </c>
    </row>
    <row r="30" spans="1:19" ht="59" x14ac:dyDescent="0.75">
      <c r="B30" s="9" t="str">
        <f>Report!B23</f>
        <v>result</v>
      </c>
      <c r="C30" s="9" t="str">
        <f>Report!C23</f>
        <v>A.5 Results data elements</v>
      </c>
      <c r="D30" s="14" t="s">
        <v>820</v>
      </c>
      <c r="E30" s="14"/>
      <c r="F30" s="75" t="s">
        <v>659</v>
      </c>
      <c r="G30" s="75" t="s">
        <v>695</v>
      </c>
      <c r="H30" s="76"/>
      <c r="I30" s="14" t="str">
        <f t="shared" si="4"/>
        <v>* group[=].element[+].code = #LabReport.result</v>
      </c>
      <c r="J30" s="14" t="str">
        <f t="shared" si="0"/>
        <v>* group[=].element[=].display = ##34#A.5 Results data elements##34#</v>
      </c>
      <c r="K30" s="14" t="str">
        <f t="shared" si="5"/>
        <v>* group[=].element[=].target.code = #Composition.section:lab-no-subsections.entry</v>
      </c>
      <c r="L30" s="14" t="str">
        <f t="shared" si="1"/>
        <v>* group[=].element[=].target.display = ##34###34#</v>
      </c>
      <c r="M30" s="14" t="str">
        <f t="shared" si="2"/>
        <v>* group[=].element[=].target.equivalence = #relatedto</v>
      </c>
      <c r="N30" s="14" t="str">
        <f t="shared" si="3"/>
        <v>* group[=].element[=].target.comment = ##34#If no sub sections##34#</v>
      </c>
      <c r="P30" s="9">
        <v>17</v>
      </c>
      <c r="Q30" s="9">
        <f t="shared" si="6"/>
        <v>2</v>
      </c>
      <c r="R30" s="9">
        <f t="shared" si="7"/>
        <v>5</v>
      </c>
      <c r="S30" s="14" t="str" cm="1">
        <f t="array" ref="S30">INDEX('Report-ConceptMap-2'!$I$15:$N$269,Q30+1,R30)</f>
        <v>* group[=].element[=].target.equivalence = #relatedto</v>
      </c>
    </row>
    <row r="31" spans="1:19" ht="73.75" x14ac:dyDescent="0.75">
      <c r="B31" s="9" t="str">
        <f>Report!B22</f>
        <v>specimen</v>
      </c>
      <c r="C31" s="9" t="str">
        <f>Report!C22</f>
        <v>A.4 Specimen information</v>
      </c>
      <c r="D31" s="14" t="s">
        <v>836</v>
      </c>
      <c r="E31" s="14"/>
      <c r="F31" s="75" t="s">
        <v>659</v>
      </c>
      <c r="G31" s="75" t="s">
        <v>696</v>
      </c>
      <c r="H31" s="76"/>
      <c r="I31" s="14" t="str">
        <f t="shared" ref="I31:I32" si="8">"* group[=].element[+].code = #"&amp;$B$14&amp;"."&amp;B31</f>
        <v>* group[=].element[+].code = #LabReport.specimen</v>
      </c>
      <c r="J31" s="14" t="str">
        <f t="shared" ref="J31:J32" si="9">"* group[=].element[=].display = ##34#"&amp;C31&amp;"##34#"</f>
        <v>* group[=].element[=].display = ##34#A.4 Specimen information##34#</v>
      </c>
      <c r="K31" s="14" t="str">
        <f t="shared" si="5"/>
        <v>* group[=].element[=].target.code = #Composition.section:lab-subsections.section.entry.specimen</v>
      </c>
      <c r="L31" s="14" t="str">
        <f t="shared" ref="L31:L32" si="10">IF(F31="unmatched","//-- unmatched","* group[=].element[=].target.display = ##34#"&amp;E31&amp;"##34#")</f>
        <v>* group[=].element[=].target.display = ##34###34#</v>
      </c>
      <c r="M31" s="14" t="str">
        <f t="shared" ref="M31:M32" si="11">"* group[=].element[=].target.equivalence = #"&amp;F31</f>
        <v>* group[=].element[=].target.equivalence = #relatedto</v>
      </c>
      <c r="N31" s="14" t="str">
        <f t="shared" ref="N31:N32" si="12">IF(G31&lt;&gt;"",CONCATENATE("* group[=].element[=].target.comment = ","##34#",G31,"##34#"),"")</f>
        <v>* group[=].element[=].target.comment = ##34#If sub sections##34#</v>
      </c>
      <c r="P31" s="9">
        <v>18</v>
      </c>
      <c r="Q31" s="9">
        <f t="shared" si="6"/>
        <v>2</v>
      </c>
      <c r="R31" s="9">
        <f t="shared" si="7"/>
        <v>6</v>
      </c>
      <c r="S31" s="14" t="str" cm="1">
        <f t="array" ref="S31">INDEX('Report-ConceptMap-2'!$I$15:$N$269,Q31+1,R31)</f>
        <v>* group[=].element[=].target.comment = ##34#extension(http://hl7.eu/fhir/laboratory/StructureDefinition/composition-basedOn-order-or-requisition).resolve().ofType(ServiceRequest).insurance.resolve().ofType(Coverage)##34#</v>
      </c>
    </row>
    <row r="32" spans="1:19" ht="59" x14ac:dyDescent="0.75">
      <c r="B32" s="9" t="str">
        <f>Report!B23</f>
        <v>result</v>
      </c>
      <c r="C32" s="9" t="str">
        <f>Report!C23</f>
        <v>A.5 Results data elements</v>
      </c>
      <c r="D32" s="14" t="s">
        <v>821</v>
      </c>
      <c r="E32" s="14"/>
      <c r="F32" s="75" t="s">
        <v>659</v>
      </c>
      <c r="G32" s="75" t="s">
        <v>696</v>
      </c>
      <c r="H32" s="76"/>
      <c r="I32" s="14" t="str">
        <f t="shared" si="8"/>
        <v>* group[=].element[+].code = #LabReport.result</v>
      </c>
      <c r="J32" s="14" t="str">
        <f t="shared" si="9"/>
        <v>* group[=].element[=].display = ##34#A.5 Results data elements##34#</v>
      </c>
      <c r="K32" s="14" t="str">
        <f t="shared" si="5"/>
        <v>* group[=].element[=].target.code = #Composition.section:lab-subsections.section.entry</v>
      </c>
      <c r="L32" s="14" t="str">
        <f t="shared" si="10"/>
        <v>* group[=].element[=].target.display = ##34###34#</v>
      </c>
      <c r="M32" s="14" t="str">
        <f t="shared" si="11"/>
        <v>* group[=].element[=].target.equivalence = #relatedto</v>
      </c>
      <c r="N32" s="14" t="str">
        <f t="shared" si="12"/>
        <v>* group[=].element[=].target.comment = ##34#If sub sections##34#</v>
      </c>
      <c r="P32" s="9">
        <v>19</v>
      </c>
      <c r="Q32" s="9">
        <f t="shared" si="6"/>
        <v>3</v>
      </c>
      <c r="R32" s="9">
        <f t="shared" si="7"/>
        <v>1</v>
      </c>
      <c r="S32" s="14" t="str" cm="1">
        <f t="array" ref="S32">INDEX('Report-ConceptMap-2'!$I$15:$N$269,Q32+1,R32)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INDEX('Report-ConceptMap-2'!$I$15:$N$269,Q33+1,R33)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INDEX('Report-ConceptMap-2'!$I$15:$N$269,Q34+1,R34)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INDEX('Report-ConceptMap-2'!$I$15:$N$269,Q35+1,R35)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INDEX('Report-ConceptMap-2'!$I$15:$N$269,Q36+1,R36)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INDEX('Report-ConceptMap-2'!$I$15:$N$269,Q37+1,R37)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INDEX('Report-ConceptMap-2'!$I$15:$N$269,Q38+1,R38)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INDEX('Report-ConceptMap-2'!$I$15:$N$269,Q39+1,R39)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INDEX('Report-ConceptMap-2'!$I$15:$N$269,Q40+1,R40)</f>
        <v>* group[=].element[=].target.code = #Composition.author</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INDEX('Report-ConceptMap-2'!$I$15:$N$269,Q41+1,R41)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INDEX('Report-ConceptMap-2'!$I$15:$N$269,Q42+1,R42)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INDEX('Report-ConceptMap-2'!$I$15:$N$269,Q43+1,R43)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INDEX('Report-ConceptMap-2'!$I$15:$N$269,Q44+1,R44)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INDEX('Report-ConceptMap-2'!$I$15:$N$269,Q45+1,R45)</f>
        <v>* group[=].element[=].display = ##34#A.1.6 Legal authenticator##34#</v>
      </c>
    </row>
    <row r="46" spans="1:19" s="1" customFormat="1" x14ac:dyDescent="0.75">
      <c r="A46"/>
      <c r="B46" s="9"/>
      <c r="C46"/>
      <c r="F46" s="76"/>
      <c r="G46" s="76"/>
      <c r="H46" s="76"/>
      <c r="J46" s="76"/>
      <c r="K46" s="76"/>
      <c r="L46" s="76"/>
      <c r="M46" s="76"/>
      <c r="N46" s="76"/>
      <c r="P46" s="9">
        <v>33</v>
      </c>
      <c r="Q46" s="9">
        <f t="shared" si="6"/>
        <v>5</v>
      </c>
      <c r="R46" s="9">
        <f t="shared" si="7"/>
        <v>3</v>
      </c>
      <c r="S46" s="14" t="str" cm="1">
        <f t="array" ref="S46">INDEX('Report-ConceptMap-2'!$I$15:$N$269,Q46+1,R46)</f>
        <v>* group[=].element[=].target.code = #Composition.attester.party</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INDEX('Report-ConceptMap-2'!$I$15:$N$269,Q47+1,R47)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INDEX('Report-ConceptMap-2'!$I$15:$N$269,Q48+1,R48)</f>
        <v>* group[=].element[=].target.equivalence = #equivalent</v>
      </c>
    </row>
    <row r="49" spans="2:19" ht="44.25" x14ac:dyDescent="0.75">
      <c r="F49" s="76"/>
      <c r="G49" s="76"/>
      <c r="H49" s="76"/>
      <c r="J49" s="76"/>
      <c r="K49" s="76"/>
      <c r="L49" s="76"/>
      <c r="M49" s="76"/>
      <c r="N49" s="76"/>
      <c r="P49" s="9">
        <v>36</v>
      </c>
      <c r="Q49" s="9">
        <f t="shared" si="6"/>
        <v>5</v>
      </c>
      <c r="R49" s="9">
        <f t="shared" si="7"/>
        <v>6</v>
      </c>
      <c r="S49" s="14" t="str" cm="1">
        <f t="array" ref="S49">INDEX('Report-ConceptMap-2'!$I$15:$N$269,Q49+1,R49)</f>
        <v>* group[=].element[=].target.comment = ##34#The person authenticated the content and accepted legal responsibility for its content.
attester.where(mode='legal').party.resolve()##34#</v>
      </c>
    </row>
    <row r="50" spans="2:19" x14ac:dyDescent="0.75">
      <c r="F50" s="76"/>
      <c r="G50" s="76"/>
      <c r="H50" s="76"/>
      <c r="J50" s="76"/>
      <c r="K50" s="76"/>
      <c r="L50" s="76"/>
      <c r="M50" s="76"/>
      <c r="N50" s="76"/>
      <c r="P50" s="9">
        <v>37</v>
      </c>
      <c r="Q50" s="9">
        <f t="shared" si="6"/>
        <v>6</v>
      </c>
      <c r="R50" s="9">
        <f t="shared" si="7"/>
        <v>1</v>
      </c>
      <c r="S50" s="14" t="str" cm="1">
        <f t="array" ref="S50">INDEX('Report-ConceptMap-2'!$I$15:$N$269,Q50+1,R50)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INDEX('Report-ConceptMap-2'!$I$15:$N$269,Q51+1,R51)</f>
        <v>* group[=].element[=].display = ##34#A.1.7 Result validator##34#</v>
      </c>
    </row>
    <row r="52" spans="2:19" ht="29.5" x14ac:dyDescent="0.75">
      <c r="B52" t="s">
        <v>647</v>
      </c>
      <c r="C52" t="s">
        <v>648</v>
      </c>
      <c r="D52" s="1" t="s">
        <v>649</v>
      </c>
      <c r="E52" t="s">
        <v>650</v>
      </c>
      <c r="P52" s="9">
        <v>39</v>
      </c>
      <c r="Q52" s="9">
        <f t="shared" si="6"/>
        <v>6</v>
      </c>
      <c r="R52" s="9">
        <f t="shared" si="7"/>
        <v>3</v>
      </c>
      <c r="S52" s="14" t="str" cm="1">
        <f t="array" ref="S52">INDEX('Report-ConceptMap-2'!$I$15:$N$269,Q52+1,R52)</f>
        <v>* group[=].element[=].target.code = #Composition.attester.party</v>
      </c>
    </row>
    <row r="53" spans="2:19" x14ac:dyDescent="0.75">
      <c r="P53" s="9">
        <v>40</v>
      </c>
      <c r="Q53" s="9">
        <f t="shared" si="6"/>
        <v>6</v>
      </c>
      <c r="R53" s="9">
        <f t="shared" si="7"/>
        <v>4</v>
      </c>
      <c r="S53" s="14" t="str" cm="1">
        <f t="array" ref="S53">INDEX('Report-ConceptMap-2'!$I$15:$N$269,Q53+1,R53)</f>
        <v>* group[=].element[=].target.display = ##34###34#</v>
      </c>
    </row>
    <row r="54" spans="2:19" x14ac:dyDescent="0.75">
      <c r="P54" s="9">
        <v>41</v>
      </c>
      <c r="Q54" s="9">
        <f t="shared" si="6"/>
        <v>6</v>
      </c>
      <c r="R54" s="9">
        <f t="shared" si="7"/>
        <v>5</v>
      </c>
      <c r="S54" s="14" t="str" cm="1">
        <f t="array" ref="S54">INDEX('Report-ConceptMap-2'!$I$15:$N$269,Q54+1,R54)</f>
        <v>* group[=].element[=].target.equivalence = #equivalent</v>
      </c>
    </row>
    <row r="55" spans="2:19" ht="44.25" x14ac:dyDescent="0.75">
      <c r="P55" s="9">
        <v>42</v>
      </c>
      <c r="Q55" s="9">
        <f t="shared" si="6"/>
        <v>6</v>
      </c>
      <c r="R55" s="9">
        <f t="shared" si="7"/>
        <v>6</v>
      </c>
      <c r="S55" s="14" t="str" cm="1">
        <f t="array" ref="S55">INDEX('Report-ConceptMap-2'!$I$15:$N$269,Q55+1,R55)</f>
        <v>* group[=].element[=].target.comment = ##34#The person authenticated the content in their professional capacity.
attester.where(mode='professional').party.resolve()##34#</v>
      </c>
    </row>
    <row r="56" spans="2:19" x14ac:dyDescent="0.75">
      <c r="P56" s="9">
        <v>43</v>
      </c>
      <c r="Q56" s="9">
        <f t="shared" si="6"/>
        <v>7</v>
      </c>
      <c r="R56" s="9">
        <f t="shared" si="7"/>
        <v>1</v>
      </c>
      <c r="S56" s="14" t="str" cm="1">
        <f t="array" ref="S56">INDEX('Report-ConceptMap-2'!$I$15:$N$269,Q56+1,R56)</f>
        <v>* group[=].element[+].code = #LabReport.header.metadata</v>
      </c>
    </row>
    <row r="57" spans="2:19" x14ac:dyDescent="0.75">
      <c r="P57" s="9">
        <v>44</v>
      </c>
      <c r="Q57" s="9">
        <f t="shared" si="6"/>
        <v>7</v>
      </c>
      <c r="R57" s="9">
        <f t="shared" si="7"/>
        <v>2</v>
      </c>
      <c r="S57" s="14" t="str" cm="1">
        <f t="array" ref="S57">INDEX('Report-ConceptMap-2'!$I$15:$N$269,Q57+1,R57)</f>
        <v>* group[=].element[=].display = ##34#A.1.8 Laboratory report metadata##34#</v>
      </c>
    </row>
    <row r="58" spans="2:19" x14ac:dyDescent="0.75">
      <c r="P58" s="9">
        <v>45</v>
      </c>
      <c r="Q58" s="9">
        <f t="shared" si="6"/>
        <v>7</v>
      </c>
      <c r="R58" s="9">
        <f t="shared" si="7"/>
        <v>3</v>
      </c>
      <c r="S58" s="14" t="str" cm="1">
        <f t="array" ref="S58">INDEX('Report-ConceptMap-2'!$I$15:$N$269,Q58+1,R58)</f>
        <v>* group[=].element[=].target.code = #Composition</v>
      </c>
    </row>
    <row r="59" spans="2:19" x14ac:dyDescent="0.75">
      <c r="P59" s="9">
        <v>46</v>
      </c>
      <c r="Q59" s="9">
        <f t="shared" si="6"/>
        <v>7</v>
      </c>
      <c r="R59" s="9">
        <f t="shared" si="7"/>
        <v>4</v>
      </c>
      <c r="S59" s="14" t="str" cm="1">
        <f t="array" ref="S59">INDEX('Report-ConceptMap-2'!$I$15:$N$269,Q59+1,R59)</f>
        <v>* group[=].element[=].target.display = ##34###34#</v>
      </c>
    </row>
    <row r="60" spans="2:19" x14ac:dyDescent="0.75">
      <c r="P60" s="9">
        <v>47</v>
      </c>
      <c r="Q60" s="9">
        <f t="shared" si="6"/>
        <v>7</v>
      </c>
      <c r="R60" s="9">
        <f t="shared" si="7"/>
        <v>5</v>
      </c>
      <c r="S60" s="14" t="str" cm="1">
        <f t="array" ref="S60">INDEX('Report-ConceptMap-2'!$I$15:$N$269,Q60+1,R60)</f>
        <v>* group[=].element[=].target.equivalence = #relatedto</v>
      </c>
    </row>
    <row r="61" spans="2:19" x14ac:dyDescent="0.75">
      <c r="P61" s="9">
        <v>48</v>
      </c>
      <c r="Q61" s="9">
        <f t="shared" si="6"/>
        <v>7</v>
      </c>
      <c r="R61" s="9">
        <f t="shared" si="7"/>
        <v>6</v>
      </c>
      <c r="S61" s="14" t="str" cm="1">
        <f t="array" ref="S61">INDEX('Report-ConceptMap-2'!$I$15:$N$269,Q61+1,R61)</f>
        <v/>
      </c>
    </row>
    <row r="62" spans="2:19" x14ac:dyDescent="0.75">
      <c r="P62" s="9">
        <v>49</v>
      </c>
      <c r="Q62" s="9">
        <f t="shared" si="6"/>
        <v>8</v>
      </c>
      <c r="R62" s="9">
        <f t="shared" si="7"/>
        <v>1</v>
      </c>
      <c r="S62" s="14" t="str" cm="1">
        <f t="array" ref="S62">INDEX('Report-ConceptMap-2'!$I$15:$N$269,Q62+1,R62)</f>
        <v>* group[=].element[+].code = #LabReport.header.metadata.type</v>
      </c>
    </row>
    <row r="63" spans="2:19" x14ac:dyDescent="0.75">
      <c r="P63" s="9">
        <v>50</v>
      </c>
      <c r="Q63" s="9">
        <f t="shared" si="6"/>
        <v>8</v>
      </c>
      <c r="R63" s="9">
        <f t="shared" si="7"/>
        <v>2</v>
      </c>
      <c r="S63" s="14" t="str" cm="1">
        <f t="array" ref="S63">INDEX('Report-ConceptMap-2'!$I$15:$N$269,Q63+1,R63)</f>
        <v>* group[=].element[=].display = ##34#A.1.8.1 Document type##34#</v>
      </c>
    </row>
    <row r="64" spans="2:19" x14ac:dyDescent="0.75">
      <c r="P64" s="9">
        <v>51</v>
      </c>
      <c r="Q64" s="9">
        <f t="shared" si="6"/>
        <v>8</v>
      </c>
      <c r="R64" s="9">
        <f t="shared" si="7"/>
        <v>3</v>
      </c>
      <c r="S64" s="14" t="str" cm="1">
        <f t="array" ref="S64">INDEX('Report-ConceptMap-2'!$I$15:$N$269,Q64+1,R64)</f>
        <v>* group[=].element[=].target.code = #Composition.code</v>
      </c>
    </row>
    <row r="65" spans="16:19" x14ac:dyDescent="0.75">
      <c r="P65" s="9">
        <v>52</v>
      </c>
      <c r="Q65" s="9">
        <f t="shared" si="6"/>
        <v>8</v>
      </c>
      <c r="R65" s="9">
        <f t="shared" si="7"/>
        <v>4</v>
      </c>
      <c r="S65" s="14" t="str" cm="1">
        <f t="array" ref="S65">INDEX('Report-ConceptMap-2'!$I$15:$N$269,Q65+1,R65)</f>
        <v>* group[=].element[=].target.display = ##34###34#</v>
      </c>
    </row>
    <row r="66" spans="16:19" x14ac:dyDescent="0.75">
      <c r="P66" s="9">
        <v>53</v>
      </c>
      <c r="Q66" s="9">
        <f t="shared" si="6"/>
        <v>8</v>
      </c>
      <c r="R66" s="9">
        <f t="shared" si="7"/>
        <v>5</v>
      </c>
      <c r="S66" s="14" t="str" cm="1">
        <f t="array" ref="S66">INDEX('Report-ConceptMap-2'!$I$15:$N$269,Q66+1,R66)</f>
        <v>* group[=].element[=].target.equivalence = #equivalent</v>
      </c>
    </row>
    <row r="67" spans="16:19" x14ac:dyDescent="0.75">
      <c r="P67" s="9">
        <v>54</v>
      </c>
      <c r="Q67" s="9">
        <f t="shared" si="6"/>
        <v>8</v>
      </c>
      <c r="R67" s="9">
        <f t="shared" si="7"/>
        <v>6</v>
      </c>
      <c r="S67" s="14" t="str" cm="1">
        <f t="array" ref="S67">INDEX('Report-ConceptMap-2'!$I$15:$N$269,Q67+1,R67)</f>
        <v/>
      </c>
    </row>
    <row r="68" spans="16:19" x14ac:dyDescent="0.75">
      <c r="P68" s="9">
        <v>55</v>
      </c>
      <c r="Q68" s="9">
        <f t="shared" si="6"/>
        <v>9</v>
      </c>
      <c r="R68" s="9">
        <f t="shared" si="7"/>
        <v>1</v>
      </c>
      <c r="S68" s="14" t="str" cm="1">
        <f t="array" ref="S68">INDEX('Report-ConceptMap-2'!$I$15:$N$269,Q68+1,R68)</f>
        <v>* group[=].element[+].code = #LabReport.header.metadata.status</v>
      </c>
    </row>
    <row r="69" spans="16:19" x14ac:dyDescent="0.75">
      <c r="P69" s="9">
        <v>56</v>
      </c>
      <c r="Q69" s="9">
        <f t="shared" si="6"/>
        <v>9</v>
      </c>
      <c r="R69" s="9">
        <f t="shared" si="7"/>
        <v>2</v>
      </c>
      <c r="S69" s="14" t="str" cm="1">
        <f t="array" ref="S69">INDEX('Report-ConceptMap-2'!$I$15:$N$269,Q69+1,R69)</f>
        <v>* group[=].element[=].display = ##34#A.1.8.2 Document status##34#</v>
      </c>
    </row>
    <row r="70" spans="16:19" x14ac:dyDescent="0.75">
      <c r="P70" s="9">
        <v>57</v>
      </c>
      <c r="Q70" s="9">
        <f t="shared" si="6"/>
        <v>9</v>
      </c>
      <c r="R70" s="9">
        <f t="shared" si="7"/>
        <v>3</v>
      </c>
      <c r="S70" s="14" t="str" cm="1">
        <f t="array" ref="S70">INDEX('Report-ConceptMap-2'!$I$15:$N$269,Q70+1,R70)</f>
        <v>* group[=].element[=].target.code = #Composition.status</v>
      </c>
    </row>
    <row r="71" spans="16:19" x14ac:dyDescent="0.75">
      <c r="P71" s="9">
        <v>58</v>
      </c>
      <c r="Q71" s="9">
        <f t="shared" si="6"/>
        <v>9</v>
      </c>
      <c r="R71" s="9">
        <f t="shared" si="7"/>
        <v>4</v>
      </c>
      <c r="S71" s="14" t="str" cm="1">
        <f t="array" ref="S71">INDEX('Report-ConceptMap-2'!$I$15:$N$269,Q71+1,R71)</f>
        <v>* group[=].element[=].target.display = ##34###34#</v>
      </c>
    </row>
    <row r="72" spans="16:19" x14ac:dyDescent="0.75">
      <c r="P72" s="9">
        <v>59</v>
      </c>
      <c r="Q72" s="9">
        <f t="shared" si="6"/>
        <v>9</v>
      </c>
      <c r="R72" s="9">
        <f t="shared" si="7"/>
        <v>5</v>
      </c>
      <c r="S72" s="14" t="str" cm="1">
        <f t="array" ref="S72">INDEX('Report-ConceptMap-2'!$I$15:$N$269,Q72+1,R72)</f>
        <v>* group[=].element[=].target.equivalence = #relatedto</v>
      </c>
    </row>
    <row r="73" spans="16:19" x14ac:dyDescent="0.75">
      <c r="P73" s="9">
        <v>60</v>
      </c>
      <c r="Q73" s="9">
        <f t="shared" si="6"/>
        <v>9</v>
      </c>
      <c r="R73" s="9">
        <f t="shared" si="7"/>
        <v>6</v>
      </c>
      <c r="S73" s="14" t="str" cm="1">
        <f t="array" ref="S73">INDEX('Report-ConceptMap-2'!$I$15:$N$269,Q73+1,R73)</f>
        <v>* group[=].element[=].target.comment = ##34#to be checked…##34#</v>
      </c>
    </row>
    <row r="74" spans="16:19" x14ac:dyDescent="0.75">
      <c r="P74" s="9">
        <v>61</v>
      </c>
      <c r="Q74" s="9">
        <f t="shared" si="6"/>
        <v>10</v>
      </c>
      <c r="R74" s="9">
        <f t="shared" si="7"/>
        <v>1</v>
      </c>
      <c r="S74" s="14" t="str" cm="1">
        <f t="array" ref="S74">INDEX('Report-ConceptMap-2'!$I$15:$N$269,Q74+1,R74)</f>
        <v>* group[=].element[+].code = #LabReport.header.metadata.dateTime</v>
      </c>
    </row>
    <row r="75" spans="16:19" x14ac:dyDescent="0.75">
      <c r="P75" s="9">
        <v>62</v>
      </c>
      <c r="Q75" s="9">
        <f t="shared" si="6"/>
        <v>10</v>
      </c>
      <c r="R75" s="9">
        <f t="shared" si="7"/>
        <v>2</v>
      </c>
      <c r="S75" s="14" t="str" cm="1">
        <f t="array" ref="S75">INDEX('Report-ConceptMap-2'!$I$15:$N$269,Q75+1,R75)</f>
        <v>* group[=].element[=].display = ##34#A.1.8.3 Report date and time##34#</v>
      </c>
    </row>
    <row r="76" spans="16:19" x14ac:dyDescent="0.75">
      <c r="P76" s="9">
        <v>63</v>
      </c>
      <c r="Q76" s="9">
        <f t="shared" si="6"/>
        <v>10</v>
      </c>
      <c r="R76" s="9">
        <f t="shared" si="7"/>
        <v>3</v>
      </c>
      <c r="S76" s="14" t="str" cm="1">
        <f t="array" ref="S76">INDEX('Report-ConceptMap-2'!$I$15:$N$269,Q76+1,R76)</f>
        <v>* group[=].element[=].target.code = #Composition.date</v>
      </c>
    </row>
    <row r="77" spans="16:19" x14ac:dyDescent="0.75">
      <c r="P77" s="9">
        <v>64</v>
      </c>
      <c r="Q77" s="9">
        <f t="shared" si="6"/>
        <v>10</v>
      </c>
      <c r="R77" s="9">
        <f t="shared" si="7"/>
        <v>4</v>
      </c>
      <c r="S77" s="14" t="str" cm="1">
        <f t="array" ref="S77">INDEX('Report-ConceptMap-2'!$I$15:$N$269,Q77+1,R77)</f>
        <v>* group[=].element[=].target.display = ##34###34#</v>
      </c>
    </row>
    <row r="78" spans="16:19" x14ac:dyDescent="0.75">
      <c r="P78" s="9">
        <v>65</v>
      </c>
      <c r="Q78" s="9">
        <f t="shared" si="6"/>
        <v>10</v>
      </c>
      <c r="R78" s="9">
        <f t="shared" si="7"/>
        <v>5</v>
      </c>
      <c r="S78" s="14" t="str" cm="1">
        <f t="array" ref="S78">INDEX('Report-ConceptMap-2'!$I$15:$N$269,Q78+1,R78)</f>
        <v>* group[=].element[=].target.equivalence = #equivalent</v>
      </c>
    </row>
    <row r="79" spans="16:19" x14ac:dyDescent="0.75">
      <c r="P79" s="9">
        <v>66</v>
      </c>
      <c r="Q79" s="9">
        <f t="shared" si="6"/>
        <v>10</v>
      </c>
      <c r="R79" s="9">
        <f t="shared" si="7"/>
        <v>6</v>
      </c>
      <c r="S79" s="14" t="str" cm="1">
        <f t="array" ref="S79">INDEX('Report-ConceptMap-2'!$I$15:$N$269,Q79+1,R79)</f>
        <v/>
      </c>
    </row>
    <row r="80" spans="16:19" x14ac:dyDescent="0.75">
      <c r="P80" s="9">
        <v>67</v>
      </c>
      <c r="Q80" s="9">
        <f t="shared" ref="Q80:Q143" si="13">IF(MOD(P80,$Q$8)=0,P80/$Q$8-1,INT(P80/$Q$8))</f>
        <v>11</v>
      </c>
      <c r="R80" s="9">
        <f t="shared" ref="R80:R143" si="14">IF(MOD(P80,$Q$8)=0,$Q$8,MOD(P80,$Q$8))</f>
        <v>1</v>
      </c>
      <c r="S80" s="14" t="str" cm="1">
        <f t="array" ref="S80">INDEX('Report-ConceptMap-2'!$I$15:$N$269,Q80+1,R80)</f>
        <v>* group[=].element[+].code = #LabReport.header.metadata.title</v>
      </c>
    </row>
    <row r="81" spans="16:19" x14ac:dyDescent="0.75">
      <c r="P81" s="9">
        <v>68</v>
      </c>
      <c r="Q81" s="9">
        <f t="shared" si="13"/>
        <v>11</v>
      </c>
      <c r="R81" s="9">
        <f t="shared" si="14"/>
        <v>2</v>
      </c>
      <c r="S81" s="14" t="str" cm="1">
        <f t="array" ref="S81">INDEX('Report-ConceptMap-2'!$I$15:$N$269,Q81+1,R81)</f>
        <v>* group[=].element[=].display = ##34#A.1.8.4 Document title##34#</v>
      </c>
    </row>
    <row r="82" spans="16:19" x14ac:dyDescent="0.75">
      <c r="P82" s="9">
        <v>69</v>
      </c>
      <c r="Q82" s="9">
        <f t="shared" si="13"/>
        <v>11</v>
      </c>
      <c r="R82" s="9">
        <f t="shared" si="14"/>
        <v>3</v>
      </c>
      <c r="S82" s="14" t="str" cm="1">
        <f t="array" ref="S82">INDEX('Report-ConceptMap-2'!$I$15:$N$269,Q82+1,R82)</f>
        <v>* group[=].element[=].target.code = #Composition.title</v>
      </c>
    </row>
    <row r="83" spans="16:19" x14ac:dyDescent="0.75">
      <c r="P83" s="9">
        <v>70</v>
      </c>
      <c r="Q83" s="9">
        <f t="shared" si="13"/>
        <v>11</v>
      </c>
      <c r="R83" s="9">
        <f t="shared" si="14"/>
        <v>4</v>
      </c>
      <c r="S83" s="14" t="str" cm="1">
        <f t="array" ref="S83">INDEX('Report-ConceptMap-2'!$I$15:$N$269,Q83+1,R83)</f>
        <v>* group[=].element[=].target.display = ##34###34#</v>
      </c>
    </row>
    <row r="84" spans="16:19" x14ac:dyDescent="0.75">
      <c r="P84" s="9">
        <v>71</v>
      </c>
      <c r="Q84" s="9">
        <f t="shared" si="13"/>
        <v>11</v>
      </c>
      <c r="R84" s="9">
        <f t="shared" si="14"/>
        <v>5</v>
      </c>
      <c r="S84" s="14" t="str" cm="1">
        <f t="array" ref="S84">INDEX('Report-ConceptMap-2'!$I$15:$N$269,Q84+1,R84)</f>
        <v>* group[=].element[=].target.equivalence = #equivalent</v>
      </c>
    </row>
    <row r="85" spans="16:19" x14ac:dyDescent="0.75">
      <c r="P85" s="9">
        <v>72</v>
      </c>
      <c r="Q85" s="9">
        <f t="shared" si="13"/>
        <v>11</v>
      </c>
      <c r="R85" s="9">
        <f t="shared" si="14"/>
        <v>6</v>
      </c>
      <c r="S85" s="14" t="str" cm="1">
        <f t="array" ref="S85">INDEX('Report-ConceptMap-2'!$I$15:$N$269,Q85+1,R85)</f>
        <v/>
      </c>
    </row>
    <row r="86" spans="16:19" x14ac:dyDescent="0.75">
      <c r="P86" s="9">
        <v>73</v>
      </c>
      <c r="Q86" s="9">
        <f t="shared" si="13"/>
        <v>12</v>
      </c>
      <c r="R86" s="9">
        <f t="shared" si="14"/>
        <v>1</v>
      </c>
      <c r="S86" s="14" t="str" cm="1">
        <f t="array" ref="S86">INDEX('Report-ConceptMap-2'!$I$15:$N$269,Q86+1,R86)</f>
        <v>* group[=].element[+].code = #LabReport.header.metadata.custodian</v>
      </c>
    </row>
    <row r="87" spans="16:19" x14ac:dyDescent="0.75">
      <c r="P87" s="9">
        <v>74</v>
      </c>
      <c r="Q87" s="9">
        <f t="shared" si="13"/>
        <v>12</v>
      </c>
      <c r="R87" s="9">
        <f t="shared" si="14"/>
        <v>2</v>
      </c>
      <c r="S87" s="14" t="str" cm="1">
        <f t="array" ref="S87">INDEX('Report-ConceptMap-2'!$I$15:$N$269,Q87+1,R87)</f>
        <v>* group[=].element[=].display = ##34#A.1.8.5 Report custodian##34#</v>
      </c>
    </row>
    <row r="88" spans="16:19" x14ac:dyDescent="0.75">
      <c r="P88" s="9">
        <v>75</v>
      </c>
      <c r="Q88" s="9">
        <f t="shared" si="13"/>
        <v>12</v>
      </c>
      <c r="R88" s="9">
        <f t="shared" si="14"/>
        <v>3</v>
      </c>
      <c r="S88" s="14" t="str" cm="1">
        <f t="array" ref="S88">INDEX('Report-ConceptMap-2'!$I$15:$N$269,Q88+1,R88)</f>
        <v>* group[=].element[=].target.code = #Composition.custodian</v>
      </c>
    </row>
    <row r="89" spans="16:19" x14ac:dyDescent="0.75">
      <c r="P89" s="9">
        <v>76</v>
      </c>
      <c r="Q89" s="9">
        <f t="shared" si="13"/>
        <v>12</v>
      </c>
      <c r="R89" s="9">
        <f t="shared" si="14"/>
        <v>4</v>
      </c>
      <c r="S89" s="14" t="str" cm="1">
        <f t="array" ref="S89">INDEX('Report-ConceptMap-2'!$I$15:$N$269,Q89+1,R89)</f>
        <v>* group[=].element[=].target.display = ##34###34#</v>
      </c>
    </row>
    <row r="90" spans="16:19" x14ac:dyDescent="0.75">
      <c r="P90" s="9">
        <v>77</v>
      </c>
      <c r="Q90" s="9">
        <f t="shared" si="13"/>
        <v>12</v>
      </c>
      <c r="R90" s="9">
        <f t="shared" si="14"/>
        <v>5</v>
      </c>
      <c r="S90" s="14" t="str" cm="1">
        <f t="array" ref="S90">INDEX('Report-ConceptMap-2'!$I$15:$N$269,Q90+1,R90)</f>
        <v>* group[=].element[=].target.equivalence = #equivalent</v>
      </c>
    </row>
    <row r="91" spans="16:19" x14ac:dyDescent="0.75">
      <c r="P91" s="9">
        <v>78</v>
      </c>
      <c r="Q91" s="9">
        <f t="shared" si="13"/>
        <v>12</v>
      </c>
      <c r="R91" s="9">
        <f t="shared" si="14"/>
        <v>6</v>
      </c>
      <c r="S91" s="14" t="str" cm="1">
        <f t="array" ref="S91">INDEX('Report-ConceptMap-2'!$I$15:$N$269,Q91+1,R91)</f>
        <v/>
      </c>
    </row>
    <row r="92" spans="16:19" x14ac:dyDescent="0.75">
      <c r="P92" s="9">
        <v>79</v>
      </c>
      <c r="Q92" s="9">
        <f t="shared" si="13"/>
        <v>13</v>
      </c>
      <c r="R92" s="9">
        <f t="shared" si="14"/>
        <v>1</v>
      </c>
      <c r="S92" s="14" t="str" cm="1">
        <f t="array" ref="S92">INDEX('Report-ConceptMap-2'!$I$15:$N$269,Q92+1,R92)</f>
        <v>* group[=].element[+].code = #LabReport.order</v>
      </c>
    </row>
    <row r="93" spans="16:19" x14ac:dyDescent="0.75">
      <c r="P93" s="9">
        <v>80</v>
      </c>
      <c r="Q93" s="9">
        <f t="shared" si="13"/>
        <v>13</v>
      </c>
      <c r="R93" s="9">
        <f t="shared" si="14"/>
        <v>2</v>
      </c>
      <c r="S93" s="14" t="str" cm="1">
        <f t="array" ref="S93">INDEX('Report-ConceptMap-2'!$I$15:$N$269,Q93+1,R93)</f>
        <v>* group[=].element[=].display = ##34#A.2-A.3 Order##34#</v>
      </c>
    </row>
    <row r="94" spans="16:19" ht="29.5" x14ac:dyDescent="0.75">
      <c r="P94" s="9">
        <v>81</v>
      </c>
      <c r="Q94" s="9">
        <f t="shared" si="13"/>
        <v>13</v>
      </c>
      <c r="R94" s="9">
        <f t="shared" si="14"/>
        <v>3</v>
      </c>
      <c r="S94" s="14" t="str" cm="1">
        <f t="array" ref="S94">INDEX('Report-ConceptMap-2'!$I$15:$N$269,Q94+1,R94)</f>
        <v>* group[=].element[=].target.code = #Composition.extension:basedOn-order-or-requisition.insurance</v>
      </c>
    </row>
    <row r="95" spans="16:19" x14ac:dyDescent="0.75">
      <c r="P95" s="9">
        <v>82</v>
      </c>
      <c r="Q95" s="9">
        <f t="shared" si="13"/>
        <v>13</v>
      </c>
      <c r="R95" s="9">
        <f t="shared" si="14"/>
        <v>4</v>
      </c>
      <c r="S95" s="14" t="str" cm="1">
        <f t="array" ref="S95">INDEX('Report-ConceptMap-2'!$I$15:$N$269,Q95+1,R95)</f>
        <v>* group[=].element[=].target.display = ##34###34#</v>
      </c>
    </row>
    <row r="96" spans="16:19" x14ac:dyDescent="0.75">
      <c r="P96" s="9">
        <v>83</v>
      </c>
      <c r="Q96" s="9">
        <f t="shared" si="13"/>
        <v>13</v>
      </c>
      <c r="R96" s="9">
        <f t="shared" si="14"/>
        <v>5</v>
      </c>
      <c r="S96" s="14" t="str" cm="1">
        <f t="array" ref="S96">INDEX('Report-ConceptMap-2'!$I$15:$N$269,Q96+1,R96)</f>
        <v>* group[=].element[=].target.equivalence = #relatedto</v>
      </c>
    </row>
    <row r="97" spans="16:19" ht="44.25" x14ac:dyDescent="0.75">
      <c r="P97" s="9">
        <v>84</v>
      </c>
      <c r="Q97" s="9">
        <f t="shared" si="13"/>
        <v>13</v>
      </c>
      <c r="R97" s="9">
        <f t="shared" si="14"/>
        <v>6</v>
      </c>
      <c r="S97" s="14" t="str" cm="1">
        <f t="array" ref="S97">INDEX('Report-ConceptMap-2'!$I$15:$N$269,Q97+1,R97)</f>
        <v>* group[=].element[=].target.comment = ##34#extension(http://hl7.eu/fhir/laboratory/StructureDefinition/composition-basedOn-order-or-requisition).resolve().ofType(ServiceRequest)##34#</v>
      </c>
    </row>
    <row r="98" spans="16:19" x14ac:dyDescent="0.75">
      <c r="P98" s="9">
        <v>85</v>
      </c>
      <c r="Q98" s="9">
        <f t="shared" si="13"/>
        <v>14</v>
      </c>
      <c r="R98" s="9">
        <f t="shared" si="14"/>
        <v>1</v>
      </c>
      <c r="S98" s="14" t="str" cm="1">
        <f t="array" ref="S98">INDEX('Report-ConceptMap-2'!$I$15:$N$269,Q98+1,R98)</f>
        <v>* group[=].element[+].code = #LabReport.specimen</v>
      </c>
    </row>
    <row r="99" spans="16:19" x14ac:dyDescent="0.75">
      <c r="P99" s="9">
        <v>86</v>
      </c>
      <c r="Q99" s="9">
        <f t="shared" si="13"/>
        <v>14</v>
      </c>
      <c r="R99" s="9">
        <f t="shared" si="14"/>
        <v>2</v>
      </c>
      <c r="S99" s="14" t="str" cm="1">
        <f t="array" ref="S99">INDEX('Report-ConceptMap-2'!$I$15:$N$269,Q99+1,R99)</f>
        <v>* group[=].element[=].display = ##34#A.4 Specimen information##34#</v>
      </c>
    </row>
    <row r="100" spans="16:19" ht="29.5" x14ac:dyDescent="0.75">
      <c r="P100" s="9">
        <v>87</v>
      </c>
      <c r="Q100" s="9">
        <f t="shared" si="13"/>
        <v>14</v>
      </c>
      <c r="R100" s="9">
        <f t="shared" si="14"/>
        <v>3</v>
      </c>
      <c r="S100" s="14" t="str" cm="1">
        <f t="array" ref="S100">INDEX('Report-ConceptMap-2'!$I$15:$N$269,Q100+1,R100)</f>
        <v>* group[=].element[=].target.code = #Composition.section:lab-no-subsections.entry.specimen</v>
      </c>
    </row>
    <row r="101" spans="16:19" x14ac:dyDescent="0.75">
      <c r="P101" s="9">
        <v>88</v>
      </c>
      <c r="Q101" s="9">
        <f t="shared" si="13"/>
        <v>14</v>
      </c>
      <c r="R101" s="9">
        <f t="shared" si="14"/>
        <v>4</v>
      </c>
      <c r="S101" s="14" t="str" cm="1">
        <f t="array" ref="S101">INDEX('Report-ConceptMap-2'!$I$15:$N$269,Q101+1,R101)</f>
        <v>* group[=].element[=].target.display = ##34###34#</v>
      </c>
    </row>
    <row r="102" spans="16:19" x14ac:dyDescent="0.75">
      <c r="P102" s="9">
        <v>89</v>
      </c>
      <c r="Q102" s="9">
        <f t="shared" si="13"/>
        <v>14</v>
      </c>
      <c r="R102" s="9">
        <f t="shared" si="14"/>
        <v>5</v>
      </c>
      <c r="S102" s="14" t="str" cm="1">
        <f t="array" ref="S102">INDEX('Report-ConceptMap-2'!$I$15:$N$269,Q102+1,R102)</f>
        <v>* group[=].element[=].target.equivalence = #relatedto</v>
      </c>
    </row>
    <row r="103" spans="16:19" x14ac:dyDescent="0.75">
      <c r="P103" s="9">
        <v>90</v>
      </c>
      <c r="Q103" s="9">
        <f t="shared" si="13"/>
        <v>14</v>
      </c>
      <c r="R103" s="9">
        <f t="shared" si="14"/>
        <v>6</v>
      </c>
      <c r="S103" s="14" t="str" cm="1">
        <f t="array" ref="S103">INDEX('Report-ConceptMap-2'!$I$15:$N$269,Q103+1,R103)</f>
        <v>* group[=].element[=].target.comment = ##34#If no sub sections##34#</v>
      </c>
    </row>
    <row r="104" spans="16:19" x14ac:dyDescent="0.75">
      <c r="P104" s="9">
        <v>91</v>
      </c>
      <c r="Q104" s="9">
        <f t="shared" si="13"/>
        <v>15</v>
      </c>
      <c r="R104" s="9">
        <f t="shared" si="14"/>
        <v>1</v>
      </c>
      <c r="S104" s="14" t="str" cm="1">
        <f t="array" ref="S104">INDEX('Report-ConceptMap-2'!$I$15:$N$269,Q104+1,R104)</f>
        <v>* group[=].element[+].code = #LabReport.result</v>
      </c>
    </row>
    <row r="105" spans="16:19" x14ac:dyDescent="0.75">
      <c r="P105" s="9">
        <v>92</v>
      </c>
      <c r="Q105" s="9">
        <f t="shared" si="13"/>
        <v>15</v>
      </c>
      <c r="R105" s="9">
        <f t="shared" si="14"/>
        <v>2</v>
      </c>
      <c r="S105" s="14" t="str" cm="1">
        <f t="array" ref="S105">INDEX('Report-ConceptMap-2'!$I$15:$N$269,Q105+1,R105)</f>
        <v>* group[=].element[=].display = ##34#A.5 Results data elements##34#</v>
      </c>
    </row>
    <row r="106" spans="16:19" x14ac:dyDescent="0.75">
      <c r="P106" s="9">
        <v>93</v>
      </c>
      <c r="Q106" s="9">
        <f t="shared" si="13"/>
        <v>15</v>
      </c>
      <c r="R106" s="9">
        <f t="shared" si="14"/>
        <v>3</v>
      </c>
      <c r="S106" s="14" t="str" cm="1">
        <f t="array" ref="S106">INDEX('Report-ConceptMap-2'!$I$15:$N$269,Q106+1,R106)</f>
        <v>* group[=].element[=].target.code = #Composition.section:lab-no-subsections.entry</v>
      </c>
    </row>
    <row r="107" spans="16:19" x14ac:dyDescent="0.75">
      <c r="P107" s="9">
        <v>94</v>
      </c>
      <c r="Q107" s="9">
        <f t="shared" si="13"/>
        <v>15</v>
      </c>
      <c r="R107" s="9">
        <f t="shared" si="14"/>
        <v>4</v>
      </c>
      <c r="S107" s="14" t="str" cm="1">
        <f t="array" ref="S107">INDEX('Report-ConceptMap-2'!$I$15:$N$269,Q107+1,R107)</f>
        <v>* group[=].element[=].target.display = ##34###34#</v>
      </c>
    </row>
    <row r="108" spans="16:19" x14ac:dyDescent="0.75">
      <c r="P108" s="9">
        <v>95</v>
      </c>
      <c r="Q108" s="9">
        <f t="shared" si="13"/>
        <v>15</v>
      </c>
      <c r="R108" s="9">
        <f t="shared" si="14"/>
        <v>5</v>
      </c>
      <c r="S108" s="14" t="str" cm="1">
        <f t="array" ref="S108">INDEX('Report-ConceptMap-2'!$I$15:$N$269,Q108+1,R108)</f>
        <v>* group[=].element[=].target.equivalence = #relatedto</v>
      </c>
    </row>
    <row r="109" spans="16:19" x14ac:dyDescent="0.75">
      <c r="P109" s="9">
        <v>96</v>
      </c>
      <c r="Q109" s="9">
        <f t="shared" si="13"/>
        <v>15</v>
      </c>
      <c r="R109" s="9">
        <f t="shared" si="14"/>
        <v>6</v>
      </c>
      <c r="S109" s="14" t="str" cm="1">
        <f t="array" ref="S109">INDEX('Report-ConceptMap-2'!$I$15:$N$269,Q109+1,R109)</f>
        <v>* group[=].element[=].target.comment = ##34#If no sub sections##34#</v>
      </c>
    </row>
    <row r="110" spans="16:19" x14ac:dyDescent="0.75">
      <c r="P110" s="9">
        <v>97</v>
      </c>
      <c r="Q110" s="9">
        <f t="shared" si="13"/>
        <v>16</v>
      </c>
      <c r="R110" s="9">
        <f t="shared" si="14"/>
        <v>1</v>
      </c>
      <c r="S110" s="14" t="str" cm="1">
        <f t="array" ref="S110">INDEX('Report-ConceptMap-2'!$I$15:$N$269,Q110+1,R110)</f>
        <v>* group[=].element[+].code = #LabReport.specimen</v>
      </c>
    </row>
    <row r="111" spans="16:19" x14ac:dyDescent="0.75">
      <c r="P111" s="9">
        <v>98</v>
      </c>
      <c r="Q111" s="9">
        <f t="shared" si="13"/>
        <v>16</v>
      </c>
      <c r="R111" s="9">
        <f t="shared" si="14"/>
        <v>2</v>
      </c>
      <c r="S111" s="14" t="str" cm="1">
        <f t="array" ref="S111">INDEX('Report-ConceptMap-2'!$I$15:$N$269,Q111+1,R111)</f>
        <v>* group[=].element[=].display = ##34#A.4 Specimen information##34#</v>
      </c>
    </row>
    <row r="112" spans="16:19" ht="29.5" x14ac:dyDescent="0.75">
      <c r="P112" s="9">
        <v>99</v>
      </c>
      <c r="Q112" s="9">
        <f t="shared" si="13"/>
        <v>16</v>
      </c>
      <c r="R112" s="9">
        <f t="shared" si="14"/>
        <v>3</v>
      </c>
      <c r="S112" s="14" t="str" cm="1">
        <f t="array" ref="S112">INDEX('Report-ConceptMap-2'!$I$15:$N$269,Q112+1,R112)</f>
        <v>* group[=].element[=].target.code = #Composition.section:lab-subsections.section.entry.specimen</v>
      </c>
    </row>
    <row r="113" spans="16:19" x14ac:dyDescent="0.75">
      <c r="P113" s="9">
        <v>100</v>
      </c>
      <c r="Q113" s="9">
        <f t="shared" si="13"/>
        <v>16</v>
      </c>
      <c r="R113" s="9">
        <f t="shared" si="14"/>
        <v>4</v>
      </c>
      <c r="S113" s="14" t="str" cm="1">
        <f t="array" ref="S113">INDEX('Report-ConceptMap-2'!$I$15:$N$269,Q113+1,R113)</f>
        <v>* group[=].element[=].target.display = ##34###34#</v>
      </c>
    </row>
    <row r="114" spans="16:19" x14ac:dyDescent="0.75">
      <c r="P114" s="9">
        <v>101</v>
      </c>
      <c r="Q114" s="9">
        <f t="shared" si="13"/>
        <v>16</v>
      </c>
      <c r="R114" s="9">
        <f t="shared" si="14"/>
        <v>5</v>
      </c>
      <c r="S114" s="14" t="str" cm="1">
        <f t="array" ref="S114">INDEX('Report-ConceptMap-2'!$I$15:$N$269,Q114+1,R114)</f>
        <v>* group[=].element[=].target.equivalence = #relatedto</v>
      </c>
    </row>
    <row r="115" spans="16:19" x14ac:dyDescent="0.75">
      <c r="P115" s="9">
        <v>102</v>
      </c>
      <c r="Q115" s="9">
        <f t="shared" si="13"/>
        <v>16</v>
      </c>
      <c r="R115" s="9">
        <f t="shared" si="14"/>
        <v>6</v>
      </c>
      <c r="S115" s="14" t="str" cm="1">
        <f t="array" ref="S115">INDEX('Report-ConceptMap-2'!$I$15:$N$269,Q115+1,R115)</f>
        <v>* group[=].element[=].target.comment = ##34#If sub sections##34#</v>
      </c>
    </row>
    <row r="116" spans="16:19" x14ac:dyDescent="0.75">
      <c r="P116" s="9">
        <v>103</v>
      </c>
      <c r="Q116" s="9">
        <f t="shared" si="13"/>
        <v>17</v>
      </c>
      <c r="R116" s="9">
        <f t="shared" si="14"/>
        <v>1</v>
      </c>
      <c r="S116" s="14" t="str" cm="1">
        <f t="array" ref="S116">INDEX('Report-ConceptMap-2'!$I$15:$N$269,Q116+1,R116)</f>
        <v>* group[=].element[+].code = #LabReport.result</v>
      </c>
    </row>
    <row r="117" spans="16:19" x14ac:dyDescent="0.75">
      <c r="P117" s="9">
        <v>104</v>
      </c>
      <c r="Q117" s="9">
        <f t="shared" si="13"/>
        <v>17</v>
      </c>
      <c r="R117" s="9">
        <f t="shared" si="14"/>
        <v>2</v>
      </c>
      <c r="S117" s="14" t="str" cm="1">
        <f t="array" ref="S117">INDEX('Report-ConceptMap-2'!$I$15:$N$269,Q117+1,R117)</f>
        <v>* group[=].element[=].display = ##34#A.5 Results data elements##34#</v>
      </c>
    </row>
    <row r="118" spans="16:19" ht="29.5" x14ac:dyDescent="0.75">
      <c r="P118" s="9">
        <v>105</v>
      </c>
      <c r="Q118" s="9">
        <f t="shared" si="13"/>
        <v>17</v>
      </c>
      <c r="R118" s="9">
        <f t="shared" si="14"/>
        <v>3</v>
      </c>
      <c r="S118" s="14" t="str" cm="1">
        <f t="array" ref="S118">INDEX('Report-ConceptMap-2'!$I$15:$N$269,Q118+1,R118)</f>
        <v>* group[=].element[=].target.code = #Composition.section:lab-subsections.section.entry</v>
      </c>
    </row>
    <row r="119" spans="16:19" x14ac:dyDescent="0.75">
      <c r="P119" s="9">
        <v>106</v>
      </c>
      <c r="Q119" s="9">
        <f t="shared" si="13"/>
        <v>17</v>
      </c>
      <c r="R119" s="9">
        <f t="shared" si="14"/>
        <v>4</v>
      </c>
      <c r="S119" s="14" t="str" cm="1">
        <f t="array" ref="S119">INDEX('Report-ConceptMap-2'!$I$15:$N$269,Q119+1,R119)</f>
        <v>* group[=].element[=].target.display = ##34###34#</v>
      </c>
    </row>
    <row r="120" spans="16:19" x14ac:dyDescent="0.75">
      <c r="P120" s="9">
        <v>107</v>
      </c>
      <c r="Q120" s="9">
        <f t="shared" si="13"/>
        <v>17</v>
      </c>
      <c r="R120" s="9">
        <f t="shared" si="14"/>
        <v>5</v>
      </c>
      <c r="S120" s="14" t="str" cm="1">
        <f t="array" ref="S120">INDEX('Report-ConceptMap-2'!$I$15:$N$269,Q120+1,R120)</f>
        <v>* group[=].element[=].target.equivalence = #relatedto</v>
      </c>
    </row>
    <row r="121" spans="16:19" x14ac:dyDescent="0.75">
      <c r="P121" s="9">
        <v>108</v>
      </c>
      <c r="Q121" s="9">
        <f t="shared" si="13"/>
        <v>17</v>
      </c>
      <c r="R121" s="9">
        <f t="shared" si="14"/>
        <v>6</v>
      </c>
      <c r="S121" s="14" t="str" cm="1">
        <f t="array" ref="S121">INDEX('Report-ConceptMap-2'!$I$15:$N$269,Q121+1,R121)</f>
        <v>* group[=].element[=].target.comment = ##34#If sub sections##34#</v>
      </c>
    </row>
    <row r="122" spans="16:19" x14ac:dyDescent="0.75">
      <c r="P122" s="9">
        <v>109</v>
      </c>
      <c r="Q122" s="9">
        <f t="shared" si="13"/>
        <v>18</v>
      </c>
      <c r="R122" s="9">
        <f t="shared" si="14"/>
        <v>1</v>
      </c>
      <c r="S122" s="14" cm="1">
        <f t="array" ref="S122">INDEX('Report-ConceptMap-2'!$I$15:$N$269,Q122+1,R122)</f>
        <v>0</v>
      </c>
    </row>
    <row r="123" spans="16:19" x14ac:dyDescent="0.75">
      <c r="P123" s="9">
        <v>110</v>
      </c>
      <c r="Q123" s="9">
        <f t="shared" si="13"/>
        <v>18</v>
      </c>
      <c r="R123" s="9">
        <f t="shared" si="14"/>
        <v>2</v>
      </c>
      <c r="S123" s="14" cm="1">
        <f t="array" ref="S123">INDEX('Report-ConceptMap-2'!$I$15:$N$269,Q123+1,R123)</f>
        <v>0</v>
      </c>
    </row>
    <row r="124" spans="16:19" x14ac:dyDescent="0.75">
      <c r="P124" s="9">
        <v>111</v>
      </c>
      <c r="Q124" s="9">
        <f t="shared" si="13"/>
        <v>18</v>
      </c>
      <c r="R124" s="9">
        <f t="shared" si="14"/>
        <v>3</v>
      </c>
      <c r="S124" s="14" cm="1">
        <f t="array" ref="S124">INDEX('Report-ConceptMap-2'!$I$15:$N$269,Q124+1,R124)</f>
        <v>0</v>
      </c>
    </row>
    <row r="125" spans="16:19" x14ac:dyDescent="0.75">
      <c r="P125" s="9">
        <v>112</v>
      </c>
      <c r="Q125" s="9">
        <f t="shared" si="13"/>
        <v>18</v>
      </c>
      <c r="R125" s="9">
        <f t="shared" si="14"/>
        <v>4</v>
      </c>
      <c r="S125" s="14" cm="1">
        <f t="array" ref="S125">INDEX('Report-ConceptMap-2'!$I$15:$N$269,Q125+1,R125)</f>
        <v>0</v>
      </c>
    </row>
    <row r="126" spans="16:19" x14ac:dyDescent="0.75">
      <c r="P126" s="9">
        <v>113</v>
      </c>
      <c r="Q126" s="9">
        <f t="shared" si="13"/>
        <v>18</v>
      </c>
      <c r="R126" s="9">
        <f t="shared" si="14"/>
        <v>5</v>
      </c>
      <c r="S126" s="14" cm="1">
        <f t="array" ref="S126">INDEX('Report-ConceptMap-2'!$I$15:$N$269,Q126+1,R126)</f>
        <v>0</v>
      </c>
    </row>
    <row r="127" spans="16:19" x14ac:dyDescent="0.75">
      <c r="P127" s="9">
        <v>114</v>
      </c>
      <c r="Q127" s="9">
        <f t="shared" si="13"/>
        <v>18</v>
      </c>
      <c r="R127" s="9">
        <f t="shared" si="14"/>
        <v>6</v>
      </c>
      <c r="S127" s="14" cm="1">
        <f t="array" ref="S127">INDEX('Report-ConceptMap-2'!$I$15:$N$269,Q127+1,R127)</f>
        <v>0</v>
      </c>
    </row>
    <row r="128" spans="16:19" x14ac:dyDescent="0.75">
      <c r="P128" s="9">
        <v>115</v>
      </c>
      <c r="Q128" s="9">
        <f t="shared" si="13"/>
        <v>19</v>
      </c>
      <c r="R128" s="9">
        <f t="shared" si="14"/>
        <v>1</v>
      </c>
      <c r="S128" s="14" cm="1">
        <f t="array" ref="S128">INDEX('Report-ConceptMap-2'!$I$15:$N$269,Q128+1,R128)</f>
        <v>0</v>
      </c>
    </row>
    <row r="129" spans="16:19" x14ac:dyDescent="0.75">
      <c r="P129" s="9">
        <v>116</v>
      </c>
      <c r="Q129" s="9">
        <f t="shared" si="13"/>
        <v>19</v>
      </c>
      <c r="R129" s="9">
        <f t="shared" si="14"/>
        <v>2</v>
      </c>
      <c r="S129" s="14" cm="1">
        <f t="array" ref="S129">INDEX('Report-ConceptMap-2'!$I$15:$N$269,Q129+1,R129)</f>
        <v>0</v>
      </c>
    </row>
    <row r="130" spans="16:19" x14ac:dyDescent="0.75">
      <c r="P130" s="9">
        <v>117</v>
      </c>
      <c r="Q130" s="9">
        <f t="shared" si="13"/>
        <v>19</v>
      </c>
      <c r="R130" s="9">
        <f t="shared" si="14"/>
        <v>3</v>
      </c>
      <c r="S130" s="14" cm="1">
        <f t="array" ref="S130">INDEX('Report-ConceptMap-2'!$I$15:$N$269,Q130+1,R130)</f>
        <v>0</v>
      </c>
    </row>
    <row r="131" spans="16:19" x14ac:dyDescent="0.75">
      <c r="P131" s="9">
        <v>118</v>
      </c>
      <c r="Q131" s="9">
        <f t="shared" si="13"/>
        <v>19</v>
      </c>
      <c r="R131" s="9">
        <f t="shared" si="14"/>
        <v>4</v>
      </c>
      <c r="S131" s="14" cm="1">
        <f t="array" ref="S131">INDEX('Report-ConceptMap-2'!$I$15:$N$269,Q131+1,R131)</f>
        <v>0</v>
      </c>
    </row>
    <row r="132" spans="16:19" x14ac:dyDescent="0.75">
      <c r="P132" s="9">
        <v>119</v>
      </c>
      <c r="Q132" s="9">
        <f t="shared" si="13"/>
        <v>19</v>
      </c>
      <c r="R132" s="9">
        <f t="shared" si="14"/>
        <v>5</v>
      </c>
      <c r="S132" s="14" cm="1">
        <f t="array" ref="S132">INDEX('Report-ConceptMap-2'!$I$15:$N$269,Q132+1,R132)</f>
        <v>0</v>
      </c>
    </row>
    <row r="133" spans="16:19" x14ac:dyDescent="0.75">
      <c r="P133" s="9">
        <v>120</v>
      </c>
      <c r="Q133" s="9">
        <f t="shared" si="13"/>
        <v>19</v>
      </c>
      <c r="R133" s="9">
        <f t="shared" si="14"/>
        <v>6</v>
      </c>
      <c r="S133" s="14" cm="1">
        <f t="array" ref="S133">INDEX('Report-ConceptMap-2'!$I$15:$N$269,Q133+1,R133)</f>
        <v>0</v>
      </c>
    </row>
    <row r="134" spans="16:19" x14ac:dyDescent="0.75">
      <c r="P134" s="9">
        <v>121</v>
      </c>
      <c r="Q134" s="9">
        <f t="shared" si="13"/>
        <v>20</v>
      </c>
      <c r="R134" s="9">
        <f t="shared" si="14"/>
        <v>1</v>
      </c>
      <c r="S134" s="14" cm="1">
        <f t="array" ref="S134">INDEX('Report-ConceptMap-2'!$I$15:$N$269,Q134+1,R134)</f>
        <v>0</v>
      </c>
    </row>
    <row r="135" spans="16:19" x14ac:dyDescent="0.75">
      <c r="P135" s="9">
        <v>122</v>
      </c>
      <c r="Q135" s="9">
        <f t="shared" si="13"/>
        <v>20</v>
      </c>
      <c r="R135" s="9">
        <f t="shared" si="14"/>
        <v>2</v>
      </c>
      <c r="S135" s="14" cm="1">
        <f t="array" ref="S135">INDEX('Report-ConceptMap-2'!$I$15:$N$269,Q135+1,R135)</f>
        <v>0</v>
      </c>
    </row>
    <row r="136" spans="16:19" x14ac:dyDescent="0.75">
      <c r="P136" s="9">
        <v>123</v>
      </c>
      <c r="Q136" s="9">
        <f t="shared" si="13"/>
        <v>20</v>
      </c>
      <c r="R136" s="9">
        <f t="shared" si="14"/>
        <v>3</v>
      </c>
      <c r="S136" s="14" cm="1">
        <f t="array" ref="S136">INDEX('Report-ConceptMap-2'!$I$15:$N$269,Q136+1,R136)</f>
        <v>0</v>
      </c>
    </row>
    <row r="137" spans="16:19" x14ac:dyDescent="0.75">
      <c r="P137" s="9">
        <v>124</v>
      </c>
      <c r="Q137" s="9">
        <f t="shared" si="13"/>
        <v>20</v>
      </c>
      <c r="R137" s="9">
        <f t="shared" si="14"/>
        <v>4</v>
      </c>
      <c r="S137" s="14" cm="1">
        <f t="array" ref="S137">INDEX('Report-ConceptMap-2'!$I$15:$N$269,Q137+1,R137)</f>
        <v>0</v>
      </c>
    </row>
    <row r="138" spans="16:19" x14ac:dyDescent="0.75">
      <c r="P138" s="9">
        <v>125</v>
      </c>
      <c r="Q138" s="9">
        <f t="shared" si="13"/>
        <v>20</v>
      </c>
      <c r="R138" s="9">
        <f t="shared" si="14"/>
        <v>5</v>
      </c>
      <c r="S138" s="14" cm="1">
        <f t="array" ref="S138">INDEX('Report-ConceptMap-2'!$I$15:$N$269,Q138+1,R138)</f>
        <v>0</v>
      </c>
    </row>
    <row r="139" spans="16:19" x14ac:dyDescent="0.75">
      <c r="P139" s="9">
        <v>126</v>
      </c>
      <c r="Q139" s="9">
        <f t="shared" si="13"/>
        <v>20</v>
      </c>
      <c r="R139" s="9">
        <f t="shared" si="14"/>
        <v>6</v>
      </c>
      <c r="S139" s="14" cm="1">
        <f t="array" ref="S139">INDEX('Report-ConceptMap-2'!$I$15:$N$269,Q139+1,R139)</f>
        <v>0</v>
      </c>
    </row>
    <row r="140" spans="16:19" x14ac:dyDescent="0.75">
      <c r="P140" s="9">
        <v>127</v>
      </c>
      <c r="Q140" s="9">
        <f t="shared" si="13"/>
        <v>21</v>
      </c>
      <c r="R140" s="9">
        <f t="shared" si="14"/>
        <v>1</v>
      </c>
      <c r="S140" s="14" cm="1">
        <f t="array" ref="S140">INDEX('Report-ConceptMap-2'!$I$15:$N$269,Q140+1,R140)</f>
        <v>0</v>
      </c>
    </row>
    <row r="141" spans="16:19" x14ac:dyDescent="0.75">
      <c r="P141" s="9">
        <v>128</v>
      </c>
      <c r="Q141" s="9">
        <f t="shared" si="13"/>
        <v>21</v>
      </c>
      <c r="R141" s="9">
        <f t="shared" si="14"/>
        <v>2</v>
      </c>
      <c r="S141" s="14" cm="1">
        <f t="array" ref="S141">INDEX('Report-ConceptMap-2'!$I$15:$N$269,Q141+1,R141)</f>
        <v>0</v>
      </c>
    </row>
    <row r="142" spans="16:19" x14ac:dyDescent="0.75">
      <c r="P142" s="9">
        <v>129</v>
      </c>
      <c r="Q142" s="9">
        <f t="shared" si="13"/>
        <v>21</v>
      </c>
      <c r="R142" s="9">
        <f t="shared" si="14"/>
        <v>3</v>
      </c>
      <c r="S142" s="14" cm="1">
        <f t="array" ref="S142">INDEX('Report-ConceptMap-2'!$I$15:$N$269,Q142+1,R142)</f>
        <v>0</v>
      </c>
    </row>
    <row r="143" spans="16:19" x14ac:dyDescent="0.75">
      <c r="P143" s="9">
        <v>130</v>
      </c>
      <c r="Q143" s="9">
        <f t="shared" si="13"/>
        <v>21</v>
      </c>
      <c r="R143" s="9">
        <f t="shared" si="14"/>
        <v>4</v>
      </c>
      <c r="S143" s="14" cm="1">
        <f t="array" ref="S143">INDEX('Report-ConceptMap-2'!$I$15:$N$269,Q143+1,R143)</f>
        <v>0</v>
      </c>
    </row>
    <row r="144" spans="16:19" x14ac:dyDescent="0.75">
      <c r="P144" s="9">
        <v>131</v>
      </c>
      <c r="Q144" s="9">
        <f t="shared" ref="Q144:Q189" si="15">IF(MOD(P144,$Q$8)=0,P144/$Q$8-1,INT(P144/$Q$8))</f>
        <v>21</v>
      </c>
      <c r="R144" s="9">
        <f t="shared" ref="R144:R189" si="16">IF(MOD(P144,$Q$8)=0,$Q$8,MOD(P144,$Q$8))</f>
        <v>5</v>
      </c>
      <c r="S144" s="14" cm="1">
        <f t="array" ref="S144">INDEX('Report-ConceptMap-2'!$I$15:$N$269,Q144+1,R144)</f>
        <v>0</v>
      </c>
    </row>
    <row r="145" spans="16:19" x14ac:dyDescent="0.75">
      <c r="P145" s="9">
        <v>132</v>
      </c>
      <c r="Q145" s="9">
        <f t="shared" si="15"/>
        <v>21</v>
      </c>
      <c r="R145" s="9">
        <f t="shared" si="16"/>
        <v>6</v>
      </c>
      <c r="S145" s="14" cm="1">
        <f t="array" ref="S145">INDEX('Report-ConceptMap-2'!$I$15:$N$269,Q145+1,R145)</f>
        <v>0</v>
      </c>
    </row>
    <row r="146" spans="16:19" x14ac:dyDescent="0.75">
      <c r="P146" s="9">
        <v>133</v>
      </c>
      <c r="Q146" s="9">
        <f t="shared" si="15"/>
        <v>22</v>
      </c>
      <c r="R146" s="9">
        <f t="shared" si="16"/>
        <v>1</v>
      </c>
      <c r="S146" s="14" cm="1">
        <f t="array" ref="S146">INDEX('Report-ConceptMap-2'!$I$15:$N$269,Q146+1,R146)</f>
        <v>0</v>
      </c>
    </row>
    <row r="147" spans="16:19" x14ac:dyDescent="0.75">
      <c r="P147" s="9">
        <v>134</v>
      </c>
      <c r="Q147" s="9">
        <f t="shared" si="15"/>
        <v>22</v>
      </c>
      <c r="R147" s="9">
        <f t="shared" si="16"/>
        <v>2</v>
      </c>
      <c r="S147" s="14" cm="1">
        <f t="array" ref="S147">INDEX('Report-ConceptMap-2'!$I$15:$N$269,Q147+1,R147)</f>
        <v>0</v>
      </c>
    </row>
    <row r="148" spans="16:19" x14ac:dyDescent="0.75">
      <c r="P148" s="9">
        <v>135</v>
      </c>
      <c r="Q148" s="9">
        <f t="shared" si="15"/>
        <v>22</v>
      </c>
      <c r="R148" s="9">
        <f t="shared" si="16"/>
        <v>3</v>
      </c>
      <c r="S148" s="14" cm="1">
        <f t="array" ref="S148">INDEX('Report-ConceptMap-2'!$I$15:$N$269,Q148+1,R148)</f>
        <v>0</v>
      </c>
    </row>
    <row r="149" spans="16:19" x14ac:dyDescent="0.75">
      <c r="P149" s="9">
        <v>136</v>
      </c>
      <c r="Q149" s="9">
        <f t="shared" si="15"/>
        <v>22</v>
      </c>
      <c r="R149" s="9">
        <f t="shared" si="16"/>
        <v>4</v>
      </c>
      <c r="S149" s="14" cm="1">
        <f t="array" ref="S149">INDEX('Report-ConceptMap-2'!$I$15:$N$269,Q149+1,R149)</f>
        <v>0</v>
      </c>
    </row>
    <row r="150" spans="16:19" x14ac:dyDescent="0.75">
      <c r="P150" s="9">
        <v>137</v>
      </c>
      <c r="Q150" s="9">
        <f t="shared" si="15"/>
        <v>22</v>
      </c>
      <c r="R150" s="9">
        <f t="shared" si="16"/>
        <v>5</v>
      </c>
      <c r="S150" s="14" cm="1">
        <f t="array" ref="S150">INDEX('Report-ConceptMap-2'!$I$15:$N$269,Q150+1,R150)</f>
        <v>0</v>
      </c>
    </row>
    <row r="151" spans="16:19" x14ac:dyDescent="0.75">
      <c r="P151" s="9">
        <v>138</v>
      </c>
      <c r="Q151" s="9">
        <f t="shared" si="15"/>
        <v>22</v>
      </c>
      <c r="R151" s="9">
        <f t="shared" si="16"/>
        <v>6</v>
      </c>
      <c r="S151" s="14" cm="1">
        <f t="array" ref="S151">INDEX('Report-ConceptMap-2'!$I$15:$N$269,Q151+1,R151)</f>
        <v>0</v>
      </c>
    </row>
    <row r="152" spans="16:19" x14ac:dyDescent="0.75">
      <c r="P152" s="9">
        <v>139</v>
      </c>
      <c r="Q152" s="9">
        <f t="shared" si="15"/>
        <v>23</v>
      </c>
      <c r="R152" s="9">
        <f t="shared" si="16"/>
        <v>1</v>
      </c>
      <c r="S152" s="14" cm="1">
        <f t="array" ref="S152">INDEX('Report-ConceptMap-2'!$I$15:$N$269,Q152+1,R152)</f>
        <v>0</v>
      </c>
    </row>
    <row r="153" spans="16:19" x14ac:dyDescent="0.75">
      <c r="P153" s="9">
        <v>140</v>
      </c>
      <c r="Q153" s="9">
        <f t="shared" si="15"/>
        <v>23</v>
      </c>
      <c r="R153" s="9">
        <f t="shared" si="16"/>
        <v>2</v>
      </c>
      <c r="S153" s="14" cm="1">
        <f t="array" ref="S153">INDEX('Report-ConceptMap-2'!$I$15:$N$269,Q153+1,R153)</f>
        <v>0</v>
      </c>
    </row>
    <row r="154" spans="16:19" x14ac:dyDescent="0.75">
      <c r="P154" s="9">
        <v>141</v>
      </c>
      <c r="Q154" s="9">
        <f t="shared" si="15"/>
        <v>23</v>
      </c>
      <c r="R154" s="9">
        <f t="shared" si="16"/>
        <v>3</v>
      </c>
      <c r="S154" s="14" cm="1">
        <f t="array" ref="S154">INDEX('Report-ConceptMap-2'!$I$15:$N$269,Q154+1,R154)</f>
        <v>0</v>
      </c>
    </row>
    <row r="155" spans="16:19" x14ac:dyDescent="0.75">
      <c r="P155" s="9">
        <v>142</v>
      </c>
      <c r="Q155" s="9">
        <f t="shared" si="15"/>
        <v>23</v>
      </c>
      <c r="R155" s="9">
        <f t="shared" si="16"/>
        <v>4</v>
      </c>
      <c r="S155" s="14" cm="1">
        <f t="array" ref="S155">INDEX('Report-ConceptMap-2'!$I$15:$N$269,Q155+1,R155)</f>
        <v>0</v>
      </c>
    </row>
    <row r="156" spans="16:19" x14ac:dyDescent="0.75">
      <c r="P156" s="9">
        <v>143</v>
      </c>
      <c r="Q156" s="9">
        <f t="shared" si="15"/>
        <v>23</v>
      </c>
      <c r="R156" s="9">
        <f t="shared" si="16"/>
        <v>5</v>
      </c>
      <c r="S156" s="14" cm="1">
        <f t="array" ref="S156">INDEX('Report-ConceptMap-2'!$I$15:$N$269,Q156+1,R156)</f>
        <v>0</v>
      </c>
    </row>
    <row r="157" spans="16:19" x14ac:dyDescent="0.75">
      <c r="P157" s="9">
        <v>144</v>
      </c>
      <c r="Q157" s="9">
        <f t="shared" si="15"/>
        <v>23</v>
      </c>
      <c r="R157" s="9">
        <f t="shared" si="16"/>
        <v>6</v>
      </c>
      <c r="S157" s="14" cm="1">
        <f t="array" ref="S157">INDEX('Report-ConceptMap-2'!$I$15:$N$269,Q157+1,R157)</f>
        <v>0</v>
      </c>
    </row>
    <row r="158" spans="16:19" x14ac:dyDescent="0.75">
      <c r="P158" s="9">
        <v>145</v>
      </c>
      <c r="Q158" s="9">
        <f t="shared" si="15"/>
        <v>24</v>
      </c>
      <c r="R158" s="9">
        <f t="shared" si="16"/>
        <v>1</v>
      </c>
      <c r="S158" s="14" cm="1">
        <f t="array" ref="S158">INDEX('Report-ConceptMap-2'!$I$15:$N$269,Q158+1,R158)</f>
        <v>0</v>
      </c>
    </row>
    <row r="159" spans="16:19" x14ac:dyDescent="0.75">
      <c r="P159" s="9">
        <v>146</v>
      </c>
      <c r="Q159" s="9">
        <f t="shared" si="15"/>
        <v>24</v>
      </c>
      <c r="R159" s="9">
        <f t="shared" si="16"/>
        <v>2</v>
      </c>
      <c r="S159" s="14" cm="1">
        <f t="array" ref="S159">INDEX('Report-ConceptMap-2'!$I$15:$N$269,Q159+1,R159)</f>
        <v>0</v>
      </c>
    </row>
    <row r="160" spans="16:19" x14ac:dyDescent="0.75">
      <c r="P160" s="9">
        <v>147</v>
      </c>
      <c r="Q160" s="9">
        <f t="shared" si="15"/>
        <v>24</v>
      </c>
      <c r="R160" s="9">
        <f t="shared" si="16"/>
        <v>3</v>
      </c>
      <c r="S160" s="14" cm="1">
        <f t="array" ref="S160">INDEX('Report-ConceptMap-2'!$I$15:$N$269,Q160+1,R160)</f>
        <v>0</v>
      </c>
    </row>
    <row r="161" spans="16:19" x14ac:dyDescent="0.75">
      <c r="P161" s="9">
        <v>148</v>
      </c>
      <c r="Q161" s="9">
        <f t="shared" si="15"/>
        <v>24</v>
      </c>
      <c r="R161" s="9">
        <f t="shared" si="16"/>
        <v>4</v>
      </c>
      <c r="S161" s="14" cm="1">
        <f t="array" ref="S161">INDEX('Report-ConceptMap-2'!$I$15:$N$269,Q161+1,R161)</f>
        <v>0</v>
      </c>
    </row>
    <row r="162" spans="16:19" x14ac:dyDescent="0.75">
      <c r="P162" s="9">
        <v>149</v>
      </c>
      <c r="Q162" s="9">
        <f t="shared" si="15"/>
        <v>24</v>
      </c>
      <c r="R162" s="9">
        <f t="shared" si="16"/>
        <v>5</v>
      </c>
      <c r="S162" s="14" cm="1">
        <f t="array" ref="S162">INDEX('Report-ConceptMap-2'!$I$15:$N$269,Q162+1,R162)</f>
        <v>0</v>
      </c>
    </row>
    <row r="163" spans="16:19" x14ac:dyDescent="0.75">
      <c r="P163" s="9">
        <v>150</v>
      </c>
      <c r="Q163" s="9">
        <f t="shared" si="15"/>
        <v>24</v>
      </c>
      <c r="R163" s="9">
        <f t="shared" si="16"/>
        <v>6</v>
      </c>
      <c r="S163" s="14" cm="1">
        <f t="array" ref="S163">INDEX('Report-ConceptMap-2'!$I$15:$N$269,Q163+1,R163)</f>
        <v>0</v>
      </c>
    </row>
    <row r="164" spans="16:19" x14ac:dyDescent="0.75">
      <c r="P164" s="9">
        <v>151</v>
      </c>
      <c r="Q164" s="9">
        <f t="shared" si="15"/>
        <v>25</v>
      </c>
      <c r="R164" s="9">
        <f t="shared" si="16"/>
        <v>1</v>
      </c>
      <c r="S164" s="14" cm="1">
        <f t="array" ref="S164">INDEX('Report-ConceptMap-2'!$I$15:$N$269,Q164+1,R164)</f>
        <v>0</v>
      </c>
    </row>
    <row r="165" spans="16:19" x14ac:dyDescent="0.75">
      <c r="P165" s="9">
        <v>152</v>
      </c>
      <c r="Q165" s="9">
        <f t="shared" si="15"/>
        <v>25</v>
      </c>
      <c r="R165" s="9">
        <f t="shared" si="16"/>
        <v>2</v>
      </c>
      <c r="S165" s="14" cm="1">
        <f t="array" ref="S165">INDEX('Report-ConceptMap-2'!$I$15:$N$269,Q165+1,R165)</f>
        <v>0</v>
      </c>
    </row>
    <row r="166" spans="16:19" x14ac:dyDescent="0.75">
      <c r="P166" s="9">
        <v>153</v>
      </c>
      <c r="Q166" s="9">
        <f t="shared" si="15"/>
        <v>25</v>
      </c>
      <c r="R166" s="9">
        <f t="shared" si="16"/>
        <v>3</v>
      </c>
      <c r="S166" s="14" cm="1">
        <f t="array" ref="S166">INDEX('Report-ConceptMap-2'!$I$15:$N$269,Q166+1,R166)</f>
        <v>0</v>
      </c>
    </row>
    <row r="167" spans="16:19" x14ac:dyDescent="0.75">
      <c r="P167" s="9">
        <v>154</v>
      </c>
      <c r="Q167" s="9">
        <f t="shared" si="15"/>
        <v>25</v>
      </c>
      <c r="R167" s="9">
        <f t="shared" si="16"/>
        <v>4</v>
      </c>
      <c r="S167" s="14" cm="1">
        <f t="array" ref="S167">INDEX('Report-ConceptMap-2'!$I$15:$N$269,Q167+1,R167)</f>
        <v>0</v>
      </c>
    </row>
    <row r="168" spans="16:19" x14ac:dyDescent="0.75">
      <c r="P168" s="9">
        <v>155</v>
      </c>
      <c r="Q168" s="9">
        <f t="shared" si="15"/>
        <v>25</v>
      </c>
      <c r="R168" s="9">
        <f t="shared" si="16"/>
        <v>5</v>
      </c>
      <c r="S168" s="14" cm="1">
        <f t="array" ref="S168">INDEX('Report-ConceptMap-2'!$I$15:$N$269,Q168+1,R168)</f>
        <v>0</v>
      </c>
    </row>
    <row r="169" spans="16:19" x14ac:dyDescent="0.75">
      <c r="P169" s="9">
        <v>156</v>
      </c>
      <c r="Q169" s="9">
        <f t="shared" si="15"/>
        <v>25</v>
      </c>
      <c r="R169" s="9">
        <f t="shared" si="16"/>
        <v>6</v>
      </c>
      <c r="S169" s="14" cm="1">
        <f t="array" ref="S169">INDEX('Report-ConceptMap-2'!$I$15:$N$269,Q169+1,R169)</f>
        <v>0</v>
      </c>
    </row>
    <row r="170" spans="16:19" x14ac:dyDescent="0.75">
      <c r="P170" s="9">
        <v>157</v>
      </c>
      <c r="Q170" s="9">
        <f t="shared" si="15"/>
        <v>26</v>
      </c>
      <c r="R170" s="9">
        <f t="shared" si="16"/>
        <v>1</v>
      </c>
      <c r="S170" s="14" cm="1">
        <f t="array" ref="S170">INDEX('Report-ConceptMap-2'!$I$15:$N$269,Q170+1,R170)</f>
        <v>0</v>
      </c>
    </row>
    <row r="171" spans="16:19" x14ac:dyDescent="0.75">
      <c r="P171" s="9">
        <v>158</v>
      </c>
      <c r="Q171" s="9">
        <f t="shared" si="15"/>
        <v>26</v>
      </c>
      <c r="R171" s="9">
        <f t="shared" si="16"/>
        <v>2</v>
      </c>
      <c r="S171" s="14" cm="1">
        <f t="array" ref="S171">INDEX('Report-ConceptMap-2'!$I$15:$N$269,Q171+1,R171)</f>
        <v>0</v>
      </c>
    </row>
    <row r="172" spans="16:19" x14ac:dyDescent="0.75">
      <c r="P172" s="9">
        <v>159</v>
      </c>
      <c r="Q172" s="9">
        <f t="shared" si="15"/>
        <v>26</v>
      </c>
      <c r="R172" s="9">
        <f t="shared" si="16"/>
        <v>3</v>
      </c>
      <c r="S172" s="14" cm="1">
        <f t="array" ref="S172">INDEX('Report-ConceptMap-2'!$I$15:$N$269,Q172+1,R172)</f>
        <v>0</v>
      </c>
    </row>
    <row r="173" spans="16:19" x14ac:dyDescent="0.75">
      <c r="P173" s="9">
        <v>160</v>
      </c>
      <c r="Q173" s="9">
        <f t="shared" si="15"/>
        <v>26</v>
      </c>
      <c r="R173" s="9">
        <f t="shared" si="16"/>
        <v>4</v>
      </c>
      <c r="S173" s="14" cm="1">
        <f t="array" ref="S173">INDEX('Report-ConceptMap-2'!$I$15:$N$269,Q173+1,R173)</f>
        <v>0</v>
      </c>
    </row>
    <row r="174" spans="16:19" x14ac:dyDescent="0.75">
      <c r="P174" s="9">
        <v>161</v>
      </c>
      <c r="Q174" s="9">
        <f t="shared" si="15"/>
        <v>26</v>
      </c>
      <c r="R174" s="9">
        <f t="shared" si="16"/>
        <v>5</v>
      </c>
      <c r="S174" s="14" cm="1">
        <f t="array" ref="S174">INDEX('Report-ConceptMap-2'!$I$15:$N$269,Q174+1,R174)</f>
        <v>0</v>
      </c>
    </row>
    <row r="175" spans="16:19" x14ac:dyDescent="0.75">
      <c r="P175" s="9">
        <v>162</v>
      </c>
      <c r="Q175" s="9">
        <f t="shared" si="15"/>
        <v>26</v>
      </c>
      <c r="R175" s="9">
        <f t="shared" si="16"/>
        <v>6</v>
      </c>
      <c r="S175" s="14" cm="1">
        <f t="array" ref="S175">INDEX('Report-ConceptMap-2'!$I$15:$N$269,Q175+1,R175)</f>
        <v>0</v>
      </c>
    </row>
    <row r="176" spans="16:19" x14ac:dyDescent="0.75">
      <c r="P176" s="9">
        <v>163</v>
      </c>
      <c r="Q176" s="9">
        <f t="shared" si="15"/>
        <v>27</v>
      </c>
      <c r="R176" s="9">
        <f t="shared" si="16"/>
        <v>1</v>
      </c>
      <c r="S176" s="14" cm="1">
        <f t="array" ref="S176">INDEX('Report-ConceptMap-2'!$I$15:$N$269,Q176+1,R176)</f>
        <v>0</v>
      </c>
    </row>
    <row r="177" spans="16:19" x14ac:dyDescent="0.75">
      <c r="P177" s="9">
        <v>164</v>
      </c>
      <c r="Q177" s="9">
        <f t="shared" si="15"/>
        <v>27</v>
      </c>
      <c r="R177" s="9">
        <f t="shared" si="16"/>
        <v>2</v>
      </c>
      <c r="S177" s="14" cm="1">
        <f t="array" ref="S177">INDEX('Report-ConceptMap-2'!$I$15:$N$269,Q177+1,R177)</f>
        <v>0</v>
      </c>
    </row>
    <row r="178" spans="16:19" x14ac:dyDescent="0.75">
      <c r="P178" s="9">
        <v>165</v>
      </c>
      <c r="Q178" s="9">
        <f t="shared" si="15"/>
        <v>27</v>
      </c>
      <c r="R178" s="9">
        <f t="shared" si="16"/>
        <v>3</v>
      </c>
      <c r="S178" s="14" cm="1">
        <f t="array" ref="S178">INDEX('Report-ConceptMap-2'!$I$15:$N$269,Q178+1,R178)</f>
        <v>0</v>
      </c>
    </row>
    <row r="179" spans="16:19" x14ac:dyDescent="0.75">
      <c r="P179" s="9">
        <v>166</v>
      </c>
      <c r="Q179" s="9">
        <f t="shared" si="15"/>
        <v>27</v>
      </c>
      <c r="R179" s="9">
        <f t="shared" si="16"/>
        <v>4</v>
      </c>
      <c r="S179" s="14" cm="1">
        <f t="array" ref="S179">INDEX('Report-ConceptMap-2'!$I$15:$N$269,Q179+1,R179)</f>
        <v>0</v>
      </c>
    </row>
    <row r="180" spans="16:19" x14ac:dyDescent="0.75">
      <c r="P180" s="9">
        <v>167</v>
      </c>
      <c r="Q180" s="9">
        <f t="shared" si="15"/>
        <v>27</v>
      </c>
      <c r="R180" s="9">
        <f t="shared" si="16"/>
        <v>5</v>
      </c>
      <c r="S180" s="14" cm="1">
        <f t="array" ref="S180">INDEX('Report-ConceptMap-2'!$I$15:$N$269,Q180+1,R180)</f>
        <v>0</v>
      </c>
    </row>
    <row r="181" spans="16:19" x14ac:dyDescent="0.75">
      <c r="P181" s="9">
        <v>168</v>
      </c>
      <c r="Q181" s="9">
        <f t="shared" si="15"/>
        <v>27</v>
      </c>
      <c r="R181" s="9">
        <f t="shared" si="16"/>
        <v>6</v>
      </c>
      <c r="S181" s="14" cm="1">
        <f t="array" ref="S181">INDEX('Report-ConceptMap-2'!$I$15:$N$269,Q181+1,R181)</f>
        <v>0</v>
      </c>
    </row>
    <row r="182" spans="16:19" x14ac:dyDescent="0.75">
      <c r="P182" s="9">
        <v>169</v>
      </c>
      <c r="Q182" s="9">
        <f t="shared" si="15"/>
        <v>28</v>
      </c>
      <c r="R182" s="9">
        <f t="shared" si="16"/>
        <v>1</v>
      </c>
      <c r="S182" s="14" cm="1">
        <f t="array" ref="S182">INDEX('Report-ConceptMap-2'!$I$15:$N$269,Q182+1,R182)</f>
        <v>0</v>
      </c>
    </row>
    <row r="183" spans="16:19" x14ac:dyDescent="0.75">
      <c r="P183" s="9">
        <v>170</v>
      </c>
      <c r="Q183" s="9">
        <f t="shared" si="15"/>
        <v>28</v>
      </c>
      <c r="R183" s="9">
        <f t="shared" si="16"/>
        <v>2</v>
      </c>
      <c r="S183" s="14" cm="1">
        <f t="array" ref="S183">INDEX('Report-ConceptMap-2'!$I$15:$N$269,Q183+1,R183)</f>
        <v>0</v>
      </c>
    </row>
    <row r="184" spans="16:19" x14ac:dyDescent="0.75">
      <c r="P184" s="9">
        <v>171</v>
      </c>
      <c r="Q184" s="9">
        <f t="shared" si="15"/>
        <v>28</v>
      </c>
      <c r="R184" s="9">
        <f t="shared" si="16"/>
        <v>3</v>
      </c>
      <c r="S184" s="14" cm="1">
        <f t="array" ref="S184">INDEX('Report-ConceptMap-2'!$I$15:$N$269,Q184+1,R184)</f>
        <v>0</v>
      </c>
    </row>
    <row r="185" spans="16:19" x14ac:dyDescent="0.75">
      <c r="P185" s="9">
        <v>172</v>
      </c>
      <c r="Q185" s="9">
        <f t="shared" si="15"/>
        <v>28</v>
      </c>
      <c r="R185" s="9">
        <f t="shared" si="16"/>
        <v>4</v>
      </c>
      <c r="S185" s="14" cm="1">
        <f t="array" ref="S185">INDEX('Report-ConceptMap-2'!$I$15:$N$269,Q185+1,R185)</f>
        <v>0</v>
      </c>
    </row>
    <row r="186" spans="16:19" x14ac:dyDescent="0.75">
      <c r="P186" s="9">
        <v>173</v>
      </c>
      <c r="Q186" s="9">
        <f t="shared" si="15"/>
        <v>28</v>
      </c>
      <c r="R186" s="9">
        <f t="shared" si="16"/>
        <v>5</v>
      </c>
      <c r="S186" s="14" cm="1">
        <f t="array" ref="S186">INDEX('Report-ConceptMap-2'!$I$15:$N$269,Q186+1,R186)</f>
        <v>0</v>
      </c>
    </row>
    <row r="187" spans="16:19" x14ac:dyDescent="0.75">
      <c r="P187" s="9">
        <v>174</v>
      </c>
      <c r="Q187" s="9">
        <f t="shared" si="15"/>
        <v>28</v>
      </c>
      <c r="R187" s="9">
        <f t="shared" si="16"/>
        <v>6</v>
      </c>
      <c r="S187" s="14" cm="1">
        <f t="array" ref="S187">INDEX('Report-ConceptMap-2'!$I$15:$N$269,Q187+1,R187)</f>
        <v>0</v>
      </c>
    </row>
    <row r="188" spans="16:19" x14ac:dyDescent="0.75">
      <c r="P188" s="9">
        <v>175</v>
      </c>
      <c r="Q188" s="9">
        <f t="shared" si="15"/>
        <v>29</v>
      </c>
      <c r="R188" s="9">
        <f t="shared" si="16"/>
        <v>1</v>
      </c>
      <c r="S188" s="14" cm="1">
        <f t="array" ref="S188">INDEX('Report-ConceptMap-2'!$I$15:$N$269,Q188+1,R188)</f>
        <v>0</v>
      </c>
    </row>
    <row r="189" spans="16:19" x14ac:dyDescent="0.75">
      <c r="P189" s="9">
        <v>176</v>
      </c>
      <c r="Q189" s="9">
        <f t="shared" si="15"/>
        <v>29</v>
      </c>
      <c r="R189" s="9">
        <f t="shared" si="16"/>
        <v>2</v>
      </c>
      <c r="S189" s="14" cm="1">
        <f t="array" ref="S189">INDEX('Report-ConceptMap-2'!$I$15:$N$269,Q189+1,R189)</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257"/>
  <sheetViews>
    <sheetView topLeftCell="C1" workbookViewId="0">
      <selection activeCell="G128" sqref="G12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686</v>
      </c>
    </row>
    <row r="3" spans="2:7" x14ac:dyDescent="0.75">
      <c r="B3" s="33" t="s">
        <v>37</v>
      </c>
    </row>
    <row r="4" spans="2:7" x14ac:dyDescent="0.75">
      <c r="B4" s="77" t="str">
        <f>"Instance: "&amp;'Report-ConceptMap-1'!C4</f>
        <v>Instance: labRpt2FHIR-eu-lab</v>
      </c>
    </row>
    <row r="5" spans="2:7" x14ac:dyDescent="0.75">
      <c r="B5" s="77" t="s">
        <v>662</v>
      </c>
    </row>
    <row r="6" spans="2:7" x14ac:dyDescent="0.75">
      <c r="B6" s="77" t="s">
        <v>663</v>
      </c>
    </row>
    <row r="7" spans="2:7" x14ac:dyDescent="0.75">
      <c r="B7" s="77" t="s">
        <v>673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664</v>
      </c>
    </row>
    <row r="11" spans="2:7" x14ac:dyDescent="0.75">
      <c r="B11" s="77" t="s">
        <v>665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//---END</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#LabReport.header.metadata.custodian</v>
      </c>
    </row>
    <row r="99" spans="2:2" x14ac:dyDescent="0.75">
      <c r="B99" s="14" t="str">
        <f>IF('Report-ConceptMap-1'!S94=0,"//---END",'Report-ConceptMap-1'!S94)</f>
        <v>* group[=].element[=].display = ##34#A.1.8.5 Report custodian##34#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#LabReport.order</v>
      </c>
    </row>
    <row r="105" spans="2:2" x14ac:dyDescent="0.75">
      <c r="B105" s="14" t="str">
        <f>IF('Report-ConceptMap-1'!S100=0,"//---END",'Report-ConceptMap-1'!S100)</f>
        <v>* group[=].element[=].display = ##34#A.2-A.3 Order##34#</v>
      </c>
    </row>
    <row r="106" spans="2:2" x14ac:dyDescent="0.75">
      <c r="B106" s="14" t="str">
        <f>IF('Report-ConceptMap-1'!S101=0,"//---END",'Report-ConceptMap-1'!S101)</f>
        <v>* group[=].element[=].target.code = #DiagnosticReport.basedOn</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group[=].element[=].target.comment = ##34#basedOn.resolve().ofType(ServiceRequest)##34#</v>
      </c>
    </row>
    <row r="110" spans="2:2" x14ac:dyDescent="0.75">
      <c r="B110" s="14" t="str">
        <f>IF('Report-ConceptMap-1'!S105=0,"//---END",'Report-ConceptMap-1'!S105)</f>
        <v>* group[=].element[+].code = #LabReport.specimen</v>
      </c>
    </row>
    <row r="111" spans="2:2" x14ac:dyDescent="0.75">
      <c r="B111" s="14" t="str">
        <f>IF('Report-ConceptMap-1'!S106=0,"//---END",'Report-ConceptMap-1'!S106)</f>
        <v>* group[=].element[=].display = ##34#A.4 Specimen information##34#</v>
      </c>
    </row>
    <row r="112" spans="2:2" x14ac:dyDescent="0.75">
      <c r="B112" s="14" t="str">
        <f>IF('Report-ConceptMap-1'!S107=0,"//---END",'Report-ConceptMap-1'!S107)</f>
        <v>* group[=].element[=].target.code = #DiagnosticReport.specimen</v>
      </c>
    </row>
    <row r="113" spans="2:2" x14ac:dyDescent="0.75">
      <c r="B113" s="14" t="str">
        <f>IF('Report-ConceptMap-1'!S108=0,"//---END",'Report-ConceptMap-1'!S108)</f>
        <v>* group[=].element[=].target.display = ##34###34#</v>
      </c>
    </row>
    <row r="114" spans="2:2" x14ac:dyDescent="0.75">
      <c r="B114" s="14" t="str">
        <f>IF('Report-ConceptMap-1'!S109=0,"//---END",'Report-ConceptMap-1'!S109)</f>
        <v>* group[=].element[=].target.equivalence = #relatedto</v>
      </c>
    </row>
    <row r="115" spans="2:2" x14ac:dyDescent="0.75">
      <c r="B115" s="14" t="str">
        <f>IF('Report-ConceptMap-1'!S110=0,"//---END",'Report-ConceptMap-1'!S110)</f>
        <v/>
      </c>
    </row>
    <row r="116" spans="2:2" x14ac:dyDescent="0.75">
      <c r="B116" s="14" t="str">
        <f>IF('Report-ConceptMap-1'!S111=0,"//---END",'Report-ConceptMap-1'!S111)</f>
        <v>* group[=].element[+].code = #LabReport.result</v>
      </c>
    </row>
    <row r="117" spans="2:2" x14ac:dyDescent="0.75">
      <c r="B117" s="14" t="str">
        <f>IF('Report-ConceptMap-1'!S112=0,"//---END",'Report-ConceptMap-1'!S112)</f>
        <v>* group[=].element[=].display = ##34#A.5 Results data elements##34#</v>
      </c>
    </row>
    <row r="118" spans="2:2" x14ac:dyDescent="0.75">
      <c r="B118" s="14" t="str">
        <f>IF('Report-ConceptMap-1'!S113=0,"//---END",'Report-ConceptMap-1'!S113)</f>
        <v>* group[=].element[=].target.code = #DiagnosticReport.result</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#relatedto</v>
      </c>
    </row>
    <row r="121" spans="2:2" x14ac:dyDescent="0.75">
      <c r="B121" s="14" t="str">
        <f>IF('Report-ConceptMap-1'!S116=0,"//---END",'Report-ConceptMap-1'!S116)</f>
        <v/>
      </c>
    </row>
    <row r="122" spans="2:2" x14ac:dyDescent="0.75">
      <c r="B122" s="14" t="str">
        <f>IF('Report-ConceptMap-1'!S117=0,"//---END",'Report-ConceptMap-1'!S117)</f>
        <v>* group[=].element[+].code = #LabReport.specimen</v>
      </c>
    </row>
    <row r="123" spans="2:2" x14ac:dyDescent="0.75">
      <c r="B123" s="14" t="str">
        <f>IF('Report-ConceptMap-1'!S118=0,"//---END",'Report-ConceptMap-1'!S118)</f>
        <v>* group[=].element[=].display = ##34#A.4 Specimen information##34#</v>
      </c>
    </row>
    <row r="124" spans="2:2" x14ac:dyDescent="0.75">
      <c r="B124" s="14" t="str">
        <f>IF('Report-ConceptMap-1'!S119=0,"//---END",'Report-ConceptMap-1'!S119)</f>
        <v>* group[=].element[=].target.code = #DiagnosticReport.result.specimen</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#relatedto</v>
      </c>
    </row>
    <row r="127" spans="2:2" x14ac:dyDescent="0.75">
      <c r="B127" s="14" t="str">
        <f>IF('Report-ConceptMap-1'!S122=0,"//---END",'Report-ConceptMap-1'!S122)</f>
        <v>* group[=].element[=].target.comment = ##34#result.resolve().ofType(Observation).specimen##34#</v>
      </c>
    </row>
    <row r="128" spans="2:2" x14ac:dyDescent="0.75">
      <c r="B128" s="14" t="str">
        <f>IF('Report-ConceptMap-1'!S123=0,"//---END",'Report-ConceptMap-1'!S123)</f>
        <v>//---END</v>
      </c>
    </row>
    <row r="129" spans="2:2" x14ac:dyDescent="0.75">
      <c r="B129" s="14" t="str">
        <f>IF('Report-ConceptMap-1'!S124=0,"//---END",'Report-ConceptMap-1'!S124)</f>
        <v>//---END</v>
      </c>
    </row>
    <row r="130" spans="2:2" x14ac:dyDescent="0.75">
      <c r="B130" s="14" t="str">
        <f>IF('Report-ConceptMap-1'!S125=0,"//---END",'Report-ConceptMap-1'!S125)</f>
        <v>//---END</v>
      </c>
    </row>
    <row r="131" spans="2:2" x14ac:dyDescent="0.75">
      <c r="B131" s="1"/>
    </row>
    <row r="134" spans="2:2" x14ac:dyDescent="0.75">
      <c r="B134" s="77"/>
    </row>
    <row r="135" spans="2:2" x14ac:dyDescent="0.75">
      <c r="B135" s="79" t="str">
        <f>"* group[+].source = ##34#"&amp;'Report-ConceptMap-2'!E6&amp;"##34#"</f>
        <v>* group[+].source = ##34#http://hl7.eu/fhir/laboratory/StructureDefinition/LabReport##34#</v>
      </c>
    </row>
    <row r="136" spans="2:2" x14ac:dyDescent="0.75">
      <c r="B136" s="79" t="str">
        <f>"* group[=].target = ##34#"&amp;'Report-ConceptMap-2'!E7&amp;"##34#"</f>
        <v>* group[=].target = ##34#http://hl7.eu/fhir/laboratory/StructureDefinition/Composition-eu-lab##34#</v>
      </c>
    </row>
    <row r="137" spans="2:2" x14ac:dyDescent="0.75">
      <c r="B137" s="81"/>
    </row>
    <row r="139" spans="2:2" x14ac:dyDescent="0.75">
      <c r="B139" s="14" t="str">
        <f>IF('Report-ConceptMap-2'!S15=0,"//---END",'Report-ConceptMap-2'!S15)</f>
        <v>* group[=].element[+].code = #LabReport.header</v>
      </c>
    </row>
    <row r="140" spans="2:2" x14ac:dyDescent="0.75">
      <c r="B140" s="14" t="str">
        <f>IF('Report-ConceptMap-2'!S16=0,"//---END",'Report-ConceptMap-2'!S16)</f>
        <v>* group[=].element[=].display = ##34#A.1 Report header data elements##34#</v>
      </c>
    </row>
    <row r="141" spans="2:2" x14ac:dyDescent="0.75">
      <c r="B141" s="14" t="str">
        <f>IF('Report-ConceptMap-2'!S17=0,"//---END",'Report-ConceptMap-2'!S17)</f>
        <v>* group[=].element[=].target.code = #Composition</v>
      </c>
    </row>
    <row r="142" spans="2:2" x14ac:dyDescent="0.75">
      <c r="B142" s="14" t="str">
        <f>IF('Report-ConceptMap-2'!S18=0,"//---END",'Report-ConceptMap-2'!S18)</f>
        <v>* group[=].element[=].target.display = ##34###34#</v>
      </c>
    </row>
    <row r="143" spans="2:2" x14ac:dyDescent="0.75">
      <c r="B143" s="14" t="str">
        <f>IF('Report-ConceptMap-2'!S19=0,"//---END",'Report-ConceptMap-2'!S19)</f>
        <v>* group[=].element[=].target.equivalence = #relatedto</v>
      </c>
    </row>
    <row r="144" spans="2:2" x14ac:dyDescent="0.75">
      <c r="B144" s="14" t="str">
        <f>IF('Report-ConceptMap-2'!S20=0,"//---END",'Report-ConceptMap-2'!S20)</f>
        <v>* group[=].element[+].code = #LabReport.header.subject</v>
      </c>
    </row>
    <row r="145" spans="2:2" x14ac:dyDescent="0.75">
      <c r="B145" s="14" t="str">
        <f>IF('Report-ConceptMap-2'!S21=0,"//---END",'Report-ConceptMap-2'!S21)</f>
        <v>* group[=].element[=].display = ##34#A.1.1 - A1.2 Patient/subject##34#</v>
      </c>
    </row>
    <row r="146" spans="2:2" x14ac:dyDescent="0.75">
      <c r="B146" s="14" t="str">
        <f>IF('Report-ConceptMap-2'!S22=0,"//---END",'Report-ConceptMap-2'!S22)</f>
        <v>* group[=].element[=].target.code = #Composition.subject</v>
      </c>
    </row>
    <row r="147" spans="2:2" x14ac:dyDescent="0.75">
      <c r="B147" s="14" t="str">
        <f>IF('Report-ConceptMap-2'!S23=0,"//---END",'Report-ConceptMap-2'!S23)</f>
        <v>* group[=].element[=].target.display = ##34###34#</v>
      </c>
    </row>
    <row r="148" spans="2:2" x14ac:dyDescent="0.75">
      <c r="B148" s="14" t="str">
        <f>IF('Report-ConceptMap-2'!S24=0,"//---END",'Report-ConceptMap-2'!S24)</f>
        <v>* group[=].element[=].target.equivalence = #relatedto</v>
      </c>
    </row>
    <row r="149" spans="2:2" x14ac:dyDescent="0.75">
      <c r="B149" s="14" t="str">
        <f>IF('Report-ConceptMap-2'!S25=0,"//---END",'Report-ConceptMap-2'!S25)</f>
        <v/>
      </c>
    </row>
    <row r="150" spans="2:2" x14ac:dyDescent="0.75">
      <c r="B150" s="14" t="str">
        <f>IF('Report-ConceptMap-2'!S26=0,"//---END",'Report-ConceptMap-2'!S26)</f>
        <v>* group[=].element[+].code = #LabReport.header.payer</v>
      </c>
    </row>
    <row r="151" spans="2:2" x14ac:dyDescent="0.75">
      <c r="B151" s="14" t="str">
        <f>IF('Report-ConceptMap-2'!S27=0,"//---END",'Report-ConceptMap-2'!S27)</f>
        <v>* group[=].element[=].display = ##34#A.1.3 Health insurance and payment information##34#</v>
      </c>
    </row>
    <row r="152" spans="2:2" x14ac:dyDescent="0.75">
      <c r="B152" s="14" t="str">
        <f>IF('Report-ConceptMap-2'!S28=0,"//---END",'Report-ConceptMap-2'!S28)</f>
        <v>* group[=].element[=].target.code = #Composition.extension:basedOn-order-or-requisition.insurance</v>
      </c>
    </row>
    <row r="153" spans="2:2" x14ac:dyDescent="0.75">
      <c r="B153" s="14" t="str">
        <f>IF('Report-ConceptMap-2'!S29=0,"//---END",'Report-ConceptMap-2'!S29)</f>
        <v>* group[=].element[=].target.display = ##34###34#</v>
      </c>
    </row>
    <row r="154" spans="2:2" x14ac:dyDescent="0.75">
      <c r="B154" s="14" t="str">
        <f>IF('Report-ConceptMap-2'!S30=0,"//---END",'Report-ConceptMap-2'!S30)</f>
        <v>* group[=].element[=].target.equivalence = #relatedto</v>
      </c>
    </row>
    <row r="155" spans="2:2" ht="29.5" x14ac:dyDescent="0.75">
      <c r="B155" s="14" t="str">
        <f>IF('Report-ConceptMap-2'!S31=0,"//---END",'Report-ConceptMap-2'!S31)</f>
        <v>* group[=].element[=].target.comment = ##34#extension(http://hl7.eu/fhir/laboratory/StructureDefinition/composition-basedOn-order-or-requisition).resolve().ofType(ServiceRequest).insurance.resolve().ofType(Coverage)##34#</v>
      </c>
    </row>
    <row r="156" spans="2:2" x14ac:dyDescent="0.75">
      <c r="B156" s="14" t="str">
        <f>IF('Report-ConceptMap-2'!S32=0,"//---END",'Report-ConceptMap-2'!S32)</f>
        <v>* group[=].element[+].code = #LabReport.header.informationRecipient</v>
      </c>
    </row>
    <row r="157" spans="2:2" x14ac:dyDescent="0.75">
      <c r="B157" s="14" t="str">
        <f>IF('Report-ConceptMap-2'!S33=0,"//---END",'Report-ConceptMap-2'!S33)</f>
        <v>* group[=].element[=].display = ##34#A.1.4 Information recipient##34#</v>
      </c>
    </row>
    <row r="158" spans="2:2" x14ac:dyDescent="0.75">
      <c r="B158" s="14" t="str">
        <f>IF('Report-ConceptMap-2'!S34=0,"//---END",'Report-ConceptMap-2'!S34)</f>
        <v>//-- unmatched</v>
      </c>
    </row>
    <row r="159" spans="2:2" x14ac:dyDescent="0.75">
      <c r="B159" s="14" t="str">
        <f>IF('Report-ConceptMap-2'!S35=0,"//---END",'Report-ConceptMap-2'!S35)</f>
        <v>//-- unmatched</v>
      </c>
    </row>
    <row r="160" spans="2:2" x14ac:dyDescent="0.75">
      <c r="B160" s="14" t="str">
        <f>IF('Report-ConceptMap-2'!S36=0,"//---END",'Report-ConceptMap-2'!S36)</f>
        <v>* group[=].element[=].target.equivalence = #unmatched</v>
      </c>
    </row>
    <row r="161" spans="2:2" x14ac:dyDescent="0.75">
      <c r="B161" s="14" t="str">
        <f>IF('Report-ConceptMap-2'!S37=0,"//---END",'Report-ConceptMap-2'!S37)</f>
        <v/>
      </c>
    </row>
    <row r="162" spans="2:2" x14ac:dyDescent="0.75">
      <c r="B162" s="14" t="str">
        <f>IF('Report-ConceptMap-2'!S38=0,"//---END",'Report-ConceptMap-2'!S38)</f>
        <v>* group[=].element[+].code = #LabReport.header.author</v>
      </c>
    </row>
    <row r="163" spans="2:2" x14ac:dyDescent="0.75">
      <c r="B163" s="14" t="str">
        <f>IF('Report-ConceptMap-2'!S39=0,"//---END",'Report-ConceptMap-2'!S39)</f>
        <v>* group[=].element[=].display = ##34#A.1.5 Author##34#</v>
      </c>
    </row>
    <row r="164" spans="2:2" x14ac:dyDescent="0.75">
      <c r="B164" s="14" t="str">
        <f>IF('Report-ConceptMap-2'!S40=0,"//---END",'Report-ConceptMap-2'!S40)</f>
        <v>* group[=].element[=].target.code = #Composition.author</v>
      </c>
    </row>
    <row r="165" spans="2:2" x14ac:dyDescent="0.75">
      <c r="B165" s="14" t="str">
        <f>IF('Report-ConceptMap-2'!S41=0,"//---END",'Report-ConceptMap-2'!S41)</f>
        <v>* group[=].element[=].target.display = ##34###34#</v>
      </c>
    </row>
    <row r="166" spans="2:2" x14ac:dyDescent="0.75">
      <c r="B166" s="14" t="str">
        <f>IF('Report-ConceptMap-2'!S42=0,"//---END",'Report-ConceptMap-2'!S42)</f>
        <v>* group[=].element[=].target.equivalence = #relatedto</v>
      </c>
    </row>
    <row r="167" spans="2:2" x14ac:dyDescent="0.75">
      <c r="B167" s="14" t="str">
        <f>IF('Report-ConceptMap-2'!S43=0,"//---END",'Report-ConceptMap-2'!S43)</f>
        <v/>
      </c>
    </row>
    <row r="168" spans="2:2" x14ac:dyDescent="0.75">
      <c r="B168" s="14" t="str">
        <f>IF('Report-ConceptMap-2'!S44=0,"//---END",'Report-ConceptMap-2'!S44)</f>
        <v>* group[=].element[+].code = #LabReport.header.legalAuthenticator</v>
      </c>
    </row>
    <row r="169" spans="2:2" x14ac:dyDescent="0.75">
      <c r="B169" s="14" t="str">
        <f>IF('Report-ConceptMap-2'!S45=0,"//---END",'Report-ConceptMap-2'!S45)</f>
        <v>* group[=].element[=].display = ##34#A.1.6 Legal authenticator##34#</v>
      </c>
    </row>
    <row r="170" spans="2:2" x14ac:dyDescent="0.75">
      <c r="B170" s="14" t="str">
        <f>IF('Report-ConceptMap-2'!S46=0,"//---END",'Report-ConceptMap-2'!S46)</f>
        <v>* group[=].element[=].target.code = #Composition.attester.party</v>
      </c>
    </row>
    <row r="171" spans="2:2" x14ac:dyDescent="0.75">
      <c r="B171" s="14" t="str">
        <f>IF('Report-ConceptMap-2'!S47=0,"//---END",'Report-ConceptMap-2'!S47)</f>
        <v>* group[=].element[=].target.display = ##34###34#</v>
      </c>
    </row>
    <row r="172" spans="2:2" x14ac:dyDescent="0.75">
      <c r="B172" s="14" t="str">
        <f>IF('Report-ConceptMap-2'!S48=0,"//---END",'Report-ConceptMap-2'!S48)</f>
        <v>* group[=].element[=].target.equivalence = #equivalent</v>
      </c>
    </row>
    <row r="173" spans="2:2" ht="29.5" x14ac:dyDescent="0.75">
      <c r="B173" s="14" t="str">
        <f>IF('Report-ConceptMap-2'!S49=0,"//---END",'Report-ConceptMap-2'!S49)</f>
        <v>* group[=].element[=].target.comment = ##34#The person authenticated the content and accepted legal responsibility for its content.
attester.where(mode='legal').party.resolve()##34#</v>
      </c>
    </row>
    <row r="174" spans="2:2" x14ac:dyDescent="0.75">
      <c r="B174" s="14" t="str">
        <f>IF('Report-ConceptMap-2'!S50=0,"//---END",'Report-ConceptMap-2'!S50)</f>
        <v>* group[=].element[+].code = #LabReport.header.validator</v>
      </c>
    </row>
    <row r="175" spans="2:2" x14ac:dyDescent="0.75">
      <c r="B175" s="14" t="str">
        <f>IF('Report-ConceptMap-2'!S51=0,"//---END",'Report-ConceptMap-2'!S51)</f>
        <v>* group[=].element[=].display = ##34#A.1.7 Result validator##34#</v>
      </c>
    </row>
    <row r="176" spans="2:2" x14ac:dyDescent="0.75">
      <c r="B176" s="14" t="str">
        <f>IF('Report-ConceptMap-2'!S52=0,"//---END",'Report-ConceptMap-2'!S52)</f>
        <v>* group[=].element[=].target.code = #Composition.attester.party</v>
      </c>
    </row>
    <row r="177" spans="2:2" x14ac:dyDescent="0.75">
      <c r="B177" s="14" t="str">
        <f>IF('Report-ConceptMap-2'!S53=0,"//---END",'Report-ConceptMap-2'!S53)</f>
        <v>* group[=].element[=].target.display = ##34###34#</v>
      </c>
    </row>
    <row r="178" spans="2:2" x14ac:dyDescent="0.75">
      <c r="B178" s="14" t="str">
        <f>IF('Report-ConceptMap-2'!S54=0,"//---END",'Report-ConceptMap-2'!S54)</f>
        <v>* group[=].element[=].target.equivalence = #equivalent</v>
      </c>
    </row>
    <row r="179" spans="2:2" ht="29.5" x14ac:dyDescent="0.75">
      <c r="B179" s="14" t="str">
        <f>IF('Report-ConceptMap-2'!S55=0,"//---END",'Report-ConceptMap-2'!S55)</f>
        <v>* group[=].element[=].target.comment = ##34#The person authenticated the content in their professional capacity.
attester.where(mode='professional').party.resolve()##34#</v>
      </c>
    </row>
    <row r="180" spans="2:2" x14ac:dyDescent="0.75">
      <c r="B180" s="14" t="str">
        <f>IF('Report-ConceptMap-2'!S56=0,"//---END",'Report-ConceptMap-2'!S56)</f>
        <v>* group[=].element[+].code = #LabReport.header.metadata</v>
      </c>
    </row>
    <row r="181" spans="2:2" x14ac:dyDescent="0.75">
      <c r="B181" s="14" t="str">
        <f>IF('Report-ConceptMap-2'!S57=0,"//---END",'Report-ConceptMap-2'!S57)</f>
        <v>* group[=].element[=].display = ##34#A.1.8 Laboratory report metadata##34#</v>
      </c>
    </row>
    <row r="182" spans="2:2" x14ac:dyDescent="0.75">
      <c r="B182" s="14" t="str">
        <f>IF('Report-ConceptMap-2'!S58=0,"//---END",'Report-ConceptMap-2'!S58)</f>
        <v>* group[=].element[=].target.code = #Composition</v>
      </c>
    </row>
    <row r="183" spans="2:2" x14ac:dyDescent="0.75">
      <c r="B183" s="14" t="str">
        <f>IF('Report-ConceptMap-2'!S59=0,"//---END",'Report-ConceptMap-2'!S59)</f>
        <v>* group[=].element[=].target.display = ##34###34#</v>
      </c>
    </row>
    <row r="184" spans="2:2" x14ac:dyDescent="0.75">
      <c r="B184" s="14" t="str">
        <f>IF('Report-ConceptMap-2'!S60=0,"//---END",'Report-ConceptMap-2'!S60)</f>
        <v>* group[=].element[=].target.equivalence = #relatedto</v>
      </c>
    </row>
    <row r="185" spans="2:2" x14ac:dyDescent="0.75">
      <c r="B185" s="14" t="str">
        <f>IF('Report-ConceptMap-2'!S61=0,"//---END",'Report-ConceptMap-2'!S61)</f>
        <v/>
      </c>
    </row>
    <row r="186" spans="2:2" x14ac:dyDescent="0.75">
      <c r="B186" s="14" t="str">
        <f>IF('Report-ConceptMap-2'!S62=0,"//---END",'Report-ConceptMap-2'!S62)</f>
        <v>* group[=].element[+].code = #LabReport.header.metadata.type</v>
      </c>
    </row>
    <row r="187" spans="2:2" x14ac:dyDescent="0.75">
      <c r="B187" s="14" t="str">
        <f>IF('Report-ConceptMap-2'!S63=0,"//---END",'Report-ConceptMap-2'!S63)</f>
        <v>* group[=].element[=].display = ##34#A.1.8.1 Document type##34#</v>
      </c>
    </row>
    <row r="188" spans="2:2" x14ac:dyDescent="0.75">
      <c r="B188" s="14" t="str">
        <f>IF('Report-ConceptMap-2'!S64=0,"//---END",'Report-ConceptMap-2'!S64)</f>
        <v>* group[=].element[=].target.code = #Composition.code</v>
      </c>
    </row>
    <row r="189" spans="2:2" x14ac:dyDescent="0.75">
      <c r="B189" s="14" t="str">
        <f>IF('Report-ConceptMap-2'!S65=0,"//---END",'Report-ConceptMap-2'!S65)</f>
        <v>* group[=].element[=].target.display = ##34###34#</v>
      </c>
    </row>
    <row r="190" spans="2:2" x14ac:dyDescent="0.75">
      <c r="B190" s="14" t="str">
        <f>IF('Report-ConceptMap-2'!S66=0,"//---END",'Report-ConceptMap-2'!S66)</f>
        <v>* group[=].element[=].target.equivalence = #equivalent</v>
      </c>
    </row>
    <row r="191" spans="2:2" x14ac:dyDescent="0.75">
      <c r="B191" s="14" t="str">
        <f>IF('Report-ConceptMap-2'!S67=0,"//---END",'Report-ConceptMap-2'!S67)</f>
        <v/>
      </c>
    </row>
    <row r="192" spans="2:2" x14ac:dyDescent="0.75">
      <c r="B192" s="14" t="str">
        <f>IF('Report-ConceptMap-2'!S68=0,"//---END",'Report-ConceptMap-2'!S68)</f>
        <v>* group[=].element[+].code = #LabReport.header.metadata.status</v>
      </c>
    </row>
    <row r="193" spans="2:2" x14ac:dyDescent="0.75">
      <c r="B193" s="14" t="str">
        <f>IF('Report-ConceptMap-2'!S69=0,"//---END",'Report-ConceptMap-2'!S69)</f>
        <v>* group[=].element[=].display = ##34#A.1.8.2 Document status##34#</v>
      </c>
    </row>
    <row r="194" spans="2:2" x14ac:dyDescent="0.75">
      <c r="B194" s="14" t="str">
        <f>IF('Report-ConceptMap-2'!S70=0,"//---END",'Report-ConceptMap-2'!S70)</f>
        <v>* group[=].element[=].target.code = #Composition.status</v>
      </c>
    </row>
    <row r="195" spans="2:2" x14ac:dyDescent="0.75">
      <c r="B195" s="14" t="str">
        <f>IF('Report-ConceptMap-2'!S71=0,"//---END",'Report-ConceptMap-2'!S71)</f>
        <v>* group[=].element[=].target.display = ##34###34#</v>
      </c>
    </row>
    <row r="196" spans="2:2" x14ac:dyDescent="0.75">
      <c r="B196" s="14" t="str">
        <f>IF('Report-ConceptMap-2'!S72=0,"//---END",'Report-ConceptMap-2'!S72)</f>
        <v>* group[=].element[=].target.equivalence = #relatedto</v>
      </c>
    </row>
    <row r="197" spans="2:2" x14ac:dyDescent="0.75">
      <c r="B197" s="14" t="str">
        <f>IF('Report-ConceptMap-2'!S73=0,"//---END",'Report-ConceptMap-2'!S73)</f>
        <v>* group[=].element[=].target.comment = ##34#to be checked…##34#</v>
      </c>
    </row>
    <row r="198" spans="2:2" x14ac:dyDescent="0.75">
      <c r="B198" s="14" t="str">
        <f>IF('Report-ConceptMap-2'!S74=0,"//---END",'Report-ConceptMap-2'!S74)</f>
        <v>* group[=].element[+].code = #LabReport.header.metadata.dateTime</v>
      </c>
    </row>
    <row r="199" spans="2:2" x14ac:dyDescent="0.75">
      <c r="B199" s="14" t="str">
        <f>IF('Report-ConceptMap-2'!S75=0,"//---END",'Report-ConceptMap-2'!S75)</f>
        <v>* group[=].element[=].display = ##34#A.1.8.3 Report date and time##34#</v>
      </c>
    </row>
    <row r="200" spans="2:2" x14ac:dyDescent="0.75">
      <c r="B200" s="14" t="str">
        <f>IF('Report-ConceptMap-2'!S76=0,"//---END",'Report-ConceptMap-2'!S76)</f>
        <v>* group[=].element[=].target.code = #Composition.date</v>
      </c>
    </row>
    <row r="201" spans="2:2" x14ac:dyDescent="0.75">
      <c r="B201" s="14" t="str">
        <f>IF('Report-ConceptMap-2'!S77=0,"//---END",'Report-ConceptMap-2'!S77)</f>
        <v>* group[=].element[=].target.display = ##34###34#</v>
      </c>
    </row>
    <row r="202" spans="2:2" x14ac:dyDescent="0.75">
      <c r="B202" s="14" t="str">
        <f>IF('Report-ConceptMap-2'!S78=0,"//---END",'Report-ConceptMap-2'!S78)</f>
        <v>* group[=].element[=].target.equivalence = #equivalent</v>
      </c>
    </row>
    <row r="203" spans="2:2" x14ac:dyDescent="0.75">
      <c r="B203" s="14" t="str">
        <f>IF('Report-ConceptMap-2'!S79=0,"//---END",'Report-ConceptMap-2'!S79)</f>
        <v/>
      </c>
    </row>
    <row r="204" spans="2:2" x14ac:dyDescent="0.75">
      <c r="B204" s="14" t="str">
        <f>IF('Report-ConceptMap-2'!S80=0,"//---END",'Report-ConceptMap-2'!S80)</f>
        <v>* group[=].element[+].code = #LabReport.header.metadata.title</v>
      </c>
    </row>
    <row r="205" spans="2:2" x14ac:dyDescent="0.75">
      <c r="B205" s="14" t="str">
        <f>IF('Report-ConceptMap-2'!S81=0,"//---END",'Report-ConceptMap-2'!S81)</f>
        <v>* group[=].element[=].display = ##34#A.1.8.4 Document title##34#</v>
      </c>
    </row>
    <row r="206" spans="2:2" x14ac:dyDescent="0.75">
      <c r="B206" s="14" t="str">
        <f>IF('Report-ConceptMap-2'!S82=0,"//---END",'Report-ConceptMap-2'!S82)</f>
        <v>* group[=].element[=].target.code = #Composition.title</v>
      </c>
    </row>
    <row r="207" spans="2:2" x14ac:dyDescent="0.75">
      <c r="B207" s="14" t="str">
        <f>IF('Report-ConceptMap-2'!S83=0,"//---END",'Report-ConceptMap-2'!S83)</f>
        <v>* group[=].element[=].target.display = ##34###34#</v>
      </c>
    </row>
    <row r="208" spans="2:2" x14ac:dyDescent="0.75">
      <c r="B208" s="14" t="str">
        <f>IF('Report-ConceptMap-2'!S84=0,"//---END",'Report-ConceptMap-2'!S84)</f>
        <v>* group[=].element[=].target.equivalence = #equivalent</v>
      </c>
    </row>
    <row r="209" spans="2:2" x14ac:dyDescent="0.75">
      <c r="B209" s="14" t="str">
        <f>IF('Report-ConceptMap-2'!S85=0,"//---END",'Report-ConceptMap-2'!S85)</f>
        <v/>
      </c>
    </row>
    <row r="210" spans="2:2" x14ac:dyDescent="0.75">
      <c r="B210" s="14" t="str">
        <f>IF('Report-ConceptMap-2'!S86=0,"//---END",'Report-ConceptMap-2'!S86)</f>
        <v>* group[=].element[+].code = #LabReport.header.metadata.custodian</v>
      </c>
    </row>
    <row r="211" spans="2:2" x14ac:dyDescent="0.75">
      <c r="B211" s="14" t="str">
        <f>IF('Report-ConceptMap-2'!S87=0,"//---END",'Report-ConceptMap-2'!S87)</f>
        <v>* group[=].element[=].display = ##34#A.1.8.5 Report custodian##34#</v>
      </c>
    </row>
    <row r="212" spans="2:2" x14ac:dyDescent="0.75">
      <c r="B212" s="14" t="str">
        <f>IF('Report-ConceptMap-2'!S88=0,"//---END",'Report-ConceptMap-2'!S88)</f>
        <v>* group[=].element[=].target.code = #Composition.custodian</v>
      </c>
    </row>
    <row r="213" spans="2:2" x14ac:dyDescent="0.75">
      <c r="B213" s="14" t="str">
        <f>IF('Report-ConceptMap-2'!S89=0,"//---END",'Report-ConceptMap-2'!S89)</f>
        <v>* group[=].element[=].target.display = ##34###34#</v>
      </c>
    </row>
    <row r="214" spans="2:2" x14ac:dyDescent="0.75">
      <c r="B214" s="14" t="str">
        <f>IF('Report-ConceptMap-2'!S90=0,"//---END",'Report-ConceptMap-2'!S90)</f>
        <v>* group[=].element[=].target.equivalence = #equivalent</v>
      </c>
    </row>
    <row r="215" spans="2:2" x14ac:dyDescent="0.75">
      <c r="B215" s="14" t="str">
        <f>IF('Report-ConceptMap-2'!S91=0,"//---END",'Report-ConceptMap-2'!S91)</f>
        <v/>
      </c>
    </row>
    <row r="216" spans="2:2" x14ac:dyDescent="0.75">
      <c r="B216" s="14" t="str">
        <f>IF('Report-ConceptMap-2'!S92=0,"//---END",'Report-ConceptMap-2'!S92)</f>
        <v>* group[=].element[+].code = #LabReport.order</v>
      </c>
    </row>
    <row r="217" spans="2:2" x14ac:dyDescent="0.75">
      <c r="B217" s="14" t="str">
        <f>IF('Report-ConceptMap-2'!S93=0,"//---END",'Report-ConceptMap-2'!S93)</f>
        <v>* group[=].element[=].display = ##34#A.2-A.3 Order##34#</v>
      </c>
    </row>
    <row r="218" spans="2:2" x14ac:dyDescent="0.75">
      <c r="B218" s="14" t="str">
        <f>IF('Report-ConceptMap-2'!S94=0,"//---END",'Report-ConceptMap-2'!S94)</f>
        <v>* group[=].element[=].target.code = #Composition.extension:basedOn-order-or-requisition.insurance</v>
      </c>
    </row>
    <row r="219" spans="2:2" x14ac:dyDescent="0.75">
      <c r="B219" s="14" t="str">
        <f>IF('Report-ConceptMap-2'!S95=0,"//---END",'Report-ConceptMap-2'!S95)</f>
        <v>* group[=].element[=].target.display = ##34###34#</v>
      </c>
    </row>
    <row r="220" spans="2:2" x14ac:dyDescent="0.75">
      <c r="B220" s="14" t="str">
        <f>IF('Report-ConceptMap-2'!S96=0,"//---END",'Report-ConceptMap-2'!S96)</f>
        <v>* group[=].element[=].target.equivalence = #relatedto</v>
      </c>
    </row>
    <row r="221" spans="2:2" ht="29.5" x14ac:dyDescent="0.75">
      <c r="B221" s="14" t="str">
        <f>IF('Report-ConceptMap-2'!S97=0,"//---END",'Report-ConceptMap-2'!S97)</f>
        <v>* group[=].element[=].target.comment = ##34#extension(http://hl7.eu/fhir/laboratory/StructureDefinition/composition-basedOn-order-or-requisition).resolve().ofType(ServiceRequest)##34#</v>
      </c>
    </row>
    <row r="222" spans="2:2" x14ac:dyDescent="0.75">
      <c r="B222" s="14" t="str">
        <f>IF('Report-ConceptMap-2'!S98=0,"//---END",'Report-ConceptMap-2'!S98)</f>
        <v>* group[=].element[+].code = #LabReport.specimen</v>
      </c>
    </row>
    <row r="223" spans="2:2" x14ac:dyDescent="0.75">
      <c r="B223" s="14" t="str">
        <f>IF('Report-ConceptMap-2'!S99=0,"//---END",'Report-ConceptMap-2'!S99)</f>
        <v>* group[=].element[=].display = ##34#A.4 Specimen information##34#</v>
      </c>
    </row>
    <row r="224" spans="2:2" x14ac:dyDescent="0.75">
      <c r="B224" s="14" t="str">
        <f>IF('Report-ConceptMap-2'!S100=0,"//---END",'Report-ConceptMap-2'!S100)</f>
        <v>* group[=].element[=].target.code = #Composition.section:lab-no-subsections.entry.specimen</v>
      </c>
    </row>
    <row r="225" spans="2:2" x14ac:dyDescent="0.75">
      <c r="B225" s="14" t="str">
        <f>IF('Report-ConceptMap-2'!S101=0,"//---END",'Report-ConceptMap-2'!S101)</f>
        <v>* group[=].element[=].target.display = ##34###34#</v>
      </c>
    </row>
    <row r="226" spans="2:2" x14ac:dyDescent="0.75">
      <c r="B226" s="14" t="str">
        <f>IF('Report-ConceptMap-2'!S102=0,"//---END",'Report-ConceptMap-2'!S102)</f>
        <v>* group[=].element[=].target.equivalence = #relatedto</v>
      </c>
    </row>
    <row r="227" spans="2:2" x14ac:dyDescent="0.75">
      <c r="B227" s="14" t="str">
        <f>IF('Report-ConceptMap-2'!S103=0,"//---END",'Report-ConceptMap-2'!S103)</f>
        <v>* group[=].element[=].target.comment = ##34#If no sub sections##34#</v>
      </c>
    </row>
    <row r="228" spans="2:2" x14ac:dyDescent="0.75">
      <c r="B228" s="14" t="str">
        <f>IF('Report-ConceptMap-2'!S104=0,"//---END",'Report-ConceptMap-2'!S104)</f>
        <v>* group[=].element[+].code = #LabReport.result</v>
      </c>
    </row>
    <row r="229" spans="2:2" x14ac:dyDescent="0.75">
      <c r="B229" s="14" t="str">
        <f>IF('Report-ConceptMap-2'!S105=0,"//---END",'Report-ConceptMap-2'!S105)</f>
        <v>* group[=].element[=].display = ##34#A.5 Results data elements##34#</v>
      </c>
    </row>
    <row r="230" spans="2:2" x14ac:dyDescent="0.75">
      <c r="B230" s="14" t="str">
        <f>IF('Report-ConceptMap-2'!S106=0,"//---END",'Report-ConceptMap-2'!S106)</f>
        <v>* group[=].element[=].target.code = #Composition.section:lab-no-subsections.entry</v>
      </c>
    </row>
    <row r="231" spans="2:2" x14ac:dyDescent="0.75">
      <c r="B231" s="14" t="str">
        <f>IF('Report-ConceptMap-2'!S107=0,"//---END",'Report-ConceptMap-2'!S107)</f>
        <v>* group[=].element[=].target.display = ##34###34#</v>
      </c>
    </row>
    <row r="232" spans="2:2" x14ac:dyDescent="0.75">
      <c r="B232" s="14" t="str">
        <f>IF('Report-ConceptMap-2'!S108=0,"//---END",'Report-ConceptMap-2'!S108)</f>
        <v>* group[=].element[=].target.equivalence = #relatedto</v>
      </c>
    </row>
    <row r="233" spans="2:2" x14ac:dyDescent="0.75">
      <c r="B233" s="14" t="str">
        <f>IF('Report-ConceptMap-2'!S109=0,"//---END",'Report-ConceptMap-2'!S109)</f>
        <v>* group[=].element[=].target.comment = ##34#If no sub sections##34#</v>
      </c>
    </row>
    <row r="234" spans="2:2" x14ac:dyDescent="0.75">
      <c r="B234" s="14" t="str">
        <f>IF('Report-ConceptMap-2'!S110=0,"//---END",'Report-ConceptMap-2'!S110)</f>
        <v>* group[=].element[+].code = #LabReport.specimen</v>
      </c>
    </row>
    <row r="235" spans="2:2" x14ac:dyDescent="0.75">
      <c r="B235" s="14" t="str">
        <f>IF('Report-ConceptMap-2'!S111=0,"//---END",'Report-ConceptMap-2'!S111)</f>
        <v>* group[=].element[=].display = ##34#A.4 Specimen information##34#</v>
      </c>
    </row>
    <row r="236" spans="2:2" x14ac:dyDescent="0.75">
      <c r="B236" s="14" t="str">
        <f>IF('Report-ConceptMap-2'!S112=0,"//---END",'Report-ConceptMap-2'!S112)</f>
        <v>* group[=].element[=].target.code = #Composition.section:lab-subsections.section.entry.specimen</v>
      </c>
    </row>
    <row r="237" spans="2:2" x14ac:dyDescent="0.75">
      <c r="B237" s="14" t="str">
        <f>IF('Report-ConceptMap-2'!S113=0,"//---END",'Report-ConceptMap-2'!S113)</f>
        <v>* group[=].element[=].target.display = ##34###34#</v>
      </c>
    </row>
    <row r="238" spans="2:2" x14ac:dyDescent="0.75">
      <c r="B238" s="14" t="str">
        <f>IF('Report-ConceptMap-2'!S114=0,"//---END",'Report-ConceptMap-2'!S114)</f>
        <v>* group[=].element[=].target.equivalence = #relatedto</v>
      </c>
    </row>
    <row r="239" spans="2:2" x14ac:dyDescent="0.75">
      <c r="B239" s="14" t="str">
        <f>IF('Report-ConceptMap-2'!S115=0,"//---END",'Report-ConceptMap-2'!S115)</f>
        <v>* group[=].element[=].target.comment = ##34#If sub sections##34#</v>
      </c>
    </row>
    <row r="240" spans="2:2" x14ac:dyDescent="0.75">
      <c r="B240" s="14" t="str">
        <f>IF('Report-ConceptMap-2'!S116=0,"//---END",'Report-ConceptMap-2'!S116)</f>
        <v>* group[=].element[+].code = #LabReport.result</v>
      </c>
    </row>
    <row r="241" spans="2:2" x14ac:dyDescent="0.75">
      <c r="B241" s="14" t="str">
        <f>IF('Report-ConceptMap-2'!S117=0,"//---END",'Report-ConceptMap-2'!S117)</f>
        <v>* group[=].element[=].display = ##34#A.5 Results data elements##34#</v>
      </c>
    </row>
    <row r="242" spans="2:2" x14ac:dyDescent="0.75">
      <c r="B242" s="14" t="str">
        <f>IF('Report-ConceptMap-2'!S118=0,"//---END",'Report-ConceptMap-2'!S118)</f>
        <v>* group[=].element[=].target.code = #Composition.section:lab-subsections.section.entry</v>
      </c>
    </row>
    <row r="243" spans="2:2" x14ac:dyDescent="0.75">
      <c r="B243" s="14" t="str">
        <f>IF('Report-ConceptMap-2'!S119=0,"//---END",'Report-ConceptMap-2'!S119)</f>
        <v>* group[=].element[=].target.display = ##34###34#</v>
      </c>
    </row>
    <row r="244" spans="2:2" x14ac:dyDescent="0.75">
      <c r="B244" s="14" t="str">
        <f>IF('Report-ConceptMap-2'!S120=0,"//---END",'Report-ConceptMap-2'!S120)</f>
        <v>* group[=].element[=].target.equivalence = #relatedto</v>
      </c>
    </row>
    <row r="245" spans="2:2" x14ac:dyDescent="0.75">
      <c r="B245" s="14" t="str">
        <f>IF('Report-ConceptMap-2'!S121=0,"//---END",'Report-ConceptMap-2'!S121)</f>
        <v>* group[=].element[=].target.comment = ##34#If sub sections##34#</v>
      </c>
    </row>
    <row r="246" spans="2:2" x14ac:dyDescent="0.75">
      <c r="B246" s="14" t="str">
        <f>IF('Report-ConceptMap-2'!S122=0,"//---END",'Report-ConceptMap-2'!S122)</f>
        <v>//---END</v>
      </c>
    </row>
    <row r="247" spans="2:2" x14ac:dyDescent="0.75">
      <c r="B247" s="14" t="str">
        <f>IF('Report-ConceptMap-2'!S123=0,"//---END",'Report-ConceptMap-2'!S123)</f>
        <v>//---END</v>
      </c>
    </row>
    <row r="248" spans="2:2" x14ac:dyDescent="0.75">
      <c r="B248" s="14" t="str">
        <f>IF('Report-ConceptMap-2'!S124=0,"//---END",'Report-ConceptMap-2'!S124)</f>
        <v>//---END</v>
      </c>
    </row>
    <row r="249" spans="2:2" x14ac:dyDescent="0.75">
      <c r="B249" s="14" t="str">
        <f>IF('Report-ConceptMap-2'!S125=0,"//---END",'Report-ConceptMap-2'!S125)</f>
        <v>//---END</v>
      </c>
    </row>
    <row r="250" spans="2:2" x14ac:dyDescent="0.75">
      <c r="B250" s="14" t="str">
        <f>IF('Report-ConceptMap-2'!S126=0,"//---END",'Report-ConceptMap-2'!S126)</f>
        <v>//---END</v>
      </c>
    </row>
    <row r="251" spans="2:2" x14ac:dyDescent="0.75">
      <c r="B251" s="14" t="str">
        <f>IF('Report-ConceptMap-2'!S127=0,"//---END",'Report-ConceptMap-2'!S127)</f>
        <v>//---END</v>
      </c>
    </row>
    <row r="252" spans="2:2" x14ac:dyDescent="0.75">
      <c r="B252" s="14" t="str">
        <f>IF('Report-ConceptMap-2'!S128=0,"//---END",'Report-ConceptMap-2'!S128)</f>
        <v>//---END</v>
      </c>
    </row>
    <row r="253" spans="2:2" x14ac:dyDescent="0.75">
      <c r="B253" s="14" t="str">
        <f>IF('Report-ConceptMap-2'!S129=0,"//---END",'Report-ConceptMap-2'!S129)</f>
        <v>//---END</v>
      </c>
    </row>
    <row r="254" spans="2:2" x14ac:dyDescent="0.75">
      <c r="B254" s="14" t="str">
        <f>IF('Report-ConceptMap-2'!S130=0,"//---END",'Report-ConceptMap-2'!S130)</f>
        <v>//---END</v>
      </c>
    </row>
    <row r="255" spans="2:2" x14ac:dyDescent="0.75">
      <c r="B255" s="14" t="str">
        <f>IF('Report-ConceptMap-2'!S131=0,"//---END",'Report-ConceptMap-2'!S131)</f>
        <v>//---END</v>
      </c>
    </row>
    <row r="256" spans="2:2" x14ac:dyDescent="0.75">
      <c r="B256" s="14" t="str">
        <f>IF('Report-ConceptMap-2'!S132=0,"//---END",'Report-ConceptMap-2'!S132)</f>
        <v>//---END</v>
      </c>
    </row>
    <row r="257" spans="2:2" x14ac:dyDescent="0.75">
      <c r="B257" s="14" t="str">
        <f>IF('Report-ConceptMap-2'!S133=0,"//---END",'Report-ConceptMap-2'!S133)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432</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526</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527</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528</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637</v>
      </c>
      <c r="C14" s="16" t="s">
        <v>560</v>
      </c>
      <c r="D14" s="52" t="s">
        <v>560</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638</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639</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8" t="s">
        <v>57</v>
      </c>
      <c r="D28" s="98" t="s">
        <v>58</v>
      </c>
      <c r="E28" s="40" t="s">
        <v>59</v>
      </c>
      <c r="F28" s="101"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9"/>
      <c r="D29" s="99"/>
      <c r="E29" s="41"/>
      <c r="F29" s="102"/>
      <c r="I29" s="1" t="str">
        <f t="shared" si="2"/>
        <v xml:space="preserve"> - Preferred system(s): </v>
      </c>
    </row>
    <row r="30" spans="2:9" ht="30.25" customHeight="1" thickBot="1" x14ac:dyDescent="0.9">
      <c r="B30" t="str">
        <f t="shared" si="1"/>
        <v xml:space="preserve"> </v>
      </c>
      <c r="C30" s="100"/>
      <c r="D30" s="100"/>
      <c r="E30" s="37" t="s">
        <v>61</v>
      </c>
      <c r="F30" s="103"/>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0" t="s">
        <v>323</v>
      </c>
      <c r="D31" s="91"/>
      <c r="E31" s="91"/>
      <c r="F31" s="92"/>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907</v>
      </c>
      <c r="D3" s="73" t="s">
        <v>684</v>
      </c>
      <c r="E3" s="110" t="s">
        <v>701</v>
      </c>
      <c r="F3" s="110"/>
      <c r="G3" s="110"/>
    </row>
    <row r="4" spans="1:19" x14ac:dyDescent="0.75">
      <c r="B4" s="73" t="s">
        <v>19</v>
      </c>
      <c r="C4" s="54" t="s">
        <v>906</v>
      </c>
      <c r="D4" s="73" t="s">
        <v>685</v>
      </c>
      <c r="E4" s="111" t="s">
        <v>702</v>
      </c>
      <c r="F4" s="110"/>
      <c r="G4" s="110"/>
    </row>
    <row r="5" spans="1:19" x14ac:dyDescent="0.75">
      <c r="B5" s="73" t="s">
        <v>13</v>
      </c>
      <c r="C5" s="10" t="s">
        <v>710</v>
      </c>
      <c r="D5" s="73"/>
      <c r="E5" s="10"/>
    </row>
    <row r="6" spans="1:19" x14ac:dyDescent="0.75">
      <c r="B6" s="73" t="s">
        <v>35</v>
      </c>
      <c r="C6" s="72" t="s">
        <v>674</v>
      </c>
      <c r="D6" s="73" t="s">
        <v>681</v>
      </c>
      <c r="E6" s="110" t="s">
        <v>701</v>
      </c>
      <c r="F6" s="110"/>
      <c r="G6" s="110"/>
    </row>
    <row r="7" spans="1:19" x14ac:dyDescent="0.75">
      <c r="B7" s="73" t="s">
        <v>18</v>
      </c>
      <c r="C7" s="80" t="s">
        <v>677</v>
      </c>
      <c r="D7" s="73" t="s">
        <v>682</v>
      </c>
      <c r="E7" s="111" t="s">
        <v>702</v>
      </c>
      <c r="F7" s="110"/>
      <c r="G7" s="110"/>
    </row>
    <row r="8" spans="1:19" ht="44.25" x14ac:dyDescent="0.75">
      <c r="B8" s="73" t="s">
        <v>675</v>
      </c>
      <c r="C8" s="10" t="s">
        <v>711</v>
      </c>
      <c r="D8" s="73"/>
      <c r="E8"/>
      <c r="I8" s="14" t="s">
        <v>647</v>
      </c>
      <c r="J8" s="14" t="s">
        <v>648</v>
      </c>
      <c r="K8" s="14" t="s">
        <v>649</v>
      </c>
      <c r="L8" s="14" t="s">
        <v>650</v>
      </c>
      <c r="M8" s="9" t="s">
        <v>651</v>
      </c>
      <c r="P8" s="69" t="s">
        <v>652</v>
      </c>
      <c r="Q8" s="69">
        <v>6</v>
      </c>
    </row>
    <row r="9" spans="1:19" ht="29.5" x14ac:dyDescent="0.75">
      <c r="B9" s="73" t="s">
        <v>676</v>
      </c>
      <c r="C9" s="1" t="s">
        <v>712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659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703</v>
      </c>
      <c r="E16" s="9"/>
      <c r="F16" s="75" t="s">
        <v>658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704</v>
      </c>
      <c r="E17" s="9"/>
      <c r="F17" s="75" t="s">
        <v>658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705</v>
      </c>
      <c r="E18" s="9"/>
      <c r="F18" s="75" t="s">
        <v>658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367</v>
      </c>
      <c r="E19" s="9"/>
      <c r="F19" s="75" t="s">
        <v>658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706</v>
      </c>
      <c r="E20" s="9"/>
      <c r="F20" s="75" t="s">
        <v>658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659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707</v>
      </c>
      <c r="E22" s="9"/>
      <c r="F22" s="75" t="s">
        <v>658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708</v>
      </c>
      <c r="E23" s="14"/>
      <c r="F23" s="75" t="s">
        <v>658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709</v>
      </c>
    </row>
    <row r="3" spans="2:7" x14ac:dyDescent="0.75">
      <c r="B3" s="33" t="s">
        <v>37</v>
      </c>
    </row>
    <row r="4" spans="2:7" x14ac:dyDescent="0.75">
      <c r="B4" s="77" t="str">
        <f>"Instance: "&amp;'Subj-ConceptMap-1'!C4</f>
        <v>Instance: subject2FHIR-eu-lab</v>
      </c>
    </row>
    <row r="5" spans="2:7" x14ac:dyDescent="0.75">
      <c r="B5" s="77" t="s">
        <v>662</v>
      </c>
    </row>
    <row r="6" spans="2:7" x14ac:dyDescent="0.75">
      <c r="B6" s="77" t="s">
        <v>663</v>
      </c>
    </row>
    <row r="7" spans="2:7" x14ac:dyDescent="0.75">
      <c r="B7" s="77" t="s">
        <v>673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664</v>
      </c>
    </row>
    <row r="11" spans="2:7" x14ac:dyDescent="0.75">
      <c r="B11" s="77" t="s">
        <v>665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529</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0" t="s">
        <v>331</v>
      </c>
      <c r="D23" s="91"/>
      <c r="E23" s="91"/>
      <c r="F23" s="92"/>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569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568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567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topLeftCell="D20" workbookViewId="0">
      <selection activeCell="D23" sqref="D2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684</v>
      </c>
      <c r="E3" s="111" t="s">
        <v>714</v>
      </c>
      <c r="F3" s="110"/>
      <c r="G3" s="110"/>
    </row>
    <row r="4" spans="1:19" x14ac:dyDescent="0.75">
      <c r="B4" s="73" t="s">
        <v>19</v>
      </c>
      <c r="C4" s="54" t="s">
        <v>719</v>
      </c>
      <c r="D4" s="73" t="s">
        <v>685</v>
      </c>
      <c r="E4" s="111" t="s">
        <v>713</v>
      </c>
      <c r="F4" s="110"/>
      <c r="G4" s="110"/>
    </row>
    <row r="5" spans="1:19" x14ac:dyDescent="0.75">
      <c r="B5" s="73" t="s">
        <v>13</v>
      </c>
      <c r="C5" s="10" t="s">
        <v>720</v>
      </c>
      <c r="D5" s="73"/>
      <c r="E5" s="10"/>
    </row>
    <row r="6" spans="1:19" x14ac:dyDescent="0.75">
      <c r="B6" s="73" t="s">
        <v>35</v>
      </c>
      <c r="C6" s="72" t="s">
        <v>674</v>
      </c>
      <c r="D6" s="73" t="s">
        <v>681</v>
      </c>
      <c r="E6" s="111" t="s">
        <v>714</v>
      </c>
      <c r="F6" s="110"/>
      <c r="G6" s="110"/>
    </row>
    <row r="7" spans="1:19" x14ac:dyDescent="0.75">
      <c r="B7" s="73" t="s">
        <v>18</v>
      </c>
      <c r="C7" s="80" t="s">
        <v>677</v>
      </c>
      <c r="D7" s="73" t="s">
        <v>682</v>
      </c>
      <c r="E7" s="111" t="s">
        <v>713</v>
      </c>
      <c r="F7" s="110"/>
      <c r="G7" s="110"/>
    </row>
    <row r="8" spans="1:19" ht="44.25" x14ac:dyDescent="0.75">
      <c r="B8" s="73" t="s">
        <v>675</v>
      </c>
      <c r="C8" s="10" t="s">
        <v>721</v>
      </c>
      <c r="D8" s="73"/>
      <c r="E8" s="10"/>
      <c r="I8" s="14" t="s">
        <v>647</v>
      </c>
      <c r="J8" s="14" t="s">
        <v>648</v>
      </c>
      <c r="K8" s="14" t="s">
        <v>649</v>
      </c>
      <c r="L8" s="14" t="s">
        <v>650</v>
      </c>
      <c r="M8" s="9" t="s">
        <v>651</v>
      </c>
      <c r="P8" s="69" t="s">
        <v>652</v>
      </c>
      <c r="Q8" s="69">
        <v>6</v>
      </c>
    </row>
    <row r="9" spans="1:19" ht="29.5" x14ac:dyDescent="0.75">
      <c r="B9" s="73" t="s">
        <v>676</v>
      </c>
      <c r="C9" s="1" t="s">
        <v>722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'A1.3 Payer'!B5</f>
        <v>Payer</v>
      </c>
      <c r="C14" s="9"/>
      <c r="D14" s="4" t="s">
        <v>346</v>
      </c>
      <c r="E14" s="8"/>
      <c r="F14" s="9"/>
      <c r="G14" s="9" t="s">
        <v>837</v>
      </c>
      <c r="I14" s="14"/>
      <c r="J14" s="9"/>
      <c r="K14" s="9"/>
      <c r="L14" s="9"/>
      <c r="M14" s="71"/>
      <c r="N14" s="74"/>
    </row>
    <row r="15" spans="1:19" ht="44.25" x14ac:dyDescent="0.75">
      <c r="A15" s="23"/>
      <c r="B15" s="9" t="str">
        <f>'A1.3 Payer'!B8</f>
        <v>insurance</v>
      </c>
      <c r="C15" s="9" t="str">
        <f>'A1.3 Payer'!C8</f>
        <v>A.1.3.1 Health insurance information</v>
      </c>
      <c r="D15" s="14"/>
      <c r="E15" s="62"/>
      <c r="F15" s="75" t="s">
        <v>659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88.5" x14ac:dyDescent="0.75">
      <c r="A16" s="23"/>
      <c r="B16" s="9" t="str">
        <f>'A1.3 Payer'!B9</f>
        <v>insurance.identifier</v>
      </c>
      <c r="C16" s="9" t="str">
        <f>'A1.3 Payer'!C9</f>
        <v>A.1.3.1.1 Health insurance code</v>
      </c>
      <c r="D16" s="9" t="s">
        <v>838</v>
      </c>
      <c r="E16" s="9"/>
      <c r="F16" s="75" t="s">
        <v>658</v>
      </c>
      <c r="G16" s="9" t="s">
        <v>715</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88.5" x14ac:dyDescent="0.75">
      <c r="A17" s="23"/>
      <c r="B17" s="9" t="str">
        <f>'A1.3 Payer'!B10</f>
        <v>insurance.name</v>
      </c>
      <c r="C17" s="9" t="str">
        <f>'A1.3 Payer'!C10</f>
        <v>A.1.3.1.2 Health insurance name</v>
      </c>
      <c r="D17" s="9" t="s">
        <v>839</v>
      </c>
      <c r="E17" s="9"/>
      <c r="F17" s="75" t="s">
        <v>658</v>
      </c>
      <c r="G17" s="9" t="s">
        <v>716</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88.5" x14ac:dyDescent="0.75">
      <c r="A18" s="23"/>
      <c r="B18" s="9" t="str">
        <f>'A1.3 Payer'!$B$11</f>
        <v>insurance.subjectIdentifier</v>
      </c>
      <c r="C18" s="9" t="str">
        <f>'A1.3 Payer'!$C$11</f>
        <v>A.1.3.1.3 Health insurance number</v>
      </c>
      <c r="D18" s="9" t="s">
        <v>840</v>
      </c>
      <c r="E18" s="9"/>
      <c r="F18" s="75" t="s">
        <v>658</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88.5" x14ac:dyDescent="0.75">
      <c r="A19" s="23"/>
      <c r="B19" s="9" t="str">
        <f>'A1.3 Payer'!$B$11</f>
        <v>insurance.subjectIdentifier</v>
      </c>
      <c r="C19" s="9" t="str">
        <f>'A1.3 Payer'!$C$11</f>
        <v>A.1.3.1.3 Health insurance number</v>
      </c>
      <c r="D19" s="9" t="s">
        <v>841</v>
      </c>
      <c r="E19" s="9"/>
      <c r="F19" s="75" t="s">
        <v>658</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73.75" x14ac:dyDescent="0.75">
      <c r="A20" s="23"/>
      <c r="B20" s="9" t="str">
        <f>'A1.3 Payer'!$B$11</f>
        <v>insurance.subjectIdentifier</v>
      </c>
      <c r="C20" s="9" t="str">
        <f>'A1.3 Payer'!$C$11</f>
        <v>A.1.3.1.3 Health insurance number</v>
      </c>
      <c r="D20" s="9" t="s">
        <v>717</v>
      </c>
      <c r="E20" s="9"/>
      <c r="F20" s="75" t="s">
        <v>658</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88.5" x14ac:dyDescent="0.75">
      <c r="A21" s="23"/>
      <c r="B21" s="9" t="str">
        <f>'A1.3 Payer'!$B$11</f>
        <v>insurance.subjectIdentifier</v>
      </c>
      <c r="C21" s="9" t="str">
        <f>'A1.3 Payer'!$C$11</f>
        <v>A.1.3.1.3 Health insurance number</v>
      </c>
      <c r="D21" s="9" t="s">
        <v>842</v>
      </c>
      <c r="E21" s="9"/>
      <c r="F21" s="75" t="s">
        <v>658</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718</v>
      </c>
    </row>
    <row r="3" spans="2:7" x14ac:dyDescent="0.75">
      <c r="B3" s="33" t="s">
        <v>37</v>
      </c>
    </row>
    <row r="4" spans="2:7" x14ac:dyDescent="0.75">
      <c r="B4" s="77" t="str">
        <f>"Instance: "&amp;'Payer-ConceptMap-1'!C4</f>
        <v>Instance: ConceptMap-eu-payer2FHIR</v>
      </c>
    </row>
    <row r="5" spans="2:7" x14ac:dyDescent="0.75">
      <c r="B5" s="77" t="s">
        <v>662</v>
      </c>
    </row>
    <row r="6" spans="2:7" x14ac:dyDescent="0.75">
      <c r="B6" s="77" t="s">
        <v>663</v>
      </c>
    </row>
    <row r="7" spans="2:7" x14ac:dyDescent="0.75">
      <c r="B7" s="77" t="s">
        <v>673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664</v>
      </c>
    </row>
    <row r="11" spans="2:7" x14ac:dyDescent="0.75">
      <c r="B11" s="77" t="s">
        <v>665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workbookViewId="0">
      <selection activeCell="B9" sqref="B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433</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533</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530</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0" t="s">
        <v>332</v>
      </c>
      <c r="D26" s="91"/>
      <c r="E26" s="91"/>
      <c r="F26" s="92"/>
    </row>
    <row r="27" spans="2:9" ht="409.6" thickBot="1" x14ac:dyDescent="0.9">
      <c r="B27" t="str">
        <f t="shared" ref="B27:B29" si="2">CONCATENATE(C27," ",D27)</f>
        <v>A.1.4.1 Recipient identifier</v>
      </c>
      <c r="C27" s="36" t="s">
        <v>84</v>
      </c>
      <c r="D27" s="37" t="s">
        <v>85</v>
      </c>
      <c r="E27" s="37" t="s">
        <v>531</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532</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574</v>
      </c>
      <c r="E13" s="4" t="str">
        <f t="shared" si="0"/>
        <v>* -&gt; ##34#RelatedPerson##34#</v>
      </c>
      <c r="H13" s="10"/>
      <c r="I13" s="10"/>
      <c r="J13" s="10"/>
      <c r="K13" s="10"/>
      <c r="L13" s="10"/>
      <c r="M13" s="10"/>
      <c r="N13" s="10"/>
      <c r="O13" s="10"/>
    </row>
    <row r="14" spans="1:15" x14ac:dyDescent="0.75">
      <c r="A14" s="9"/>
      <c r="B14" s="9" t="str">
        <f>'A1.4 Recipient'!B8</f>
        <v>identifier</v>
      </c>
      <c r="C14" s="9" t="s">
        <v>573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575</v>
      </c>
      <c r="E15" s="14" t="str">
        <f t="shared" si="1"/>
        <v>* name -&gt; ##34#Organization.name##34#</v>
      </c>
      <c r="G15" s="1"/>
      <c r="H15" s="10"/>
      <c r="I15" s="10"/>
      <c r="J15" s="10"/>
      <c r="K15" s="10"/>
      <c r="L15" s="10"/>
      <c r="M15" s="10"/>
      <c r="N15" s="10"/>
      <c r="O15" s="10"/>
    </row>
    <row r="16" spans="1:15" x14ac:dyDescent="0.75">
      <c r="A16" s="9"/>
      <c r="B16" s="9" t="str">
        <f>'A1.4 Recipient'!$B$9</f>
        <v>name</v>
      </c>
      <c r="C16" s="8" t="s">
        <v>579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578</v>
      </c>
      <c r="E17" s="14" t="str">
        <f t="shared" si="1"/>
        <v>* name -&gt; ##34#Practictioner.name##34#</v>
      </c>
      <c r="G17" s="1"/>
      <c r="H17" s="10"/>
      <c r="I17" s="10"/>
      <c r="J17" s="10"/>
      <c r="K17" s="10"/>
      <c r="L17" s="10"/>
      <c r="M17" s="10"/>
      <c r="N17" s="10"/>
      <c r="O17" s="10"/>
    </row>
    <row r="18" spans="1:15" x14ac:dyDescent="0.75">
      <c r="A18" s="9"/>
      <c r="B18" s="9" t="str">
        <f>'A1.4 Recipient'!$B$9</f>
        <v>name</v>
      </c>
      <c r="C18" s="8" t="s">
        <v>576</v>
      </c>
      <c r="E18" s="14" t="str">
        <f t="shared" si="1"/>
        <v>* name -&gt; ##34#Patientn.name##34#</v>
      </c>
      <c r="G18" s="1"/>
      <c r="H18" s="10"/>
      <c r="I18" s="10"/>
      <c r="J18" s="10"/>
      <c r="K18" s="10"/>
      <c r="L18" s="10"/>
      <c r="M18" s="10"/>
      <c r="N18" s="10"/>
      <c r="O18" s="10"/>
    </row>
    <row r="19" spans="1:15" x14ac:dyDescent="0.75">
      <c r="A19" s="9"/>
      <c r="B19" s="9" t="str">
        <f>'A1.4 Recipient'!$B$9</f>
        <v>name</v>
      </c>
      <c r="C19" s="8" t="s">
        <v>577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580</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topLeftCell="D18" workbookViewId="0">
      <selection activeCell="G26" sqref="G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752</v>
      </c>
      <c r="D3" s="73" t="s">
        <v>684</v>
      </c>
      <c r="E3" s="111" t="s">
        <v>725</v>
      </c>
      <c r="F3" s="110"/>
      <c r="G3" s="110"/>
    </row>
    <row r="4" spans="1:19" x14ac:dyDescent="0.75">
      <c r="B4" s="73" t="s">
        <v>19</v>
      </c>
      <c r="C4" s="54" t="s">
        <v>723</v>
      </c>
      <c r="D4" s="73" t="s">
        <v>685</v>
      </c>
      <c r="E4" s="84" t="s">
        <v>728</v>
      </c>
    </row>
    <row r="5" spans="1:19" x14ac:dyDescent="0.75">
      <c r="B5" s="73" t="s">
        <v>13</v>
      </c>
      <c r="C5" s="10" t="s">
        <v>724</v>
      </c>
      <c r="D5" s="73"/>
      <c r="E5" s="10"/>
    </row>
    <row r="6" spans="1:19" x14ac:dyDescent="0.75">
      <c r="B6" s="73" t="s">
        <v>35</v>
      </c>
      <c r="C6" s="72" t="s">
        <v>725</v>
      </c>
      <c r="D6" s="73" t="s">
        <v>681</v>
      </c>
      <c r="E6" s="111" t="s">
        <v>725</v>
      </c>
      <c r="F6" s="110"/>
      <c r="G6" s="110"/>
    </row>
    <row r="7" spans="1:19" x14ac:dyDescent="0.75">
      <c r="B7" s="73" t="s">
        <v>18</v>
      </c>
      <c r="C7" s="80" t="s">
        <v>677</v>
      </c>
      <c r="D7" s="73" t="s">
        <v>682</v>
      </c>
      <c r="E7" s="111" t="s">
        <v>728</v>
      </c>
      <c r="F7" s="110"/>
      <c r="G7" s="110"/>
    </row>
    <row r="8" spans="1:19" ht="44.25" x14ac:dyDescent="0.75">
      <c r="B8" s="73" t="s">
        <v>675</v>
      </c>
      <c r="C8" s="10" t="s">
        <v>726</v>
      </c>
      <c r="D8" s="73"/>
      <c r="E8"/>
      <c r="I8" s="14" t="s">
        <v>647</v>
      </c>
      <c r="J8" s="14" t="s">
        <v>648</v>
      </c>
      <c r="K8" s="14" t="s">
        <v>649</v>
      </c>
      <c r="L8" s="14" t="s">
        <v>650</v>
      </c>
      <c r="M8" s="9" t="s">
        <v>651</v>
      </c>
      <c r="P8" s="69" t="s">
        <v>652</v>
      </c>
      <c r="Q8" s="69">
        <v>6</v>
      </c>
    </row>
    <row r="9" spans="1:19" ht="29.5" x14ac:dyDescent="0.75">
      <c r="B9" s="73" t="s">
        <v>676</v>
      </c>
      <c r="C9" s="1" t="s">
        <v>727</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'A1.4 Recipient'!B5</f>
        <v>Recipient</v>
      </c>
      <c r="C14" s="9"/>
      <c r="D14" t="s">
        <v>843</v>
      </c>
      <c r="E14" s="8"/>
      <c r="F14" s="9"/>
      <c r="G14" s="9"/>
      <c r="I14" s="14"/>
      <c r="J14" s="9"/>
      <c r="K14" s="9"/>
      <c r="L14" s="9"/>
      <c r="M14" s="71"/>
      <c r="N14" s="74"/>
    </row>
    <row r="15" spans="1:19" ht="73.75" x14ac:dyDescent="0.75">
      <c r="A15" s="23"/>
      <c r="B15" s="9" t="str">
        <f>'A1.4 Recipient'!B8</f>
        <v>identifier</v>
      </c>
      <c r="C15" s="9" t="str">
        <f>'A1.4 Recipient'!C8</f>
        <v>A.1.4.1 Recipient identifier</v>
      </c>
      <c r="D15" s="14" t="s">
        <v>844</v>
      </c>
      <c r="E15" s="62"/>
      <c r="F15" s="75" t="s">
        <v>658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845</v>
      </c>
      <c r="E16" s="62"/>
      <c r="F16" s="75" t="s">
        <v>658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5" si="10">IF(MOD(P16,$Q$8)=0,P16/$Q$8-1,INT(P16/$Q$8))</f>
        <v>0</v>
      </c>
      <c r="R16" s="9">
        <f t="shared" ref="R16:R55" si="11">IF(MOD(P16,$Q$8)=0,$Q$8,MOD(P16,$Q$8))</f>
        <v>2</v>
      </c>
      <c r="S16" s="14" t="str" cm="1">
        <f t="array" ref="S16">INDEX('Recipient-ConceptMap-1'!$I$15:$N$270,Q16+1,R16)</f>
        <v>* group[=].element[=].display = ##34#A.1.4.1 Recipient identifier##34#</v>
      </c>
    </row>
    <row r="17" spans="1:19" ht="73.75" x14ac:dyDescent="0.75">
      <c r="A17" s="23"/>
      <c r="B17" s="9" t="str">
        <f>'A1.4 Recipient'!B10</f>
        <v>organization</v>
      </c>
      <c r="C17" s="9" t="str">
        <f>'A1.4 Recipient'!C10</f>
        <v>A.1.4.3 Recipient organization</v>
      </c>
      <c r="D17" s="9" t="s">
        <v>846</v>
      </c>
      <c r="E17" s="9"/>
      <c r="F17" s="75" t="s">
        <v>658</v>
      </c>
      <c r="G17" s="75" t="s">
        <v>891</v>
      </c>
      <c r="H17" s="76"/>
      <c r="I17" s="14" t="str">
        <f t="shared" si="4"/>
        <v>* group[=].element[+].code = #Recipient.organization</v>
      </c>
      <c r="J17" s="14" t="str">
        <f t="shared" si="5"/>
        <v>* group[=].element[=].display = ##34#A.1.4.3 Recipient organization##34#</v>
      </c>
      <c r="K17" s="14" t="str">
        <f t="shared" si="6"/>
        <v>* group[=].element[=].target.code = #extension.ValueReference</v>
      </c>
      <c r="L17" s="14" t="str">
        <f t="shared" si="7"/>
        <v>* group[=].element[=].target.display = ##34###34#</v>
      </c>
      <c r="M17" s="14" t="str">
        <f t="shared" si="8"/>
        <v>* group[=].element[=].target.equivalence = #equivalent</v>
      </c>
      <c r="N17" s="4" t="str">
        <f t="shared" si="9"/>
        <v>* group[=].element[=].target.comment = ##34#ofType(Organization) if the recipient is the organization.##34#</v>
      </c>
      <c r="P17" s="9">
        <v>3</v>
      </c>
      <c r="Q17" s="9">
        <f t="shared" si="10"/>
        <v>0</v>
      </c>
      <c r="R17" s="9">
        <f t="shared" si="11"/>
        <v>3</v>
      </c>
      <c r="S17" s="14" t="str" cm="1">
        <f t="array" ref="S17">INDEX('Recipient-ConceptMap-1'!$I$15:$N$270,Q17+1,R17)</f>
        <v>* group[=].element[=].target.code = #extension.valueReference.identifier</v>
      </c>
    </row>
    <row r="18" spans="1:19" ht="88.5" x14ac:dyDescent="0.75">
      <c r="A18" s="23"/>
      <c r="B18" s="9" t="str">
        <f>'A1.4 Recipient'!B10</f>
        <v>organization</v>
      </c>
      <c r="C18" s="9" t="str">
        <f>'A1.4 Recipient'!C10</f>
        <v>A.1.4.3 Recipient organization</v>
      </c>
      <c r="D18" s="9" t="s">
        <v>847</v>
      </c>
      <c r="E18" s="9"/>
      <c r="F18" s="75" t="s">
        <v>658</v>
      </c>
      <c r="G18" s="75" t="s">
        <v>848</v>
      </c>
      <c r="H18" s="76"/>
      <c r="I18" s="14" t="str">
        <f t="shared" si="4"/>
        <v>* group[=].element[+].code = #Recipient.organization</v>
      </c>
      <c r="J18" s="14" t="str">
        <f t="shared" si="5"/>
        <v>* group[=].element[=].display = ##34#A.1.4.3 Recipient organization##34#</v>
      </c>
      <c r="K18" s="14" t="str">
        <f t="shared" si="6"/>
        <v>* group[=].element[=].target.code = #extension.ValueReference.organization</v>
      </c>
      <c r="L18" s="14" t="str">
        <f t="shared" si="7"/>
        <v>* group[=].element[=].target.display = ##34###34#</v>
      </c>
      <c r="M18" s="14" t="str">
        <f t="shared" si="8"/>
        <v>* group[=].element[=].target.equivalence = #equivalent</v>
      </c>
      <c r="N18" s="4" t="str">
        <f t="shared" si="9"/>
        <v>* group[=].element[=].target.comment = ##34#ofType(PractionerRole),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x14ac:dyDescent="0.75">
      <c r="A19" s="23"/>
      <c r="B19" s="9"/>
      <c r="C19" s="9"/>
      <c r="D19" s="9"/>
      <c r="E19" s="9"/>
      <c r="F19" s="75"/>
      <c r="G19" s="75"/>
      <c r="H19" s="76"/>
      <c r="I19" s="14"/>
      <c r="J19" s="14"/>
      <c r="K19" s="14"/>
      <c r="L19" s="14"/>
      <c r="M19" s="14"/>
      <c r="N19" s="4"/>
      <c r="P19" s="9">
        <v>5</v>
      </c>
      <c r="Q19" s="9">
        <f t="shared" si="10"/>
        <v>0</v>
      </c>
      <c r="R19" s="9">
        <f t="shared" si="11"/>
        <v>5</v>
      </c>
      <c r="S19" s="14" t="str" cm="1">
        <f t="array" ref="S19">INDEX('Recipient-ConceptMap-1'!$I$15:$N$270,Q19+1,R19)</f>
        <v>* group[=].element[=].target.equivalence = #equivalent</v>
      </c>
    </row>
    <row r="20" spans="1:19" x14ac:dyDescent="0.75">
      <c r="A20" s="23"/>
      <c r="B20" s="9"/>
      <c r="C20" s="9"/>
      <c r="D20" s="9"/>
      <c r="E20" s="9"/>
      <c r="F20" s="75"/>
      <c r="G20" s="75"/>
      <c r="H20" s="76"/>
      <c r="I20" s="14"/>
      <c r="J20" s="14"/>
      <c r="K20" s="14"/>
      <c r="L20" s="14"/>
      <c r="M20" s="14"/>
      <c r="N20" s="4"/>
      <c r="P20" s="9">
        <v>6</v>
      </c>
      <c r="Q20" s="9">
        <f t="shared" si="10"/>
        <v>0</v>
      </c>
      <c r="R20" s="9">
        <f t="shared" si="11"/>
        <v>6</v>
      </c>
      <c r="S20" s="14" t="str" cm="1">
        <f t="array" ref="S20">INDEX('Recipient-ConceptMap-1'!$I$15:$N$270,Q20+1,R20)</f>
        <v/>
      </c>
    </row>
    <row r="21" spans="1:19" x14ac:dyDescent="0.75">
      <c r="A21" s="23"/>
      <c r="B21" s="9"/>
      <c r="C21" s="9"/>
      <c r="D21" s="9"/>
      <c r="E21" s="9"/>
      <c r="F21" s="75" t="s">
        <v>658</v>
      </c>
      <c r="G21" s="75"/>
      <c r="H21" s="76"/>
      <c r="I21" s="14"/>
      <c r="J21" s="14"/>
      <c r="K21" s="14"/>
      <c r="L21" s="14"/>
      <c r="M21" s="14"/>
      <c r="N21" s="4"/>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29.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29.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cm="1">
        <f t="array" ref="S39">INDEX('Recipient-ConceptMap-1'!$I$15:$N$270,Q39+1,R39)</f>
        <v>0</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cm="1">
        <f t="array" ref="S40">INDEX('Recipient-ConceptMap-1'!$I$15:$N$270,Q40+1,R40)</f>
        <v>0</v>
      </c>
      <c r="T40"/>
    </row>
    <row r="41" spans="1:20" s="1" customFormat="1" x14ac:dyDescent="0.75">
      <c r="A41"/>
      <c r="B41" s="9"/>
      <c r="C41" s="9"/>
      <c r="F41" s="76"/>
      <c r="G41" s="76"/>
      <c r="H41" s="76"/>
      <c r="I41" s="14"/>
      <c r="J41" s="14"/>
      <c r="K41" s="14"/>
      <c r="L41" s="14"/>
      <c r="M41" s="14"/>
      <c r="N41" s="4"/>
      <c r="P41" s="9">
        <v>27</v>
      </c>
      <c r="Q41" s="9">
        <f t="shared" si="10"/>
        <v>4</v>
      </c>
      <c r="R41" s="9">
        <f t="shared" si="11"/>
        <v>3</v>
      </c>
      <c r="S41" s="14" cm="1">
        <f t="array" ref="S41">INDEX('Recipient-ConceptMap-1'!$I$15:$N$270,Q41+1,R41)</f>
        <v>0</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cm="1">
        <f t="array" ref="S42">INDEX('Recipient-ConceptMap-1'!$I$15:$N$270,Q42+1,R42)</f>
        <v>0</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cm="1">
        <f t="array" ref="S43">INDEX('Recipient-ConceptMap-1'!$I$15:$N$270,Q43+1,R43)</f>
        <v>0</v>
      </c>
      <c r="T43"/>
    </row>
    <row r="44" spans="1:20" s="1" customFormat="1" x14ac:dyDescent="0.75">
      <c r="A44"/>
      <c r="B44" s="9"/>
      <c r="C44"/>
      <c r="F44" s="76"/>
      <c r="G44" s="76"/>
      <c r="H44" s="76"/>
      <c r="I44" s="14"/>
      <c r="J44" s="14"/>
      <c r="K44" s="14"/>
      <c r="L44" s="14"/>
      <c r="M44" s="14"/>
      <c r="N44" s="4"/>
      <c r="P44" s="9">
        <v>30</v>
      </c>
      <c r="Q44" s="9">
        <f t="shared" si="10"/>
        <v>4</v>
      </c>
      <c r="R44" s="9">
        <f t="shared" si="11"/>
        <v>6</v>
      </c>
      <c r="S44" s="14" cm="1">
        <f t="array" ref="S44">INDEX('Recipient-ConceptMap-1'!$I$15:$N$270,Q44+1,R44)</f>
        <v>0</v>
      </c>
      <c r="T44"/>
    </row>
    <row r="45" spans="1:20" s="1" customFormat="1" x14ac:dyDescent="0.75">
      <c r="A45"/>
      <c r="B45" s="9"/>
      <c r="C45"/>
      <c r="F45" s="76"/>
      <c r="G45" s="76"/>
      <c r="H45" s="76"/>
      <c r="I45" s="14"/>
      <c r="J45" s="14"/>
      <c r="K45" s="14"/>
      <c r="L45" s="14"/>
      <c r="M45" s="14"/>
      <c r="N45" s="4"/>
      <c r="P45" s="9">
        <v>31</v>
      </c>
      <c r="Q45" s="9">
        <f t="shared" si="10"/>
        <v>5</v>
      </c>
      <c r="R45" s="9">
        <f t="shared" si="11"/>
        <v>1</v>
      </c>
      <c r="S45" s="14" cm="1">
        <f t="array" ref="S45">INDEX('Recipient-ConceptMap-1'!$I$15:$N$270,Q45+1,R45)</f>
        <v>0</v>
      </c>
      <c r="T45"/>
    </row>
    <row r="46" spans="1:20" s="1" customFormat="1" x14ac:dyDescent="0.75">
      <c r="A46"/>
      <c r="B46" s="9"/>
      <c r="C46"/>
      <c r="F46" s="76"/>
      <c r="G46" s="76"/>
      <c r="H46" s="76"/>
      <c r="I46" s="14"/>
      <c r="J46" s="14"/>
      <c r="K46" s="14"/>
      <c r="L46" s="14"/>
      <c r="M46" s="14"/>
      <c r="N46" s="4"/>
      <c r="P46" s="9">
        <v>32</v>
      </c>
      <c r="Q46" s="9">
        <f t="shared" si="10"/>
        <v>5</v>
      </c>
      <c r="R46" s="9">
        <f t="shared" si="11"/>
        <v>2</v>
      </c>
      <c r="S46" s="14" cm="1">
        <f t="array" ref="S46">INDEX('Recipient-ConceptMap-1'!$I$15:$N$270,Q46+1,R46)</f>
        <v>0</v>
      </c>
      <c r="T46"/>
    </row>
    <row r="47" spans="1:20" s="1" customFormat="1" x14ac:dyDescent="0.75">
      <c r="A47"/>
      <c r="B47" s="9"/>
      <c r="C47"/>
      <c r="F47" s="76"/>
      <c r="G47" s="76"/>
      <c r="H47" s="76"/>
      <c r="I47" s="14"/>
      <c r="J47" s="14"/>
      <c r="K47" s="14"/>
      <c r="L47" s="14"/>
      <c r="M47" s="14"/>
      <c r="N47" s="4"/>
      <c r="P47" s="9">
        <v>33</v>
      </c>
      <c r="Q47" s="9">
        <f t="shared" si="10"/>
        <v>5</v>
      </c>
      <c r="R47" s="9">
        <f t="shared" si="11"/>
        <v>3</v>
      </c>
      <c r="S47" s="14" cm="1">
        <f t="array" ref="S47">INDEX('Recipient-ConceptMap-1'!$I$15:$N$270,Q47+1,R47)</f>
        <v>0</v>
      </c>
      <c r="T47"/>
    </row>
    <row r="48" spans="1:20" s="1" customFormat="1" x14ac:dyDescent="0.75">
      <c r="A48"/>
      <c r="B48" s="9"/>
      <c r="C48"/>
      <c r="F48" s="76"/>
      <c r="G48" s="76"/>
      <c r="H48" s="76"/>
      <c r="I48" s="14"/>
      <c r="J48" s="14"/>
      <c r="K48" s="14"/>
      <c r="L48" s="14"/>
      <c r="M48" s="14"/>
      <c r="N48" s="4"/>
      <c r="P48" s="9">
        <v>34</v>
      </c>
      <c r="Q48" s="9">
        <f t="shared" si="10"/>
        <v>5</v>
      </c>
      <c r="R48" s="9">
        <f t="shared" si="11"/>
        <v>4</v>
      </c>
      <c r="S48" s="14" cm="1">
        <f t="array" ref="S48">INDEX('Recipient-ConceptMap-1'!$I$15:$N$270,Q48+1,R48)</f>
        <v>0</v>
      </c>
      <c r="T48"/>
    </row>
    <row r="49" spans="5:19" x14ac:dyDescent="0.75">
      <c r="F49" s="76"/>
      <c r="G49" s="76"/>
      <c r="H49" s="76"/>
      <c r="I49" s="14"/>
      <c r="J49" s="14"/>
      <c r="K49" s="14"/>
      <c r="L49" s="14"/>
      <c r="M49" s="14"/>
      <c r="N49" s="4"/>
      <c r="P49" s="9">
        <v>35</v>
      </c>
      <c r="Q49" s="9">
        <f t="shared" si="10"/>
        <v>5</v>
      </c>
      <c r="R49" s="9">
        <f t="shared" si="11"/>
        <v>5</v>
      </c>
      <c r="S49" s="14" cm="1">
        <f t="array" ref="S49">INDEX('Recipient-ConceptMap-1'!$I$15:$N$270,Q49+1,R49)</f>
        <v>0</v>
      </c>
    </row>
    <row r="50" spans="5:19" x14ac:dyDescent="0.75">
      <c r="F50" s="76"/>
      <c r="G50" s="76"/>
      <c r="H50" s="76"/>
      <c r="I50" s="14"/>
      <c r="J50" s="14"/>
      <c r="K50" s="14"/>
      <c r="L50" s="14"/>
      <c r="M50" s="14"/>
      <c r="N50" s="4"/>
      <c r="P50" s="9">
        <v>36</v>
      </c>
      <c r="Q50" s="9">
        <f t="shared" si="10"/>
        <v>5</v>
      </c>
      <c r="R50" s="9">
        <f t="shared" si="11"/>
        <v>6</v>
      </c>
      <c r="S50" s="14" cm="1">
        <f t="array" ref="S50">INDEX('Recipient-ConceptMap-1'!$I$15:$N$270,Q50+1,R50)</f>
        <v>0</v>
      </c>
    </row>
    <row r="51" spans="5:19" x14ac:dyDescent="0.75">
      <c r="F51" s="76"/>
      <c r="G51" s="76"/>
      <c r="H51" s="76"/>
      <c r="I51" s="14"/>
      <c r="J51" s="14"/>
      <c r="K51" s="14"/>
      <c r="L51" s="14"/>
      <c r="M51" s="14"/>
      <c r="N51" s="4"/>
      <c r="P51" s="9">
        <v>37</v>
      </c>
      <c r="Q51" s="9">
        <f t="shared" si="10"/>
        <v>6</v>
      </c>
      <c r="R51" s="9">
        <f t="shared" si="11"/>
        <v>1</v>
      </c>
      <c r="S51" s="14" cm="1">
        <f t="array" ref="S51">INDEX('Recipient-ConceptMap-1'!$I$15:$N$270,Q51+1,R51)</f>
        <v>0</v>
      </c>
    </row>
    <row r="52" spans="5:19" x14ac:dyDescent="0.75">
      <c r="F52" s="76"/>
      <c r="G52" s="76"/>
      <c r="H52" s="76"/>
      <c r="I52" s="14"/>
      <c r="J52" s="14"/>
      <c r="K52" s="14"/>
      <c r="L52" s="14"/>
      <c r="M52" s="14"/>
      <c r="N52" s="4"/>
      <c r="P52" s="9">
        <v>38</v>
      </c>
      <c r="Q52" s="9">
        <f t="shared" si="10"/>
        <v>6</v>
      </c>
      <c r="R52" s="9">
        <f t="shared" si="11"/>
        <v>2</v>
      </c>
      <c r="S52" s="14" cm="1">
        <f t="array" ref="S52">INDEX('Recipient-ConceptMap-1'!$I$15:$N$270,Q52+1,R52)</f>
        <v>0</v>
      </c>
    </row>
    <row r="53" spans="5:19" x14ac:dyDescent="0.75">
      <c r="E53"/>
      <c r="I53" s="14"/>
      <c r="J53" s="14"/>
      <c r="K53" s="14"/>
      <c r="L53" s="14"/>
      <c r="M53" s="14"/>
      <c r="N53" s="4"/>
      <c r="P53" s="9">
        <v>39</v>
      </c>
      <c r="Q53" s="9">
        <f t="shared" si="10"/>
        <v>6</v>
      </c>
      <c r="R53" s="9">
        <f t="shared" si="11"/>
        <v>3</v>
      </c>
      <c r="S53" s="14" cm="1">
        <f t="array" ref="S53">INDEX('Recipient-ConceptMap-1'!$I$15:$N$270,Q53+1,R53)</f>
        <v>0</v>
      </c>
    </row>
    <row r="54" spans="5:19" x14ac:dyDescent="0.75">
      <c r="P54" s="9">
        <v>40</v>
      </c>
      <c r="Q54" s="9">
        <f t="shared" si="10"/>
        <v>6</v>
      </c>
      <c r="R54" s="9">
        <f t="shared" si="11"/>
        <v>4</v>
      </c>
      <c r="S54" s="14" cm="1">
        <f t="array" ref="S54">INDEX('Recipient-ConceptMap-1'!$I$15:$N$270,Q54+1,R54)</f>
        <v>0</v>
      </c>
    </row>
    <row r="55" spans="5:19" x14ac:dyDescent="0.75">
      <c r="P55" s="9">
        <v>41</v>
      </c>
      <c r="Q55" s="9">
        <f t="shared" si="10"/>
        <v>6</v>
      </c>
      <c r="R55" s="9">
        <f t="shared" si="11"/>
        <v>5</v>
      </c>
      <c r="S55" s="14" cm="1">
        <f t="array" ref="S55">INDEX('Recipient-ConceptMap-1'!$I$15:$N$270,Q55+1,R55)</f>
        <v>0</v>
      </c>
    </row>
    <row r="56" spans="5:19" x14ac:dyDescent="0.75">
      <c r="P56" s="9">
        <v>42</v>
      </c>
      <c r="Q56" s="9">
        <f t="shared" ref="Q56:Q79" si="12">IF(MOD(P56,$Q$8)=0,P56/$Q$8-1,INT(P56/$Q$8))</f>
        <v>6</v>
      </c>
      <c r="R56" s="9">
        <f t="shared" ref="R56:R79" si="13">IF(MOD(P56,$Q$8)=0,$Q$8,MOD(P56,$Q$8))</f>
        <v>6</v>
      </c>
      <c r="S56" s="14" cm="1">
        <f t="array" ref="S56">INDEX('Recipient-ConceptMap-1'!$I$15:$N$270,Q56+1,R56)</f>
        <v>0</v>
      </c>
    </row>
    <row r="57" spans="5:19" x14ac:dyDescent="0.75">
      <c r="P57" s="9">
        <v>43</v>
      </c>
      <c r="Q57" s="9">
        <f t="shared" si="12"/>
        <v>7</v>
      </c>
      <c r="R57" s="9">
        <f t="shared" si="13"/>
        <v>1</v>
      </c>
      <c r="S57" s="14" cm="1">
        <f t="array" ref="S57">INDEX('Recipient-ConceptMap-1'!$I$15:$N$270,Q57+1,R57)</f>
        <v>0</v>
      </c>
    </row>
    <row r="58" spans="5:19" x14ac:dyDescent="0.75">
      <c r="P58" s="9">
        <v>44</v>
      </c>
      <c r="Q58" s="9">
        <f t="shared" si="12"/>
        <v>7</v>
      </c>
      <c r="R58" s="9">
        <f t="shared" si="13"/>
        <v>2</v>
      </c>
      <c r="S58" s="14" cm="1">
        <f t="array" ref="S58">INDEX('Recipient-ConceptMap-1'!$I$15:$N$270,Q58+1,R58)</f>
        <v>0</v>
      </c>
    </row>
    <row r="59" spans="5:19" x14ac:dyDescent="0.75">
      <c r="P59" s="9">
        <v>45</v>
      </c>
      <c r="Q59" s="9">
        <f t="shared" si="12"/>
        <v>7</v>
      </c>
      <c r="R59" s="9">
        <f t="shared" si="13"/>
        <v>3</v>
      </c>
      <c r="S59" s="14" cm="1">
        <f t="array" ref="S59">INDEX('Recipient-ConceptMap-1'!$I$15:$N$270,Q59+1,R59)</f>
        <v>0</v>
      </c>
    </row>
    <row r="60" spans="5:19" x14ac:dyDescent="0.75">
      <c r="P60" s="9">
        <v>46</v>
      </c>
      <c r="Q60" s="9">
        <f t="shared" si="12"/>
        <v>7</v>
      </c>
      <c r="R60" s="9">
        <f t="shared" si="13"/>
        <v>4</v>
      </c>
      <c r="S60" s="14" cm="1">
        <f t="array" ref="S60">INDEX('Recipient-ConceptMap-1'!$I$15:$N$270,Q60+1,R60)</f>
        <v>0</v>
      </c>
    </row>
    <row r="61" spans="5:19" x14ac:dyDescent="0.75">
      <c r="P61" s="9">
        <v>47</v>
      </c>
      <c r="Q61" s="9">
        <f t="shared" si="12"/>
        <v>7</v>
      </c>
      <c r="R61" s="9">
        <f t="shared" si="13"/>
        <v>5</v>
      </c>
      <c r="S61" s="14" cm="1">
        <f t="array" ref="S61">INDEX('Recipient-ConceptMap-1'!$I$15:$N$270,Q61+1,R61)</f>
        <v>0</v>
      </c>
    </row>
    <row r="62" spans="5:19" x14ac:dyDescent="0.75">
      <c r="P62" s="9">
        <v>48</v>
      </c>
      <c r="Q62" s="9">
        <f t="shared" si="12"/>
        <v>7</v>
      </c>
      <c r="R62" s="9">
        <f t="shared" si="13"/>
        <v>6</v>
      </c>
      <c r="S62" s="14" cm="1">
        <f t="array" ref="S62">INDEX('Recipient-ConceptMap-1'!$I$15:$N$270,Q62+1,R62)</f>
        <v>0</v>
      </c>
    </row>
    <row r="63" spans="5:19" x14ac:dyDescent="0.75">
      <c r="P63" s="9">
        <v>49</v>
      </c>
      <c r="Q63" s="9">
        <f t="shared" si="12"/>
        <v>8</v>
      </c>
      <c r="R63" s="9">
        <f t="shared" si="13"/>
        <v>1</v>
      </c>
      <c r="S63" s="14" cm="1">
        <f t="array" ref="S63">INDEX('Recipient-ConceptMap-1'!$I$15:$N$270,Q63+1,R63)</f>
        <v>0</v>
      </c>
    </row>
    <row r="64" spans="5:19" x14ac:dyDescent="0.75">
      <c r="P64" s="9">
        <v>50</v>
      </c>
      <c r="Q64" s="9">
        <f t="shared" si="12"/>
        <v>8</v>
      </c>
      <c r="R64" s="9">
        <f t="shared" si="13"/>
        <v>2</v>
      </c>
      <c r="S64" s="14" cm="1">
        <f t="array" ref="S64">INDEX('Recipient-ConceptMap-1'!$I$15:$N$270,Q64+1,R64)</f>
        <v>0</v>
      </c>
    </row>
    <row r="65" spans="16:19" x14ac:dyDescent="0.75">
      <c r="P65" s="9">
        <v>51</v>
      </c>
      <c r="Q65" s="9">
        <f t="shared" si="12"/>
        <v>8</v>
      </c>
      <c r="R65" s="9">
        <f t="shared" si="13"/>
        <v>3</v>
      </c>
      <c r="S65" s="14" cm="1">
        <f t="array" ref="S65">INDEX('Recipient-ConceptMap-1'!$I$15:$N$270,Q65+1,R65)</f>
        <v>0</v>
      </c>
    </row>
    <row r="66" spans="16:19" x14ac:dyDescent="0.75">
      <c r="P66" s="9">
        <v>52</v>
      </c>
      <c r="Q66" s="9">
        <f t="shared" si="12"/>
        <v>8</v>
      </c>
      <c r="R66" s="9">
        <f t="shared" si="13"/>
        <v>4</v>
      </c>
      <c r="S66" s="14" cm="1">
        <f t="array" ref="S66">INDEX('Recipient-ConceptMap-1'!$I$15:$N$270,Q66+1,R66)</f>
        <v>0</v>
      </c>
    </row>
    <row r="67" spans="16:19" x14ac:dyDescent="0.75">
      <c r="P67" s="9">
        <v>53</v>
      </c>
      <c r="Q67" s="9">
        <f t="shared" si="12"/>
        <v>8</v>
      </c>
      <c r="R67" s="9">
        <f t="shared" si="13"/>
        <v>5</v>
      </c>
      <c r="S67" s="14" cm="1">
        <f t="array" ref="S67">INDEX('Recipient-ConceptMap-1'!$I$15:$N$270,Q67+1,R67)</f>
        <v>0</v>
      </c>
    </row>
    <row r="68" spans="16:19" x14ac:dyDescent="0.75">
      <c r="P68" s="9">
        <v>54</v>
      </c>
      <c r="Q68" s="9">
        <f t="shared" si="12"/>
        <v>8</v>
      </c>
      <c r="R68" s="9">
        <f t="shared" si="13"/>
        <v>6</v>
      </c>
      <c r="S68" s="14" cm="1">
        <f t="array" ref="S68">INDEX('Recipient-ConceptMap-1'!$I$15:$N$270,Q68+1,R68)</f>
        <v>0</v>
      </c>
    </row>
    <row r="69" spans="16:19" x14ac:dyDescent="0.75">
      <c r="P69" s="9">
        <v>55</v>
      </c>
      <c r="Q69" s="9">
        <f t="shared" si="12"/>
        <v>9</v>
      </c>
      <c r="R69" s="9">
        <f t="shared" si="13"/>
        <v>1</v>
      </c>
      <c r="S69" s="14" cm="1">
        <f t="array" ref="S69">INDEX('Recipient-ConceptMap-1'!$I$15:$N$270,Q69+1,R69)</f>
        <v>0</v>
      </c>
    </row>
    <row r="70" spans="16:19" x14ac:dyDescent="0.75">
      <c r="P70" s="9">
        <v>56</v>
      </c>
      <c r="Q70" s="9">
        <f t="shared" si="12"/>
        <v>9</v>
      </c>
      <c r="R70" s="9">
        <f t="shared" si="13"/>
        <v>2</v>
      </c>
      <c r="S70" s="14" cm="1">
        <f t="array" ref="S70">INDEX('Recipient-ConceptMap-1'!$I$15:$N$270,Q70+1,R70)</f>
        <v>0</v>
      </c>
    </row>
    <row r="71" spans="16:19" x14ac:dyDescent="0.75">
      <c r="P71" s="9">
        <v>57</v>
      </c>
      <c r="Q71" s="9">
        <f t="shared" si="12"/>
        <v>9</v>
      </c>
      <c r="R71" s="9">
        <f t="shared" si="13"/>
        <v>3</v>
      </c>
      <c r="S71" s="14" cm="1">
        <f t="array" ref="S71">INDEX('Recipient-ConceptMap-1'!$I$15:$N$270,Q71+1,R71)</f>
        <v>0</v>
      </c>
    </row>
    <row r="72" spans="16:19" x14ac:dyDescent="0.75">
      <c r="P72" s="9">
        <v>58</v>
      </c>
      <c r="Q72" s="9">
        <f t="shared" si="12"/>
        <v>9</v>
      </c>
      <c r="R72" s="9">
        <f t="shared" si="13"/>
        <v>4</v>
      </c>
      <c r="S72" s="14" cm="1">
        <f t="array" ref="S72">INDEX('Recipient-ConceptMap-1'!$I$15:$N$270,Q72+1,R72)</f>
        <v>0</v>
      </c>
    </row>
    <row r="73" spans="16:19" x14ac:dyDescent="0.75">
      <c r="P73" s="9">
        <v>59</v>
      </c>
      <c r="Q73" s="9">
        <f t="shared" si="12"/>
        <v>9</v>
      </c>
      <c r="R73" s="9">
        <f t="shared" si="13"/>
        <v>5</v>
      </c>
      <c r="S73" s="14" cm="1">
        <f t="array" ref="S73">INDEX('Recipient-ConceptMap-1'!$I$15:$N$270,Q73+1,R73)</f>
        <v>0</v>
      </c>
    </row>
    <row r="74" spans="16:19" x14ac:dyDescent="0.75">
      <c r="P74" s="9">
        <v>60</v>
      </c>
      <c r="Q74" s="9">
        <f t="shared" si="12"/>
        <v>9</v>
      </c>
      <c r="R74" s="9">
        <f t="shared" si="13"/>
        <v>6</v>
      </c>
      <c r="S74" s="14" cm="1">
        <f t="array" ref="S74">INDEX('Recipient-ConceptMap-1'!$I$15:$N$270,Q74+1,R74)</f>
        <v>0</v>
      </c>
    </row>
    <row r="75" spans="16:19" x14ac:dyDescent="0.75">
      <c r="P75" s="9">
        <v>61</v>
      </c>
      <c r="Q75" s="9">
        <f t="shared" si="12"/>
        <v>10</v>
      </c>
      <c r="R75" s="9">
        <f t="shared" si="13"/>
        <v>1</v>
      </c>
      <c r="S75" s="14" cm="1">
        <f t="array" ref="S75">INDEX('Recipient-ConceptMap-1'!$I$15:$N$270,Q75+1,R75)</f>
        <v>0</v>
      </c>
    </row>
    <row r="76" spans="16:19" x14ac:dyDescent="0.75">
      <c r="P76" s="9">
        <v>62</v>
      </c>
      <c r="Q76" s="9">
        <f t="shared" si="12"/>
        <v>10</v>
      </c>
      <c r="R76" s="9">
        <f t="shared" si="13"/>
        <v>2</v>
      </c>
      <c r="S76" s="14" cm="1">
        <f t="array" ref="S76">INDEX('Recipient-ConceptMap-1'!$I$15:$N$270,Q76+1,R76)</f>
        <v>0</v>
      </c>
    </row>
    <row r="77" spans="16:19" x14ac:dyDescent="0.75">
      <c r="P77" s="9">
        <v>63</v>
      </c>
      <c r="Q77" s="9">
        <f t="shared" si="12"/>
        <v>10</v>
      </c>
      <c r="R77" s="9">
        <f t="shared" si="13"/>
        <v>3</v>
      </c>
      <c r="S77" s="14" cm="1">
        <f t="array" ref="S77">INDEX('Recipient-ConceptMap-1'!$I$15:$N$270,Q77+1,R77)</f>
        <v>0</v>
      </c>
    </row>
    <row r="78" spans="16:19" x14ac:dyDescent="0.75">
      <c r="P78" s="9">
        <v>64</v>
      </c>
      <c r="Q78" s="9">
        <f t="shared" si="12"/>
        <v>10</v>
      </c>
      <c r="R78" s="9">
        <f t="shared" si="13"/>
        <v>4</v>
      </c>
      <c r="S78" s="14" cm="1">
        <f t="array" ref="S78">INDEX('Recipient-ConceptMap-1'!$I$15:$N$270,Q78+1,R78)</f>
        <v>0</v>
      </c>
    </row>
    <row r="79" spans="16:19" x14ac:dyDescent="0.75">
      <c r="P79" s="9">
        <v>65</v>
      </c>
      <c r="Q79" s="9">
        <f t="shared" si="12"/>
        <v>10</v>
      </c>
      <c r="R79" s="9">
        <f t="shared" si="13"/>
        <v>5</v>
      </c>
      <c r="S79" s="14" cm="1">
        <f t="array" ref="S79">INDEX('Recipient-ConceptMap-1'!$I$15:$N$270,Q79+1,R79)</f>
        <v>0</v>
      </c>
    </row>
    <row r="80" spans="16:19" x14ac:dyDescent="0.75">
      <c r="P80" s="9">
        <v>66</v>
      </c>
      <c r="Q80" s="9">
        <f t="shared" ref="Q80" si="14">IF(MOD(P80,$Q$8)=0,P80/$Q$8-1,INT(P80/$Q$8))</f>
        <v>10</v>
      </c>
      <c r="R80" s="9">
        <f t="shared" ref="R80" si="15">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6">IF(MOD(P121,$Q$8)=0,P121/$Q$8-1,INT(P121/$Q$8))</f>
        <v>17</v>
      </c>
      <c r="R121" s="9">
        <f t="shared" ref="R121:R184" si="17">IF(MOD(P121,$Q$8)=0,$Q$8,MOD(P121,$Q$8))</f>
        <v>5</v>
      </c>
      <c r="S121" s="14" cm="1">
        <f t="array" ref="S121">INDEX('Recipient-ConceptMap-1'!$I$15:$N$270,Q121+1,R121)</f>
        <v>0</v>
      </c>
    </row>
    <row r="122" spans="16:19" x14ac:dyDescent="0.75">
      <c r="P122" s="9">
        <v>108</v>
      </c>
      <c r="Q122" s="9">
        <f t="shared" si="16"/>
        <v>17</v>
      </c>
      <c r="R122" s="9">
        <f t="shared" si="17"/>
        <v>6</v>
      </c>
      <c r="S122" s="14" cm="1">
        <f t="array" ref="S122">INDEX('Recipient-ConceptMap-1'!$I$15:$N$270,Q122+1,R122)</f>
        <v>0</v>
      </c>
    </row>
    <row r="123" spans="16:19" x14ac:dyDescent="0.75">
      <c r="P123" s="9">
        <v>109</v>
      </c>
      <c r="Q123" s="9">
        <f t="shared" si="16"/>
        <v>18</v>
      </c>
      <c r="R123" s="9">
        <f t="shared" si="17"/>
        <v>1</v>
      </c>
      <c r="S123" s="14" cm="1">
        <f t="array" ref="S123">INDEX('Recipient-ConceptMap-1'!$I$15:$N$270,Q123+1,R123)</f>
        <v>0</v>
      </c>
    </row>
    <row r="124" spans="16:19" x14ac:dyDescent="0.75">
      <c r="P124" s="9">
        <v>110</v>
      </c>
      <c r="Q124" s="9">
        <f t="shared" si="16"/>
        <v>18</v>
      </c>
      <c r="R124" s="9">
        <f t="shared" si="17"/>
        <v>2</v>
      </c>
      <c r="S124" s="14" cm="1">
        <f t="array" ref="S124">INDEX('Recipient-ConceptMap-1'!$I$15:$N$270,Q124+1,R124)</f>
        <v>0</v>
      </c>
    </row>
    <row r="125" spans="16:19" x14ac:dyDescent="0.75">
      <c r="P125" s="9">
        <v>111</v>
      </c>
      <c r="Q125" s="9">
        <f t="shared" si="16"/>
        <v>18</v>
      </c>
      <c r="R125" s="9">
        <f t="shared" si="17"/>
        <v>3</v>
      </c>
      <c r="S125" s="14" cm="1">
        <f t="array" ref="S125">INDEX('Recipient-ConceptMap-1'!$I$15:$N$270,Q125+1,R125)</f>
        <v>0</v>
      </c>
    </row>
    <row r="126" spans="16:19" x14ac:dyDescent="0.75">
      <c r="P126" s="9">
        <v>112</v>
      </c>
      <c r="Q126" s="9">
        <f t="shared" si="16"/>
        <v>18</v>
      </c>
      <c r="R126" s="9">
        <f t="shared" si="17"/>
        <v>4</v>
      </c>
      <c r="S126" s="14" cm="1">
        <f t="array" ref="S126">INDEX('Recipient-ConceptMap-1'!$I$15:$N$270,Q126+1,R126)</f>
        <v>0</v>
      </c>
    </row>
    <row r="127" spans="16:19" x14ac:dyDescent="0.75">
      <c r="P127" s="9">
        <v>113</v>
      </c>
      <c r="Q127" s="9">
        <f t="shared" si="16"/>
        <v>18</v>
      </c>
      <c r="R127" s="9">
        <f t="shared" si="17"/>
        <v>5</v>
      </c>
      <c r="S127" s="14" cm="1">
        <f t="array" ref="S127">INDEX('Recipient-ConceptMap-1'!$I$15:$N$270,Q127+1,R127)</f>
        <v>0</v>
      </c>
    </row>
    <row r="128" spans="16:19" x14ac:dyDescent="0.75">
      <c r="P128" s="9">
        <v>114</v>
      </c>
      <c r="Q128" s="9">
        <f t="shared" si="16"/>
        <v>18</v>
      </c>
      <c r="R128" s="9">
        <f t="shared" si="17"/>
        <v>6</v>
      </c>
      <c r="S128" s="14" cm="1">
        <f t="array" ref="S128">INDEX('Recipient-ConceptMap-1'!$I$15:$N$270,Q128+1,R128)</f>
        <v>0</v>
      </c>
    </row>
    <row r="129" spans="16:19" x14ac:dyDescent="0.75">
      <c r="P129" s="9">
        <v>115</v>
      </c>
      <c r="Q129" s="9">
        <f t="shared" si="16"/>
        <v>19</v>
      </c>
      <c r="R129" s="9">
        <f t="shared" si="17"/>
        <v>1</v>
      </c>
      <c r="S129" s="14" cm="1">
        <f t="array" ref="S129">INDEX('Recipient-ConceptMap-1'!$I$15:$N$270,Q129+1,R129)</f>
        <v>0</v>
      </c>
    </row>
    <row r="130" spans="16:19" x14ac:dyDescent="0.75">
      <c r="P130" s="9">
        <v>116</v>
      </c>
      <c r="Q130" s="9">
        <f t="shared" si="16"/>
        <v>19</v>
      </c>
      <c r="R130" s="9">
        <f t="shared" si="17"/>
        <v>2</v>
      </c>
      <c r="S130" s="14" cm="1">
        <f t="array" ref="S130">INDEX('Recipient-ConceptMap-1'!$I$15:$N$270,Q130+1,R130)</f>
        <v>0</v>
      </c>
    </row>
    <row r="131" spans="16:19" x14ac:dyDescent="0.75">
      <c r="P131" s="9">
        <v>117</v>
      </c>
      <c r="Q131" s="9">
        <f t="shared" si="16"/>
        <v>19</v>
      </c>
      <c r="R131" s="9">
        <f t="shared" si="17"/>
        <v>3</v>
      </c>
      <c r="S131" s="14" cm="1">
        <f t="array" ref="S131">INDEX('Recipient-ConceptMap-1'!$I$15:$N$270,Q131+1,R131)</f>
        <v>0</v>
      </c>
    </row>
    <row r="132" spans="16:19" x14ac:dyDescent="0.75">
      <c r="P132" s="9">
        <v>118</v>
      </c>
      <c r="Q132" s="9">
        <f t="shared" si="16"/>
        <v>19</v>
      </c>
      <c r="R132" s="9">
        <f t="shared" si="17"/>
        <v>4</v>
      </c>
      <c r="S132" s="14" cm="1">
        <f t="array" ref="S132">INDEX('Recipient-ConceptMap-1'!$I$15:$N$270,Q132+1,R132)</f>
        <v>0</v>
      </c>
    </row>
    <row r="133" spans="16:19" x14ac:dyDescent="0.75">
      <c r="P133" s="9">
        <v>119</v>
      </c>
      <c r="Q133" s="9">
        <f t="shared" si="16"/>
        <v>19</v>
      </c>
      <c r="R133" s="9">
        <f t="shared" si="17"/>
        <v>5</v>
      </c>
      <c r="S133" s="14" cm="1">
        <f t="array" ref="S133">INDEX('Recipient-ConceptMap-1'!$I$15:$N$270,Q133+1,R133)</f>
        <v>0</v>
      </c>
    </row>
    <row r="134" spans="16:19" x14ac:dyDescent="0.75">
      <c r="P134" s="9">
        <v>120</v>
      </c>
      <c r="Q134" s="9">
        <f t="shared" si="16"/>
        <v>19</v>
      </c>
      <c r="R134" s="9">
        <f t="shared" si="17"/>
        <v>6</v>
      </c>
      <c r="S134" s="14" cm="1">
        <f t="array" ref="S134">INDEX('Recipient-ConceptMap-1'!$I$15:$N$270,Q134+1,R134)</f>
        <v>0</v>
      </c>
    </row>
    <row r="135" spans="16:19" x14ac:dyDescent="0.75">
      <c r="P135" s="9">
        <v>121</v>
      </c>
      <c r="Q135" s="9">
        <f t="shared" si="16"/>
        <v>20</v>
      </c>
      <c r="R135" s="9">
        <f t="shared" si="17"/>
        <v>1</v>
      </c>
      <c r="S135" s="14" cm="1">
        <f t="array" ref="S135">INDEX('Recipient-ConceptMap-1'!$I$15:$N$270,Q135+1,R135)</f>
        <v>0</v>
      </c>
    </row>
    <row r="136" spans="16:19" x14ac:dyDescent="0.75">
      <c r="P136" s="9">
        <v>122</v>
      </c>
      <c r="Q136" s="9">
        <f t="shared" si="16"/>
        <v>20</v>
      </c>
      <c r="R136" s="9">
        <f t="shared" si="17"/>
        <v>2</v>
      </c>
      <c r="S136" s="14" cm="1">
        <f t="array" ref="S136">INDEX('Recipient-ConceptMap-1'!$I$15:$N$270,Q136+1,R136)</f>
        <v>0</v>
      </c>
    </row>
    <row r="137" spans="16:19" x14ac:dyDescent="0.75">
      <c r="P137" s="9">
        <v>123</v>
      </c>
      <c r="Q137" s="9">
        <f t="shared" si="16"/>
        <v>20</v>
      </c>
      <c r="R137" s="9">
        <f t="shared" si="17"/>
        <v>3</v>
      </c>
      <c r="S137" s="14" cm="1">
        <f t="array" ref="S137">INDEX('Recipient-ConceptMap-1'!$I$15:$N$270,Q137+1,R137)</f>
        <v>0</v>
      </c>
    </row>
    <row r="138" spans="16:19" x14ac:dyDescent="0.75">
      <c r="P138" s="9">
        <v>124</v>
      </c>
      <c r="Q138" s="9">
        <f t="shared" si="16"/>
        <v>20</v>
      </c>
      <c r="R138" s="9">
        <f t="shared" si="17"/>
        <v>4</v>
      </c>
      <c r="S138" s="14" cm="1">
        <f t="array" ref="S138">INDEX('Recipient-ConceptMap-1'!$I$15:$N$270,Q138+1,R138)</f>
        <v>0</v>
      </c>
    </row>
    <row r="139" spans="16:19" x14ac:dyDescent="0.75">
      <c r="P139" s="9">
        <v>125</v>
      </c>
      <c r="Q139" s="9">
        <f t="shared" si="16"/>
        <v>20</v>
      </c>
      <c r="R139" s="9">
        <f t="shared" si="17"/>
        <v>5</v>
      </c>
      <c r="S139" s="14" cm="1">
        <f t="array" ref="S139">INDEX('Recipient-ConceptMap-1'!$I$15:$N$270,Q139+1,R139)</f>
        <v>0</v>
      </c>
    </row>
    <row r="140" spans="16:19" x14ac:dyDescent="0.75">
      <c r="P140" s="9">
        <v>126</v>
      </c>
      <c r="Q140" s="9">
        <f t="shared" si="16"/>
        <v>20</v>
      </c>
      <c r="R140" s="9">
        <f t="shared" si="17"/>
        <v>6</v>
      </c>
      <c r="S140" s="14" cm="1">
        <f t="array" ref="S140">INDEX('Recipient-ConceptMap-1'!$I$15:$N$270,Q140+1,R140)</f>
        <v>0</v>
      </c>
    </row>
    <row r="141" spans="16:19" x14ac:dyDescent="0.75">
      <c r="P141" s="9">
        <v>127</v>
      </c>
      <c r="Q141" s="9">
        <f t="shared" si="16"/>
        <v>21</v>
      </c>
      <c r="R141" s="9">
        <f t="shared" si="17"/>
        <v>1</v>
      </c>
      <c r="S141" s="14" cm="1">
        <f t="array" ref="S141">INDEX('Recipient-ConceptMap-1'!$I$15:$N$270,Q141+1,R141)</f>
        <v>0</v>
      </c>
    </row>
    <row r="142" spans="16:19" x14ac:dyDescent="0.75">
      <c r="P142" s="9">
        <v>128</v>
      </c>
      <c r="Q142" s="9">
        <f t="shared" si="16"/>
        <v>21</v>
      </c>
      <c r="R142" s="9">
        <f t="shared" si="17"/>
        <v>2</v>
      </c>
      <c r="S142" s="14" cm="1">
        <f t="array" ref="S142">INDEX('Recipient-ConceptMap-1'!$I$15:$N$270,Q142+1,R142)</f>
        <v>0</v>
      </c>
    </row>
    <row r="143" spans="16:19" x14ac:dyDescent="0.75">
      <c r="P143" s="9">
        <v>129</v>
      </c>
      <c r="Q143" s="9">
        <f t="shared" si="16"/>
        <v>21</v>
      </c>
      <c r="R143" s="9">
        <f t="shared" si="17"/>
        <v>3</v>
      </c>
      <c r="S143" s="14" cm="1">
        <f t="array" ref="S143">INDEX('Recipient-ConceptMap-1'!$I$15:$N$270,Q143+1,R143)</f>
        <v>0</v>
      </c>
    </row>
    <row r="144" spans="16:19" x14ac:dyDescent="0.75">
      <c r="P144" s="9">
        <v>130</v>
      </c>
      <c r="Q144" s="9">
        <f t="shared" si="16"/>
        <v>21</v>
      </c>
      <c r="R144" s="9">
        <f t="shared" si="17"/>
        <v>4</v>
      </c>
      <c r="S144" s="14" cm="1">
        <f t="array" ref="S144">INDEX('Recipient-ConceptMap-1'!$I$15:$N$270,Q144+1,R144)</f>
        <v>0</v>
      </c>
    </row>
    <row r="145" spans="16:19" x14ac:dyDescent="0.75">
      <c r="P145" s="9">
        <v>131</v>
      </c>
      <c r="Q145" s="9">
        <f t="shared" si="16"/>
        <v>21</v>
      </c>
      <c r="R145" s="9">
        <f t="shared" si="17"/>
        <v>5</v>
      </c>
      <c r="S145" s="14" cm="1">
        <f t="array" ref="S145">INDEX('Recipient-ConceptMap-1'!$I$15:$N$270,Q145+1,R145)</f>
        <v>0</v>
      </c>
    </row>
    <row r="146" spans="16:19" x14ac:dyDescent="0.75">
      <c r="P146" s="9">
        <v>132</v>
      </c>
      <c r="Q146" s="9">
        <f t="shared" si="16"/>
        <v>21</v>
      </c>
      <c r="R146" s="9">
        <f t="shared" si="17"/>
        <v>6</v>
      </c>
      <c r="S146" s="14" cm="1">
        <f t="array" ref="S146">INDEX('Recipient-ConceptMap-1'!$I$15:$N$270,Q146+1,R146)</f>
        <v>0</v>
      </c>
    </row>
    <row r="147" spans="16:19" x14ac:dyDescent="0.75">
      <c r="P147" s="9">
        <v>133</v>
      </c>
      <c r="Q147" s="9">
        <f t="shared" si="16"/>
        <v>22</v>
      </c>
      <c r="R147" s="9">
        <f t="shared" si="17"/>
        <v>1</v>
      </c>
      <c r="S147" s="14" cm="1">
        <f t="array" ref="S147">INDEX('Recipient-ConceptMap-1'!$I$15:$N$270,Q147+1,R147)</f>
        <v>0</v>
      </c>
    </row>
    <row r="148" spans="16:19" x14ac:dyDescent="0.75">
      <c r="P148" s="9">
        <v>134</v>
      </c>
      <c r="Q148" s="9">
        <f t="shared" si="16"/>
        <v>22</v>
      </c>
      <c r="R148" s="9">
        <f t="shared" si="17"/>
        <v>2</v>
      </c>
      <c r="S148" s="14" cm="1">
        <f t="array" ref="S148">INDEX('Recipient-ConceptMap-1'!$I$15:$N$270,Q148+1,R148)</f>
        <v>0</v>
      </c>
    </row>
    <row r="149" spans="16:19" x14ac:dyDescent="0.75">
      <c r="P149" s="9">
        <v>135</v>
      </c>
      <c r="Q149" s="9">
        <f t="shared" si="16"/>
        <v>22</v>
      </c>
      <c r="R149" s="9">
        <f t="shared" si="17"/>
        <v>3</v>
      </c>
      <c r="S149" s="14" cm="1">
        <f t="array" ref="S149">INDEX('Recipient-ConceptMap-1'!$I$15:$N$270,Q149+1,R149)</f>
        <v>0</v>
      </c>
    </row>
    <row r="150" spans="16:19" x14ac:dyDescent="0.75">
      <c r="P150" s="9">
        <v>136</v>
      </c>
      <c r="Q150" s="9">
        <f t="shared" si="16"/>
        <v>22</v>
      </c>
      <c r="R150" s="9">
        <f t="shared" si="17"/>
        <v>4</v>
      </c>
      <c r="S150" s="14" cm="1">
        <f t="array" ref="S150">INDEX('Recipient-ConceptMap-1'!$I$15:$N$270,Q150+1,R150)</f>
        <v>0</v>
      </c>
    </row>
    <row r="151" spans="16:19" x14ac:dyDescent="0.75">
      <c r="P151" s="9">
        <v>137</v>
      </c>
      <c r="Q151" s="9">
        <f t="shared" si="16"/>
        <v>22</v>
      </c>
      <c r="R151" s="9">
        <f t="shared" si="17"/>
        <v>5</v>
      </c>
      <c r="S151" s="14" cm="1">
        <f t="array" ref="S151">INDEX('Recipient-ConceptMap-1'!$I$15:$N$270,Q151+1,R151)</f>
        <v>0</v>
      </c>
    </row>
    <row r="152" spans="16:19" x14ac:dyDescent="0.75">
      <c r="P152" s="9">
        <v>138</v>
      </c>
      <c r="Q152" s="9">
        <f t="shared" si="16"/>
        <v>22</v>
      </c>
      <c r="R152" s="9">
        <f t="shared" si="17"/>
        <v>6</v>
      </c>
      <c r="S152" s="14" cm="1">
        <f t="array" ref="S152">INDEX('Recipient-ConceptMap-1'!$I$15:$N$270,Q152+1,R152)</f>
        <v>0</v>
      </c>
    </row>
    <row r="153" spans="16:19" x14ac:dyDescent="0.75">
      <c r="P153" s="9">
        <v>139</v>
      </c>
      <c r="Q153" s="9">
        <f t="shared" si="16"/>
        <v>23</v>
      </c>
      <c r="R153" s="9">
        <f t="shared" si="17"/>
        <v>1</v>
      </c>
      <c r="S153" s="14" cm="1">
        <f t="array" ref="S153">INDEX('Recipient-ConceptMap-1'!$I$15:$N$270,Q153+1,R153)</f>
        <v>0</v>
      </c>
    </row>
    <row r="154" spans="16:19" x14ac:dyDescent="0.75">
      <c r="P154" s="9">
        <v>140</v>
      </c>
      <c r="Q154" s="9">
        <f t="shared" si="16"/>
        <v>23</v>
      </c>
      <c r="R154" s="9">
        <f t="shared" si="17"/>
        <v>2</v>
      </c>
      <c r="S154" s="14" cm="1">
        <f t="array" ref="S154">INDEX('Recipient-ConceptMap-1'!$I$15:$N$270,Q154+1,R154)</f>
        <v>0</v>
      </c>
    </row>
    <row r="155" spans="16:19" x14ac:dyDescent="0.75">
      <c r="P155" s="9">
        <v>141</v>
      </c>
      <c r="Q155" s="9">
        <f t="shared" si="16"/>
        <v>23</v>
      </c>
      <c r="R155" s="9">
        <f t="shared" si="17"/>
        <v>3</v>
      </c>
      <c r="S155" s="14" cm="1">
        <f t="array" ref="S155">INDEX('Recipient-ConceptMap-1'!$I$15:$N$270,Q155+1,R155)</f>
        <v>0</v>
      </c>
    </row>
    <row r="156" spans="16:19" x14ac:dyDescent="0.75">
      <c r="P156" s="9">
        <v>142</v>
      </c>
      <c r="Q156" s="9">
        <f t="shared" si="16"/>
        <v>23</v>
      </c>
      <c r="R156" s="9">
        <f t="shared" si="17"/>
        <v>4</v>
      </c>
      <c r="S156" s="14" cm="1">
        <f t="array" ref="S156">INDEX('Recipient-ConceptMap-1'!$I$15:$N$270,Q156+1,R156)</f>
        <v>0</v>
      </c>
    </row>
    <row r="157" spans="16:19" x14ac:dyDescent="0.75">
      <c r="P157" s="9">
        <v>143</v>
      </c>
      <c r="Q157" s="9">
        <f t="shared" si="16"/>
        <v>23</v>
      </c>
      <c r="R157" s="9">
        <f t="shared" si="17"/>
        <v>5</v>
      </c>
      <c r="S157" s="14" cm="1">
        <f t="array" ref="S157">INDEX('Recipient-ConceptMap-1'!$I$15:$N$270,Q157+1,R157)</f>
        <v>0</v>
      </c>
    </row>
    <row r="158" spans="16:19" x14ac:dyDescent="0.75">
      <c r="P158" s="9">
        <v>144</v>
      </c>
      <c r="Q158" s="9">
        <f t="shared" si="16"/>
        <v>23</v>
      </c>
      <c r="R158" s="9">
        <f t="shared" si="17"/>
        <v>6</v>
      </c>
      <c r="S158" s="14" cm="1">
        <f t="array" ref="S158">INDEX('Recipient-ConceptMap-1'!$I$15:$N$270,Q158+1,R158)</f>
        <v>0</v>
      </c>
    </row>
    <row r="159" spans="16:19" x14ac:dyDescent="0.75">
      <c r="P159" s="9">
        <v>145</v>
      </c>
      <c r="Q159" s="9">
        <f t="shared" si="16"/>
        <v>24</v>
      </c>
      <c r="R159" s="9">
        <f t="shared" si="17"/>
        <v>1</v>
      </c>
      <c r="S159" s="14" cm="1">
        <f t="array" ref="S159">INDEX('Recipient-ConceptMap-1'!$I$15:$N$270,Q159+1,R159)</f>
        <v>0</v>
      </c>
    </row>
    <row r="160" spans="16:19" x14ac:dyDescent="0.75">
      <c r="P160" s="9">
        <v>146</v>
      </c>
      <c r="Q160" s="9">
        <f t="shared" si="16"/>
        <v>24</v>
      </c>
      <c r="R160" s="9">
        <f t="shared" si="17"/>
        <v>2</v>
      </c>
      <c r="S160" s="14" cm="1">
        <f t="array" ref="S160">INDEX('Recipient-ConceptMap-1'!$I$15:$N$270,Q160+1,R160)</f>
        <v>0</v>
      </c>
    </row>
    <row r="161" spans="16:19" x14ac:dyDescent="0.75">
      <c r="P161" s="9">
        <v>147</v>
      </c>
      <c r="Q161" s="9">
        <f t="shared" si="16"/>
        <v>24</v>
      </c>
      <c r="R161" s="9">
        <f t="shared" si="17"/>
        <v>3</v>
      </c>
      <c r="S161" s="14" cm="1">
        <f t="array" ref="S161">INDEX('Recipient-ConceptMap-1'!$I$15:$N$270,Q161+1,R161)</f>
        <v>0</v>
      </c>
    </row>
    <row r="162" spans="16:19" x14ac:dyDescent="0.75">
      <c r="P162" s="9">
        <v>148</v>
      </c>
      <c r="Q162" s="9">
        <f t="shared" si="16"/>
        <v>24</v>
      </c>
      <c r="R162" s="9">
        <f t="shared" si="17"/>
        <v>4</v>
      </c>
      <c r="S162" s="14" cm="1">
        <f t="array" ref="S162">INDEX('Recipient-ConceptMap-1'!$I$15:$N$270,Q162+1,R162)</f>
        <v>0</v>
      </c>
    </row>
    <row r="163" spans="16:19" x14ac:dyDescent="0.75">
      <c r="P163" s="9">
        <v>149</v>
      </c>
      <c r="Q163" s="9">
        <f t="shared" si="16"/>
        <v>24</v>
      </c>
      <c r="R163" s="9">
        <f t="shared" si="17"/>
        <v>5</v>
      </c>
      <c r="S163" s="14" cm="1">
        <f t="array" ref="S163">INDEX('Recipient-ConceptMap-1'!$I$15:$N$270,Q163+1,R163)</f>
        <v>0</v>
      </c>
    </row>
    <row r="164" spans="16:19" x14ac:dyDescent="0.75">
      <c r="P164" s="9">
        <v>150</v>
      </c>
      <c r="Q164" s="9">
        <f t="shared" si="16"/>
        <v>24</v>
      </c>
      <c r="R164" s="9">
        <f t="shared" si="17"/>
        <v>6</v>
      </c>
      <c r="S164" s="14" cm="1">
        <f t="array" ref="S164">INDEX('Recipient-ConceptMap-1'!$I$15:$N$270,Q164+1,R164)</f>
        <v>0</v>
      </c>
    </row>
    <row r="165" spans="16:19" x14ac:dyDescent="0.75">
      <c r="P165" s="9">
        <v>151</v>
      </c>
      <c r="Q165" s="9">
        <f t="shared" si="16"/>
        <v>25</v>
      </c>
      <c r="R165" s="9">
        <f t="shared" si="17"/>
        <v>1</v>
      </c>
      <c r="S165" s="14" cm="1">
        <f t="array" ref="S165">INDEX('Recipient-ConceptMap-1'!$I$15:$N$270,Q165+1,R165)</f>
        <v>0</v>
      </c>
    </row>
    <row r="166" spans="16:19" x14ac:dyDescent="0.75">
      <c r="P166" s="9">
        <v>152</v>
      </c>
      <c r="Q166" s="9">
        <f t="shared" si="16"/>
        <v>25</v>
      </c>
      <c r="R166" s="9">
        <f t="shared" si="17"/>
        <v>2</v>
      </c>
      <c r="S166" s="14" cm="1">
        <f t="array" ref="S166">INDEX('Recipient-ConceptMap-1'!$I$15:$N$270,Q166+1,R166)</f>
        <v>0</v>
      </c>
    </row>
    <row r="167" spans="16:19" x14ac:dyDescent="0.75">
      <c r="P167" s="9">
        <v>153</v>
      </c>
      <c r="Q167" s="9">
        <f t="shared" si="16"/>
        <v>25</v>
      </c>
      <c r="R167" s="9">
        <f t="shared" si="17"/>
        <v>3</v>
      </c>
      <c r="S167" s="14" cm="1">
        <f t="array" ref="S167">INDEX('Recipient-ConceptMap-1'!$I$15:$N$270,Q167+1,R167)</f>
        <v>0</v>
      </c>
    </row>
    <row r="168" spans="16:19" x14ac:dyDescent="0.75">
      <c r="P168" s="9">
        <v>154</v>
      </c>
      <c r="Q168" s="9">
        <f t="shared" si="16"/>
        <v>25</v>
      </c>
      <c r="R168" s="9">
        <f t="shared" si="17"/>
        <v>4</v>
      </c>
      <c r="S168" s="14" cm="1">
        <f t="array" ref="S168">INDEX('Recipient-ConceptMap-1'!$I$15:$N$270,Q168+1,R168)</f>
        <v>0</v>
      </c>
    </row>
    <row r="169" spans="16:19" x14ac:dyDescent="0.75">
      <c r="P169" s="9">
        <v>155</v>
      </c>
      <c r="Q169" s="9">
        <f t="shared" si="16"/>
        <v>25</v>
      </c>
      <c r="R169" s="9">
        <f t="shared" si="17"/>
        <v>5</v>
      </c>
      <c r="S169" s="14" cm="1">
        <f t="array" ref="S169">INDEX('Recipient-ConceptMap-1'!$I$15:$N$270,Q169+1,R169)</f>
        <v>0</v>
      </c>
    </row>
    <row r="170" spans="16:19" x14ac:dyDescent="0.75">
      <c r="P170" s="9">
        <v>156</v>
      </c>
      <c r="Q170" s="9">
        <f t="shared" si="16"/>
        <v>25</v>
      </c>
      <c r="R170" s="9">
        <f t="shared" si="17"/>
        <v>6</v>
      </c>
      <c r="S170" s="14" cm="1">
        <f t="array" ref="S170">INDEX('Recipient-ConceptMap-1'!$I$15:$N$270,Q170+1,R170)</f>
        <v>0</v>
      </c>
    </row>
    <row r="171" spans="16:19" x14ac:dyDescent="0.75">
      <c r="P171" s="9">
        <v>157</v>
      </c>
      <c r="Q171" s="9">
        <f t="shared" si="16"/>
        <v>26</v>
      </c>
      <c r="R171" s="9">
        <f t="shared" si="17"/>
        <v>1</v>
      </c>
      <c r="S171" s="14" cm="1">
        <f t="array" ref="S171">INDEX('Recipient-ConceptMap-1'!$I$15:$N$270,Q171+1,R171)</f>
        <v>0</v>
      </c>
    </row>
    <row r="172" spans="16:19" x14ac:dyDescent="0.75">
      <c r="P172" s="9">
        <v>158</v>
      </c>
      <c r="Q172" s="9">
        <f t="shared" si="16"/>
        <v>26</v>
      </c>
      <c r="R172" s="9">
        <f t="shared" si="17"/>
        <v>2</v>
      </c>
      <c r="S172" s="14" cm="1">
        <f t="array" ref="S172">INDEX('Recipient-ConceptMap-1'!$I$15:$N$270,Q172+1,R172)</f>
        <v>0</v>
      </c>
    </row>
    <row r="173" spans="16:19" x14ac:dyDescent="0.75">
      <c r="P173" s="9">
        <v>159</v>
      </c>
      <c r="Q173" s="9">
        <f t="shared" si="16"/>
        <v>26</v>
      </c>
      <c r="R173" s="9">
        <f t="shared" si="17"/>
        <v>3</v>
      </c>
      <c r="S173" s="14" cm="1">
        <f t="array" ref="S173">INDEX('Recipient-ConceptMap-1'!$I$15:$N$270,Q173+1,R173)</f>
        <v>0</v>
      </c>
    </row>
    <row r="174" spans="16:19" x14ac:dyDescent="0.75">
      <c r="P174" s="9">
        <v>160</v>
      </c>
      <c r="Q174" s="9">
        <f t="shared" si="16"/>
        <v>26</v>
      </c>
      <c r="R174" s="9">
        <f t="shared" si="17"/>
        <v>4</v>
      </c>
      <c r="S174" s="14" cm="1">
        <f t="array" ref="S174">INDEX('Recipient-ConceptMap-1'!$I$15:$N$270,Q174+1,R174)</f>
        <v>0</v>
      </c>
    </row>
    <row r="175" spans="16:19" x14ac:dyDescent="0.75">
      <c r="P175" s="9">
        <v>161</v>
      </c>
      <c r="Q175" s="9">
        <f t="shared" si="16"/>
        <v>26</v>
      </c>
      <c r="R175" s="9">
        <f t="shared" si="17"/>
        <v>5</v>
      </c>
      <c r="S175" s="14" cm="1">
        <f t="array" ref="S175">INDEX('Recipient-ConceptMap-1'!$I$15:$N$270,Q175+1,R175)</f>
        <v>0</v>
      </c>
    </row>
    <row r="176" spans="16:19" x14ac:dyDescent="0.75">
      <c r="P176" s="9">
        <v>162</v>
      </c>
      <c r="Q176" s="9">
        <f t="shared" si="16"/>
        <v>26</v>
      </c>
      <c r="R176" s="9">
        <f t="shared" si="17"/>
        <v>6</v>
      </c>
      <c r="S176" s="14" cm="1">
        <f t="array" ref="S176">INDEX('Recipient-ConceptMap-1'!$I$15:$N$270,Q176+1,R176)</f>
        <v>0</v>
      </c>
    </row>
    <row r="177" spans="16:19" x14ac:dyDescent="0.75">
      <c r="P177" s="9">
        <v>163</v>
      </c>
      <c r="Q177" s="9">
        <f t="shared" si="16"/>
        <v>27</v>
      </c>
      <c r="R177" s="9">
        <f t="shared" si="17"/>
        <v>1</v>
      </c>
      <c r="S177" s="14" cm="1">
        <f t="array" ref="S177">INDEX('Recipient-ConceptMap-1'!$I$15:$N$270,Q177+1,R177)</f>
        <v>0</v>
      </c>
    </row>
    <row r="178" spans="16:19" x14ac:dyDescent="0.75">
      <c r="P178" s="9">
        <v>164</v>
      </c>
      <c r="Q178" s="9">
        <f t="shared" si="16"/>
        <v>27</v>
      </c>
      <c r="R178" s="9">
        <f t="shared" si="17"/>
        <v>2</v>
      </c>
      <c r="S178" s="14" cm="1">
        <f t="array" ref="S178">INDEX('Recipient-ConceptMap-1'!$I$15:$N$270,Q178+1,R178)</f>
        <v>0</v>
      </c>
    </row>
    <row r="179" spans="16:19" x14ac:dyDescent="0.75">
      <c r="P179" s="9">
        <v>165</v>
      </c>
      <c r="Q179" s="9">
        <f t="shared" si="16"/>
        <v>27</v>
      </c>
      <c r="R179" s="9">
        <f t="shared" si="17"/>
        <v>3</v>
      </c>
      <c r="S179" s="14" cm="1">
        <f t="array" ref="S179">INDEX('Recipient-ConceptMap-1'!$I$15:$N$270,Q179+1,R179)</f>
        <v>0</v>
      </c>
    </row>
    <row r="180" spans="16:19" x14ac:dyDescent="0.75">
      <c r="P180" s="9">
        <v>166</v>
      </c>
      <c r="Q180" s="9">
        <f t="shared" si="16"/>
        <v>27</v>
      </c>
      <c r="R180" s="9">
        <f t="shared" si="17"/>
        <v>4</v>
      </c>
      <c r="S180" s="14" cm="1">
        <f t="array" ref="S180">INDEX('Recipient-ConceptMap-1'!$I$15:$N$270,Q180+1,R180)</f>
        <v>0</v>
      </c>
    </row>
    <row r="181" spans="16:19" x14ac:dyDescent="0.75">
      <c r="P181" s="9">
        <v>167</v>
      </c>
      <c r="Q181" s="9">
        <f t="shared" si="16"/>
        <v>27</v>
      </c>
      <c r="R181" s="9">
        <f t="shared" si="17"/>
        <v>5</v>
      </c>
      <c r="S181" s="14" cm="1">
        <f t="array" ref="S181">INDEX('Recipient-ConceptMap-1'!$I$15:$N$270,Q181+1,R181)</f>
        <v>0</v>
      </c>
    </row>
    <row r="182" spans="16:19" x14ac:dyDescent="0.75">
      <c r="P182" s="9">
        <v>168</v>
      </c>
      <c r="Q182" s="9">
        <f t="shared" si="16"/>
        <v>27</v>
      </c>
      <c r="R182" s="9">
        <f t="shared" si="17"/>
        <v>6</v>
      </c>
      <c r="S182" s="14" cm="1">
        <f t="array" ref="S182">INDEX('Recipient-ConceptMap-1'!$I$15:$N$270,Q182+1,R182)</f>
        <v>0</v>
      </c>
    </row>
    <row r="183" spans="16:19" x14ac:dyDescent="0.75">
      <c r="P183" s="9">
        <v>169</v>
      </c>
      <c r="Q183" s="9">
        <f t="shared" si="16"/>
        <v>28</v>
      </c>
      <c r="R183" s="9">
        <f t="shared" si="17"/>
        <v>1</v>
      </c>
      <c r="S183" s="14" cm="1">
        <f t="array" ref="S183">INDEX('Recipient-ConceptMap-1'!$I$15:$N$270,Q183+1,R183)</f>
        <v>0</v>
      </c>
    </row>
    <row r="184" spans="16:19" x14ac:dyDescent="0.75">
      <c r="P184" s="9">
        <v>170</v>
      </c>
      <c r="Q184" s="9">
        <f t="shared" si="16"/>
        <v>28</v>
      </c>
      <c r="R184" s="9">
        <f t="shared" si="17"/>
        <v>2</v>
      </c>
      <c r="S184" s="14" cm="1">
        <f t="array" ref="S184">INDEX('Recipient-ConceptMap-1'!$I$15:$N$270,Q184+1,R184)</f>
        <v>0</v>
      </c>
    </row>
    <row r="185" spans="16:19" x14ac:dyDescent="0.75">
      <c r="P185" s="9">
        <v>171</v>
      </c>
      <c r="Q185" s="9">
        <f t="shared" ref="Q185:Q190" si="18">IF(MOD(P185,$Q$8)=0,P185/$Q$8-1,INT(P185/$Q$8))</f>
        <v>28</v>
      </c>
      <c r="R185" s="9">
        <f t="shared" ref="R185:R190" si="19">IF(MOD(P185,$Q$8)=0,$Q$8,MOD(P185,$Q$8))</f>
        <v>3</v>
      </c>
      <c r="S185" s="14" cm="1">
        <f t="array" ref="S185">INDEX('Recipient-ConceptMap-1'!$I$15:$N$270,Q185+1,R185)</f>
        <v>0</v>
      </c>
    </row>
    <row r="186" spans="16:19" x14ac:dyDescent="0.75">
      <c r="P186" s="9">
        <v>172</v>
      </c>
      <c r="Q186" s="9">
        <f t="shared" si="18"/>
        <v>28</v>
      </c>
      <c r="R186" s="9">
        <f t="shared" si="19"/>
        <v>4</v>
      </c>
      <c r="S186" s="14" cm="1">
        <f t="array" ref="S186">INDEX('Recipient-ConceptMap-1'!$I$15:$N$270,Q186+1,R186)</f>
        <v>0</v>
      </c>
    </row>
    <row r="187" spans="16:19" x14ac:dyDescent="0.75">
      <c r="P187" s="9">
        <v>173</v>
      </c>
      <c r="Q187" s="9">
        <f t="shared" si="18"/>
        <v>28</v>
      </c>
      <c r="R187" s="9">
        <f t="shared" si="19"/>
        <v>5</v>
      </c>
      <c r="S187" s="14" cm="1">
        <f t="array" ref="S187">INDEX('Recipient-ConceptMap-1'!$I$15:$N$270,Q187+1,R187)</f>
        <v>0</v>
      </c>
    </row>
    <row r="188" spans="16:19" x14ac:dyDescent="0.75">
      <c r="P188" s="9">
        <v>174</v>
      </c>
      <c r="Q188" s="9">
        <f t="shared" si="18"/>
        <v>28</v>
      </c>
      <c r="R188" s="9">
        <f t="shared" si="19"/>
        <v>6</v>
      </c>
      <c r="S188" s="14" cm="1">
        <f t="array" ref="S188">INDEX('Recipient-ConceptMap-1'!$I$15:$N$270,Q188+1,R188)</f>
        <v>0</v>
      </c>
    </row>
    <row r="189" spans="16:19" x14ac:dyDescent="0.75">
      <c r="P189" s="9">
        <v>175</v>
      </c>
      <c r="Q189" s="9">
        <f t="shared" si="18"/>
        <v>29</v>
      </c>
      <c r="R189" s="9">
        <f t="shared" si="19"/>
        <v>1</v>
      </c>
      <c r="S189" s="14" cm="1">
        <f t="array" ref="S189">INDEX('Recipient-ConceptMap-1'!$I$15:$N$270,Q189+1,R189)</f>
        <v>0</v>
      </c>
    </row>
    <row r="190" spans="16:19" x14ac:dyDescent="0.75">
      <c r="P190" s="9">
        <v>176</v>
      </c>
      <c r="Q190" s="9">
        <f t="shared" si="18"/>
        <v>29</v>
      </c>
      <c r="R190" s="9">
        <f t="shared" si="19"/>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729</v>
      </c>
    </row>
    <row r="3" spans="2:7" x14ac:dyDescent="0.75">
      <c r="B3" s="33" t="s">
        <v>37</v>
      </c>
    </row>
    <row r="4" spans="2:7" x14ac:dyDescent="0.75">
      <c r="B4" s="77" t="str">
        <f>"Instance: "&amp;'Recipient-ConceptMap-1'!C4</f>
        <v>Instance: ConceptMap-eu-recipient2FHIR</v>
      </c>
    </row>
    <row r="5" spans="2:7" x14ac:dyDescent="0.75">
      <c r="B5" s="77" t="s">
        <v>662</v>
      </c>
    </row>
    <row r="6" spans="2:7" x14ac:dyDescent="0.75">
      <c r="B6" s="77" t="s">
        <v>663</v>
      </c>
    </row>
    <row r="7" spans="2:7" x14ac:dyDescent="0.75">
      <c r="B7" s="77" t="s">
        <v>673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664</v>
      </c>
    </row>
    <row r="11" spans="2:7" x14ac:dyDescent="0.75">
      <c r="B11" s="77" t="s">
        <v>665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##34#ofType(PractionerRole), if it is the organization the professional belong to##34#</v>
      </c>
    </row>
    <row r="44" spans="2:2" x14ac:dyDescent="0.75">
      <c r="B44" s="14" t="str">
        <f>IF('Recipient-ConceptMap-1'!S39=0,"//---END",'Recipient-ConceptMap-1'!S39)</f>
        <v>//---END</v>
      </c>
    </row>
    <row r="45" spans="2:2" x14ac:dyDescent="0.75">
      <c r="B45" s="14" t="str">
        <f>IF('Recipient-ConceptMap-1'!S40=0,"//---END",'Recipient-ConceptMap-1'!S40)</f>
        <v>//---END</v>
      </c>
    </row>
    <row r="46" spans="2:2" x14ac:dyDescent="0.75">
      <c r="B46" s="14" t="str">
        <f>IF('Recipient-ConceptMap-1'!S41=0,"//---END",'Recipient-ConceptMap-1'!S41)</f>
        <v>//---END</v>
      </c>
    </row>
    <row r="47" spans="2:2" x14ac:dyDescent="0.75">
      <c r="B47" s="14" t="str">
        <f>IF('Recipient-ConceptMap-1'!S42=0,"//---END",'Recipient-ConceptMap-1'!S42)</f>
        <v>//---END</v>
      </c>
    </row>
    <row r="48" spans="2:2" x14ac:dyDescent="0.75">
      <c r="B48" s="14" t="str">
        <f>IF('Recipient-ConceptMap-1'!S43=0,"//---END",'Recipient-ConceptMap-1'!S43)</f>
        <v>//---END</v>
      </c>
    </row>
    <row r="49" spans="2:2" x14ac:dyDescent="0.75">
      <c r="B49" s="14" t="str">
        <f>IF('Recipient-ConceptMap-1'!S44=0,"//---END",'Recipient-ConceptMap-1'!S44)</f>
        <v>//---END</v>
      </c>
    </row>
    <row r="50" spans="2:2" x14ac:dyDescent="0.75">
      <c r="B50" s="14" t="str">
        <f>IF('Recipient-ConceptMap-1'!S45=0,"//---END",'Recipient-ConceptMap-1'!S45)</f>
        <v>//---END</v>
      </c>
    </row>
    <row r="51" spans="2:2" x14ac:dyDescent="0.75">
      <c r="B51" s="14" t="str">
        <f>IF('Recipient-ConceptMap-1'!S46=0,"//---END",'Recipient-ConceptMap-1'!S46)</f>
        <v>//---END</v>
      </c>
    </row>
    <row r="52" spans="2:2" x14ac:dyDescent="0.75">
      <c r="B52" s="14" t="str">
        <f>IF('Recipient-ConceptMap-1'!S47=0,"//---END",'Recipient-ConceptMap-1'!S47)</f>
        <v>//---END</v>
      </c>
    </row>
    <row r="53" spans="2:2" x14ac:dyDescent="0.75">
      <c r="B53" s="14" t="str">
        <f>IF('Recipient-ConceptMap-1'!S48=0,"//---END",'Recipient-ConceptMap-1'!S48)</f>
        <v>//---END</v>
      </c>
    </row>
    <row r="54" spans="2:2" x14ac:dyDescent="0.75">
      <c r="B54" s="14" t="str">
        <f>IF('Recipient-ConceptMap-1'!S49=0,"//---END",'Recipient-ConceptMap-1'!S49)</f>
        <v>//---END</v>
      </c>
    </row>
    <row r="55" spans="2:2" x14ac:dyDescent="0.75">
      <c r="B55" s="14" t="str">
        <f>IF('Recipient-ConceptMap-1'!S50=0,"//---END",'Recipient-ConceptMap-1'!S50)</f>
        <v>//---END</v>
      </c>
    </row>
    <row r="56" spans="2:2" x14ac:dyDescent="0.75">
      <c r="B56" s="14" t="str">
        <f>IF('Recipient-ConceptMap-1'!S51=0,"//---END",'Recipient-ConceptMap-1'!S51)</f>
        <v>//---END</v>
      </c>
    </row>
    <row r="57" spans="2:2" x14ac:dyDescent="0.75">
      <c r="B57" s="14" t="str">
        <f>IF('Recipient-ConceptMap-1'!S52=0,"//---END",'Recipient-ConceptMap-1'!S52)</f>
        <v>//---END</v>
      </c>
    </row>
    <row r="58" spans="2:2" x14ac:dyDescent="0.75">
      <c r="B58" s="14" t="str">
        <f>IF('Recipient-ConceptMap-1'!S53=0,"//---END",'Recipient-ConceptMap-1'!S53)</f>
        <v>//---END</v>
      </c>
    </row>
    <row r="59" spans="2:2" x14ac:dyDescent="0.75">
      <c r="B59" s="14" t="str">
        <f>IF('Recipient-ConceptMap-1'!S54=0,"//---END",'Recipient-ConceptMap-1'!S54)</f>
        <v>//---END</v>
      </c>
    </row>
    <row r="60" spans="2:2" x14ac:dyDescent="0.75">
      <c r="B60" s="14" t="str">
        <f>IF('Recipient-ConceptMap-1'!S55=0,"//---END",'Recipient-ConceptMap-1'!S55)</f>
        <v>//---END</v>
      </c>
    </row>
    <row r="61" spans="2:2" x14ac:dyDescent="0.75">
      <c r="B61" s="14" t="str">
        <f>IF('Recipient-ConceptMap-1'!S56=0,"//---END",'Recipient-ConceptMap-1'!S56)</f>
        <v>//---END</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434</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535</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534</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0" t="s">
        <v>93</v>
      </c>
      <c r="D26" s="91"/>
      <c r="E26" s="91"/>
      <c r="F26" s="92"/>
    </row>
    <row r="27" spans="2:9" ht="409.6" thickBot="1" x14ac:dyDescent="0.9">
      <c r="B27" t="str">
        <f t="shared" ref="B27:B29" si="2">CONCATENATE(C27," ",D27)</f>
        <v>A.1.5.1 Author identifier</v>
      </c>
      <c r="C27" s="36" t="s">
        <v>94</v>
      </c>
      <c r="D27" s="37" t="s">
        <v>95</v>
      </c>
      <c r="E27" s="37" t="s">
        <v>536</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537</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581</v>
      </c>
      <c r="E9" s="4" t="str">
        <f>CONCATENATE("* -&gt; ##34#",C9,"##34#")</f>
        <v>* -&gt; ##34#Composition.author.resolve()##34#</v>
      </c>
      <c r="H9" s="10"/>
      <c r="I9" s="10"/>
      <c r="J9" s="10"/>
      <c r="K9" s="10"/>
      <c r="L9" s="10"/>
      <c r="M9" s="10"/>
      <c r="N9" s="10"/>
      <c r="O9" s="10"/>
    </row>
    <row r="10" spans="1:15" ht="44.25" x14ac:dyDescent="0.75">
      <c r="A10" s="9"/>
      <c r="B10" s="62" t="str">
        <f>'A1.5 Author'!$B$8</f>
        <v>identifier</v>
      </c>
      <c r="C10" s="9" t="s">
        <v>582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899</v>
      </c>
      <c r="D3" s="73" t="s">
        <v>684</v>
      </c>
      <c r="E3" s="84" t="s">
        <v>734</v>
      </c>
    </row>
    <row r="4" spans="1:19" x14ac:dyDescent="0.75">
      <c r="B4" s="73" t="s">
        <v>19</v>
      </c>
      <c r="C4" s="54" t="s">
        <v>898</v>
      </c>
      <c r="D4" s="73" t="s">
        <v>685</v>
      </c>
      <c r="E4" s="111" t="s">
        <v>890</v>
      </c>
      <c r="F4" s="110"/>
      <c r="G4" s="110"/>
    </row>
    <row r="5" spans="1:19" x14ac:dyDescent="0.75">
      <c r="B5" s="73" t="s">
        <v>13</v>
      </c>
      <c r="C5" s="10" t="s">
        <v>735</v>
      </c>
      <c r="D5" s="73"/>
      <c r="E5" s="10"/>
    </row>
    <row r="6" spans="1:19" x14ac:dyDescent="0.75">
      <c r="B6" s="73" t="s">
        <v>35</v>
      </c>
      <c r="C6" s="72"/>
      <c r="D6" s="73" t="s">
        <v>681</v>
      </c>
      <c r="E6" s="111" t="s">
        <v>734</v>
      </c>
      <c r="F6" s="110"/>
      <c r="G6" s="110"/>
    </row>
    <row r="7" spans="1:19" x14ac:dyDescent="0.75">
      <c r="B7" s="73" t="s">
        <v>18</v>
      </c>
      <c r="C7" s="80"/>
      <c r="D7" s="73" t="s">
        <v>682</v>
      </c>
      <c r="E7" s="110" t="s">
        <v>683</v>
      </c>
      <c r="F7" s="110"/>
      <c r="G7" s="110"/>
    </row>
    <row r="8" spans="1:19" ht="44.25" x14ac:dyDescent="0.75">
      <c r="B8" s="73" t="s">
        <v>675</v>
      </c>
      <c r="C8" s="10" t="s">
        <v>732</v>
      </c>
      <c r="D8" s="73"/>
      <c r="E8" s="10"/>
      <c r="I8" s="14" t="s">
        <v>647</v>
      </c>
      <c r="J8" s="14" t="s">
        <v>648</v>
      </c>
      <c r="K8" s="14" t="s">
        <v>649</v>
      </c>
      <c r="L8" s="14" t="s">
        <v>650</v>
      </c>
      <c r="M8" s="9" t="s">
        <v>651</v>
      </c>
      <c r="P8" s="69" t="s">
        <v>652</v>
      </c>
      <c r="Q8" s="69">
        <v>6</v>
      </c>
    </row>
    <row r="9" spans="1:19" ht="29.5" x14ac:dyDescent="0.75">
      <c r="B9" s="73" t="s">
        <v>676</v>
      </c>
      <c r="C9" s="1" t="s">
        <v>733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73.75" x14ac:dyDescent="0.75">
      <c r="A15" s="23"/>
      <c r="B15" s="62" t="s">
        <v>687</v>
      </c>
      <c r="C15" s="62" t="s">
        <v>396</v>
      </c>
      <c r="D15" s="14" t="s">
        <v>827</v>
      </c>
      <c r="E15" s="62"/>
      <c r="F15" s="75" t="s">
        <v>659</v>
      </c>
      <c r="G15" s="75" t="s">
        <v>697</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849</v>
      </c>
      <c r="E16" s="9"/>
      <c r="F16" s="75" t="s">
        <v>659</v>
      </c>
      <c r="G16" s="75" t="s">
        <v>697</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853</v>
      </c>
      <c r="E17" s="9"/>
      <c r="F17" s="75" t="s">
        <v>659</v>
      </c>
      <c r="G17" s="82" t="s">
        <v>850</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854</v>
      </c>
      <c r="E18" s="9"/>
      <c r="F18" s="75" t="s">
        <v>659</v>
      </c>
      <c r="G18" s="75" t="s">
        <v>851</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855</v>
      </c>
      <c r="E19" s="9"/>
      <c r="F19" s="75" t="s">
        <v>659</v>
      </c>
      <c r="G19" s="75" t="s">
        <v>852</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730</v>
      </c>
      <c r="D3" s="73" t="s">
        <v>684</v>
      </c>
      <c r="E3" s="84" t="s">
        <v>734</v>
      </c>
    </row>
    <row r="4" spans="1:19" x14ac:dyDescent="0.75">
      <c r="B4" s="73" t="s">
        <v>19</v>
      </c>
      <c r="C4" s="54" t="s">
        <v>731</v>
      </c>
      <c r="D4" s="73" t="s">
        <v>685</v>
      </c>
      <c r="E4" t="str">
        <f>'Author-ConceptMap-1'!E4</f>
        <v>http://hl7.eu/fhir/laboratory/StructureDefinition/Bundle-eu-lab</v>
      </c>
    </row>
    <row r="5" spans="1:19" x14ac:dyDescent="0.75">
      <c r="B5" s="73" t="s">
        <v>13</v>
      </c>
      <c r="C5" s="10" t="s">
        <v>735</v>
      </c>
      <c r="D5" s="73"/>
      <c r="E5" s="10"/>
    </row>
    <row r="6" spans="1:19" x14ac:dyDescent="0.75">
      <c r="B6" s="73" t="s">
        <v>35</v>
      </c>
      <c r="C6" s="72"/>
      <c r="D6" s="73" t="s">
        <v>681</v>
      </c>
      <c r="E6" s="111" t="s">
        <v>734</v>
      </c>
      <c r="F6" s="110"/>
      <c r="G6" s="110"/>
    </row>
    <row r="7" spans="1:19" x14ac:dyDescent="0.75">
      <c r="B7" s="73" t="s">
        <v>18</v>
      </c>
      <c r="C7" s="80"/>
      <c r="D7" s="73" t="s">
        <v>682</v>
      </c>
      <c r="E7" s="110" t="s">
        <v>683</v>
      </c>
      <c r="F7" s="110"/>
      <c r="G7" s="110"/>
    </row>
    <row r="8" spans="1:19" ht="44.25" x14ac:dyDescent="0.75">
      <c r="B8" s="73" t="s">
        <v>675</v>
      </c>
      <c r="C8" s="10" t="s">
        <v>732</v>
      </c>
      <c r="D8" s="73"/>
      <c r="E8" s="10"/>
      <c r="I8" s="14" t="s">
        <v>647</v>
      </c>
      <c r="J8" s="14" t="s">
        <v>648</v>
      </c>
      <c r="K8" s="14" t="s">
        <v>649</v>
      </c>
      <c r="L8" s="14" t="s">
        <v>650</v>
      </c>
      <c r="M8" s="9" t="s">
        <v>651</v>
      </c>
      <c r="P8" s="69" t="s">
        <v>652</v>
      </c>
      <c r="Q8" s="69">
        <v>6</v>
      </c>
    </row>
    <row r="9" spans="1:19" ht="29.5" x14ac:dyDescent="0.75">
      <c r="B9" s="73" t="s">
        <v>676</v>
      </c>
      <c r="C9" s="1" t="s">
        <v>733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59" x14ac:dyDescent="0.75">
      <c r="A15" s="23"/>
      <c r="B15" s="62" t="s">
        <v>687</v>
      </c>
      <c r="C15" s="62" t="s">
        <v>396</v>
      </c>
      <c r="D15" s="14" t="s">
        <v>810</v>
      </c>
      <c r="E15" s="62"/>
      <c r="F15" s="75" t="s">
        <v>659</v>
      </c>
      <c r="G15" s="75" t="s">
        <v>740</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856</v>
      </c>
      <c r="E16" s="9"/>
      <c r="F16" s="75" t="s">
        <v>659</v>
      </c>
      <c r="G16" s="75" t="s">
        <v>740</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858</v>
      </c>
      <c r="E17" s="9"/>
      <c r="F17" s="75" t="s">
        <v>659</v>
      </c>
      <c r="G17" s="75" t="s">
        <v>857</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860</v>
      </c>
      <c r="E18" s="9"/>
      <c r="F18" s="75" t="s">
        <v>659</v>
      </c>
      <c r="G18" s="75" t="s">
        <v>859</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861</v>
      </c>
      <c r="E19" s="9"/>
      <c r="F19" s="75" t="s">
        <v>659</v>
      </c>
      <c r="G19" s="75" t="s">
        <v>736</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899</v>
      </c>
      <c r="D3" s="73" t="s">
        <v>684</v>
      </c>
      <c r="E3" s="84" t="s">
        <v>734</v>
      </c>
    </row>
    <row r="4" spans="1:19" x14ac:dyDescent="0.75">
      <c r="B4" s="73" t="s">
        <v>19</v>
      </c>
      <c r="C4" s="54" t="s">
        <v>898</v>
      </c>
      <c r="D4" s="73" t="s">
        <v>685</v>
      </c>
      <c r="E4" t="str">
        <f>'Author-ConceptMap-2'!E4</f>
        <v>http://hl7.eu/fhir/laboratory/StructureDefinition/Bundle-eu-lab</v>
      </c>
    </row>
    <row r="5" spans="1:19" x14ac:dyDescent="0.75">
      <c r="B5" s="73" t="s">
        <v>13</v>
      </c>
      <c r="C5" s="10" t="s">
        <v>735</v>
      </c>
      <c r="D5" s="73"/>
      <c r="E5" s="10"/>
    </row>
    <row r="6" spans="1:19" x14ac:dyDescent="0.75">
      <c r="B6" s="73" t="s">
        <v>35</v>
      </c>
      <c r="C6" s="72"/>
      <c r="D6" s="73" t="s">
        <v>681</v>
      </c>
      <c r="E6" s="111" t="s">
        <v>734</v>
      </c>
      <c r="F6" s="110"/>
      <c r="G6" s="110"/>
    </row>
    <row r="7" spans="1:19" x14ac:dyDescent="0.75">
      <c r="B7" s="73" t="s">
        <v>18</v>
      </c>
      <c r="C7" s="80"/>
      <c r="D7" s="73" t="s">
        <v>682</v>
      </c>
      <c r="E7" s="111" t="s">
        <v>688</v>
      </c>
      <c r="F7" s="110"/>
      <c r="G7" s="110"/>
    </row>
    <row r="8" spans="1:19" ht="44.25" x14ac:dyDescent="0.75">
      <c r="B8" s="73" t="s">
        <v>675</v>
      </c>
      <c r="C8" s="10" t="s">
        <v>732</v>
      </c>
      <c r="D8" s="73"/>
      <c r="E8" s="10"/>
      <c r="I8" s="14" t="s">
        <v>647</v>
      </c>
      <c r="J8" s="14" t="s">
        <v>648</v>
      </c>
      <c r="K8" s="14" t="s">
        <v>649</v>
      </c>
      <c r="L8" s="14" t="s">
        <v>650</v>
      </c>
      <c r="M8" s="9" t="s">
        <v>651</v>
      </c>
      <c r="P8" s="69" t="s">
        <v>652</v>
      </c>
      <c r="Q8" s="69">
        <v>6</v>
      </c>
    </row>
    <row r="9" spans="1:19" ht="29.5" x14ac:dyDescent="0.75">
      <c r="B9" s="73" t="s">
        <v>676</v>
      </c>
      <c r="C9" s="1" t="s">
        <v>733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14" t="s">
        <v>285</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862</v>
      </c>
      <c r="E15" s="9"/>
      <c r="F15" s="75" t="s">
        <v>658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864</v>
      </c>
      <c r="E16" s="9"/>
      <c r="F16" s="75" t="s">
        <v>658</v>
      </c>
      <c r="G16" s="75" t="s">
        <v>863</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867</v>
      </c>
      <c r="E17" s="9"/>
      <c r="F17" s="75" t="s">
        <v>658</v>
      </c>
      <c r="G17" s="14" t="s">
        <v>865</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88.5" x14ac:dyDescent="0.75">
      <c r="A18" s="23"/>
      <c r="B18" s="9" t="str">
        <f>'A1.5 Author'!B10</f>
        <v>organization</v>
      </c>
      <c r="C18" s="9" t="str">
        <f>'A1.5 Author'!C10</f>
        <v>A.1.5.3 Author organization</v>
      </c>
      <c r="D18" s="14" t="s">
        <v>868</v>
      </c>
      <c r="E18" s="9"/>
      <c r="F18" s="75" t="s">
        <v>658</v>
      </c>
      <c r="G18" s="14" t="s">
        <v>866</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737</v>
      </c>
    </row>
    <row r="3" spans="2:7" x14ac:dyDescent="0.75">
      <c r="B3" s="33" t="s">
        <v>37</v>
      </c>
    </row>
    <row r="4" spans="2:7" x14ac:dyDescent="0.75">
      <c r="B4" s="77" t="str">
        <f>"Instance: "&amp;'Author-ConceptMap-1'!C4</f>
        <v>Instance: author2FHIR-eu-lab</v>
      </c>
    </row>
    <row r="5" spans="2:7" x14ac:dyDescent="0.75">
      <c r="B5" s="77" t="s">
        <v>662</v>
      </c>
    </row>
    <row r="6" spans="2:7" x14ac:dyDescent="0.75">
      <c r="B6" s="77" t="s">
        <v>663</v>
      </c>
    </row>
    <row r="7" spans="2:7" x14ac:dyDescent="0.75">
      <c r="B7" s="77" t="s">
        <v>673</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664</v>
      </c>
    </row>
    <row r="11" spans="2:7" x14ac:dyDescent="0.75">
      <c r="B11" s="77" t="s">
        <v>665</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435</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539</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538</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0" t="s">
        <v>102</v>
      </c>
      <c r="D26" s="91"/>
      <c r="E26" s="91"/>
      <c r="F26" s="92"/>
    </row>
    <row r="27" spans="2:9" ht="384.75" customHeight="1" thickBot="1" x14ac:dyDescent="0.9">
      <c r="B27" t="str">
        <f t="shared" ref="B27:B30" si="2">CONCATENATE(C27," ",D27)</f>
        <v>A.1.6.1 Legal authenticator identifier</v>
      </c>
      <c r="C27" s="36" t="s">
        <v>103</v>
      </c>
      <c r="D27" s="39" t="s">
        <v>104</v>
      </c>
      <c r="E27" s="37" t="s">
        <v>540</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541</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587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582</v>
      </c>
    </row>
    <row r="31" spans="1:15" x14ac:dyDescent="0.75">
      <c r="C31" s="9" t="s">
        <v>583</v>
      </c>
      <c r="E31" s="22"/>
    </row>
    <row r="32" spans="1:15" x14ac:dyDescent="0.75">
      <c r="C32" s="9" t="s">
        <v>584</v>
      </c>
    </row>
    <row r="33" spans="3:3" x14ac:dyDescent="0.75">
      <c r="C33" s="9" t="s">
        <v>585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topLeftCell="D12" workbookViewId="0">
      <selection activeCell="G19" sqref="G15: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753</v>
      </c>
      <c r="D3" s="73" t="s">
        <v>684</v>
      </c>
      <c r="E3" s="111" t="str">
        <f>"http://hl7.eu/fhir/laboratory/StructureDefinition/"&amp;'A1.6 LegalAuth'!B5</f>
        <v>http://hl7.eu/fhir/laboratory/StructureDefinition/LegalAuthenticator</v>
      </c>
      <c r="F3" s="110"/>
      <c r="G3" s="110"/>
    </row>
    <row r="4" spans="1:19" x14ac:dyDescent="0.75">
      <c r="B4" s="73" t="s">
        <v>19</v>
      </c>
      <c r="C4" s="54" t="s">
        <v>738</v>
      </c>
      <c r="D4" s="73" t="s">
        <v>685</v>
      </c>
      <c r="E4" s="111" t="s">
        <v>688</v>
      </c>
      <c r="F4" s="110"/>
      <c r="G4" s="110"/>
    </row>
    <row r="5" spans="1:19" x14ac:dyDescent="0.75">
      <c r="B5" s="73" t="s">
        <v>13</v>
      </c>
      <c r="C5" s="10" t="s">
        <v>724</v>
      </c>
      <c r="D5" s="73"/>
      <c r="E5" s="10"/>
    </row>
    <row r="6" spans="1:19" x14ac:dyDescent="0.75">
      <c r="B6" s="73" t="s">
        <v>35</v>
      </c>
      <c r="C6" s="72"/>
      <c r="D6" s="73" t="s">
        <v>681</v>
      </c>
      <c r="E6" s="111" t="str">
        <f>E3</f>
        <v>http://hl7.eu/fhir/laboratory/StructureDefinition/LegalAuthenticator</v>
      </c>
      <c r="F6" s="110"/>
      <c r="G6" s="110"/>
    </row>
    <row r="7" spans="1:19" x14ac:dyDescent="0.75">
      <c r="B7" s="73" t="s">
        <v>18</v>
      </c>
      <c r="C7" s="80"/>
      <c r="D7" s="73" t="s">
        <v>682</v>
      </c>
      <c r="E7" s="111" t="str">
        <f>E4</f>
        <v>http://hl7.eu/fhir/laboratory/StructureDefinition/Composition-eu-lab</v>
      </c>
      <c r="F7" s="110"/>
      <c r="G7" s="110"/>
    </row>
    <row r="8" spans="1:19" ht="44.25" x14ac:dyDescent="0.75">
      <c r="B8" s="73" t="s">
        <v>675</v>
      </c>
      <c r="C8" s="10" t="s">
        <v>741</v>
      </c>
      <c r="D8" s="73"/>
      <c r="E8"/>
      <c r="I8" s="14" t="s">
        <v>647</v>
      </c>
      <c r="J8" s="14" t="s">
        <v>648</v>
      </c>
      <c r="K8" s="14" t="s">
        <v>649</v>
      </c>
      <c r="L8" s="14" t="s">
        <v>650</v>
      </c>
      <c r="M8" s="9" t="s">
        <v>651</v>
      </c>
      <c r="P8" s="69" t="s">
        <v>652</v>
      </c>
      <c r="Q8" s="69">
        <v>6</v>
      </c>
    </row>
    <row r="9" spans="1:19" ht="29.5" x14ac:dyDescent="0.75">
      <c r="B9" s="73" t="s">
        <v>676</v>
      </c>
      <c r="C9" s="1" t="s">
        <v>742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'A1.6 LegalAuth'!B5</f>
        <v>LegalAuthenticator</v>
      </c>
      <c r="C14" s="9"/>
      <c r="D14" t="s">
        <v>285</v>
      </c>
      <c r="E14" s="8"/>
      <c r="F14" s="9"/>
      <c r="G14" t="s">
        <v>771</v>
      </c>
      <c r="I14" s="14"/>
      <c r="J14" s="9"/>
      <c r="K14" s="9"/>
      <c r="L14" s="9"/>
      <c r="M14" s="71"/>
      <c r="N14" s="74"/>
    </row>
    <row r="15" spans="1:19" ht="73.75" x14ac:dyDescent="0.75">
      <c r="A15" s="23"/>
      <c r="B15" s="9" t="str">
        <f>'A1.6 LegalAuth'!B8</f>
        <v>identifier</v>
      </c>
      <c r="C15" s="9" t="str">
        <f>'A1.6 LegalAuth'!C8</f>
        <v>A.1.6.1 Legal authenticator identifier</v>
      </c>
      <c r="D15" s="14" t="s">
        <v>869</v>
      </c>
      <c r="E15" s="9"/>
      <c r="F15" s="75" t="s">
        <v>658</v>
      </c>
      <c r="G15" t="s">
        <v>870</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874</v>
      </c>
      <c r="E16" s="9"/>
      <c r="F16" s="75" t="s">
        <v>658</v>
      </c>
      <c r="G16" s="14" t="s">
        <v>871</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875</v>
      </c>
      <c r="E17" s="9"/>
      <c r="F17" s="75" t="s">
        <v>658</v>
      </c>
      <c r="G17" s="14" t="s">
        <v>872</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876</v>
      </c>
      <c r="E18" s="9"/>
      <c r="F18" s="75" t="s">
        <v>658</v>
      </c>
      <c r="G18" s="14" t="s">
        <v>873</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877</v>
      </c>
      <c r="E19" s="9"/>
      <c r="F19" s="75" t="s">
        <v>658</v>
      </c>
      <c r="G19" s="14" t="s">
        <v>878</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739</v>
      </c>
    </row>
    <row r="3" spans="2:7" x14ac:dyDescent="0.75">
      <c r="B3" s="33" t="s">
        <v>37</v>
      </c>
    </row>
    <row r="4" spans="2:7" x14ac:dyDescent="0.75">
      <c r="B4" s="77" t="str">
        <f>"Instance: "&amp;'LegalAuth-ConceptMap-1'!C4</f>
        <v>Instance: ConceptMap-eu-legalAuth2FHIR</v>
      </c>
    </row>
    <row r="5" spans="2:7" x14ac:dyDescent="0.75">
      <c r="B5" s="77" t="s">
        <v>662</v>
      </c>
    </row>
    <row r="6" spans="2:7" x14ac:dyDescent="0.75">
      <c r="B6" s="77" t="s">
        <v>663</v>
      </c>
    </row>
    <row r="7" spans="2:7" x14ac:dyDescent="0.75">
      <c r="B7" s="77" t="s">
        <v>673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664</v>
      </c>
    </row>
    <row r="11" spans="2:7" x14ac:dyDescent="0.75">
      <c r="B11" s="77" t="s">
        <v>665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636</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542</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543</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547</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0" t="s">
        <v>114</v>
      </c>
      <c r="D26" s="91"/>
      <c r="E26" s="91"/>
      <c r="F26" s="92"/>
    </row>
    <row r="27" spans="2:9" ht="384.75" thickBot="1" x14ac:dyDescent="0.9">
      <c r="B27" t="str">
        <f t="shared" ref="B27:B30" si="2">CONCATENATE(C27," ",D27)</f>
        <v>A.1.7.1 Result validator identifier</v>
      </c>
      <c r="C27" s="36" t="s">
        <v>115</v>
      </c>
      <c r="D27" s="39" t="s">
        <v>116</v>
      </c>
      <c r="E27" s="37" t="s">
        <v>544</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545</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546</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587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D1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757</v>
      </c>
      <c r="D3" s="73" t="s">
        <v>684</v>
      </c>
      <c r="E3" s="111" t="str">
        <f>"http://hl7.eu/fhir/laboratory/StructureDefinition/"&amp;'A1.7 Validator'!B5</f>
        <v>http://hl7.eu/fhir/laboratory/StructureDefinition/Validator</v>
      </c>
      <c r="F3" s="110"/>
      <c r="G3" s="110"/>
    </row>
    <row r="4" spans="1:19" x14ac:dyDescent="0.75">
      <c r="B4" s="73" t="s">
        <v>19</v>
      </c>
      <c r="C4" s="54" t="s">
        <v>743</v>
      </c>
      <c r="D4" s="73" t="s">
        <v>685</v>
      </c>
      <c r="E4" s="111" t="s">
        <v>688</v>
      </c>
      <c r="F4" s="110"/>
      <c r="G4" s="110"/>
    </row>
    <row r="5" spans="1:19" x14ac:dyDescent="0.75">
      <c r="B5" s="73" t="s">
        <v>13</v>
      </c>
      <c r="C5" s="10" t="s">
        <v>744</v>
      </c>
      <c r="D5" s="73"/>
      <c r="E5" s="10"/>
    </row>
    <row r="6" spans="1:19" x14ac:dyDescent="0.75">
      <c r="B6" s="73" t="s">
        <v>35</v>
      </c>
      <c r="C6" s="72"/>
      <c r="D6" s="73" t="s">
        <v>681</v>
      </c>
      <c r="E6" s="111" t="str">
        <f>E3</f>
        <v>http://hl7.eu/fhir/laboratory/StructureDefinition/Validator</v>
      </c>
      <c r="F6" s="110"/>
      <c r="G6" s="110"/>
    </row>
    <row r="7" spans="1:19" x14ac:dyDescent="0.75">
      <c r="B7" s="73" t="s">
        <v>18</v>
      </c>
      <c r="C7" s="80"/>
      <c r="D7" s="73" t="s">
        <v>682</v>
      </c>
      <c r="E7" s="111" t="str">
        <f>E4</f>
        <v>http://hl7.eu/fhir/laboratory/StructureDefinition/Composition-eu-lab</v>
      </c>
      <c r="F7" s="110"/>
      <c r="G7" s="110"/>
    </row>
    <row r="8" spans="1:19" ht="44.25" x14ac:dyDescent="0.75">
      <c r="B8" s="73" t="s">
        <v>675</v>
      </c>
      <c r="C8" s="10" t="s">
        <v>745</v>
      </c>
      <c r="D8" s="73"/>
      <c r="E8"/>
      <c r="I8" s="14" t="s">
        <v>647</v>
      </c>
      <c r="J8" s="14" t="s">
        <v>648</v>
      </c>
      <c r="K8" s="14" t="s">
        <v>649</v>
      </c>
      <c r="L8" s="14" t="s">
        <v>650</v>
      </c>
      <c r="M8" s="9" t="s">
        <v>651</v>
      </c>
      <c r="P8" s="69" t="s">
        <v>652</v>
      </c>
      <c r="Q8" s="69">
        <v>6</v>
      </c>
    </row>
    <row r="9" spans="1:19" ht="29.5" x14ac:dyDescent="0.75">
      <c r="B9" s="73" t="s">
        <v>676</v>
      </c>
      <c r="C9" s="1" t="s">
        <v>746</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'A1.7 Validator'!B5</f>
        <v>Validator</v>
      </c>
      <c r="C14" s="9"/>
      <c r="D14" t="s">
        <v>773</v>
      </c>
      <c r="E14" s="8"/>
      <c r="F14" s="9"/>
      <c r="G14" t="s">
        <v>773</v>
      </c>
      <c r="I14" s="14"/>
      <c r="J14" s="9"/>
      <c r="K14" s="9"/>
      <c r="L14" s="9"/>
      <c r="M14" s="71"/>
      <c r="N14" s="74"/>
    </row>
    <row r="15" spans="1:19" ht="88.5" x14ac:dyDescent="0.75">
      <c r="A15" s="23"/>
      <c r="B15" s="9" t="str">
        <f>'A1.7 Validator'!B8</f>
        <v>identifier</v>
      </c>
      <c r="C15" s="9" t="str">
        <f>'A1.7 Validator'!C8</f>
        <v>A.1.7.1 Result validator identifier</v>
      </c>
      <c r="D15" s="14" t="s">
        <v>774</v>
      </c>
      <c r="E15" s="14" t="s">
        <v>869</v>
      </c>
      <c r="F15" s="75" t="s">
        <v>658</v>
      </c>
      <c r="G15" t="s">
        <v>879</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775</v>
      </c>
      <c r="E16" s="14" t="s">
        <v>874</v>
      </c>
      <c r="F16" s="75" t="s">
        <v>658</v>
      </c>
      <c r="G16" s="14" t="s">
        <v>880</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776</v>
      </c>
      <c r="E17" s="14" t="s">
        <v>875</v>
      </c>
      <c r="F17" s="75" t="s">
        <v>658</v>
      </c>
      <c r="G17" s="14" t="s">
        <v>881</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777</v>
      </c>
      <c r="E18" s="14" t="s">
        <v>876</v>
      </c>
      <c r="F18" s="75" t="s">
        <v>658</v>
      </c>
      <c r="G18" s="14" t="s">
        <v>882</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772</v>
      </c>
      <c r="E19" s="9" t="s">
        <v>877</v>
      </c>
      <c r="F19" s="75" t="s">
        <v>658</v>
      </c>
      <c r="G19" s="14" t="s">
        <v>883</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747</v>
      </c>
    </row>
    <row r="3" spans="2:7" x14ac:dyDescent="0.75">
      <c r="B3" s="33" t="s">
        <v>37</v>
      </c>
    </row>
    <row r="4" spans="2:7" x14ac:dyDescent="0.75">
      <c r="B4" s="77" t="str">
        <f>"Instance: "&amp;'Validator-ConceptMap-1'!C4</f>
        <v>Instance: ConceptMap-eu-validator2FHIR</v>
      </c>
    </row>
    <row r="5" spans="2:7" x14ac:dyDescent="0.75">
      <c r="B5" s="77" t="s">
        <v>662</v>
      </c>
    </row>
    <row r="6" spans="2:7" x14ac:dyDescent="0.75">
      <c r="B6" s="77" t="s">
        <v>663</v>
      </c>
    </row>
    <row r="7" spans="2:7" x14ac:dyDescent="0.75">
      <c r="B7" s="77" t="s">
        <v>673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664</v>
      </c>
    </row>
    <row r="11" spans="2:7" x14ac:dyDescent="0.75">
      <c r="B11" s="77" t="s">
        <v>665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C23" sqref="C2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748</v>
      </c>
      <c r="I6" s="26" t="str">
        <f>CONCATENATE("Title: ##34#",B6,"##34#")</f>
        <v>Title: ##34#A2, A3 - Order##34#</v>
      </c>
    </row>
    <row r="7" spans="1:11" x14ac:dyDescent="0.75">
      <c r="A7" s="46" t="s">
        <v>5</v>
      </c>
      <c r="B7" s="19" t="s">
        <v>427</v>
      </c>
      <c r="C7" s="12"/>
      <c r="D7" s="2"/>
      <c r="E7" s="57"/>
      <c r="F7" s="3" t="s">
        <v>9</v>
      </c>
      <c r="G7" s="3" t="s">
        <v>10</v>
      </c>
      <c r="I7" s="26" t="str">
        <f>CONCATENATE("Description: "," ##334#",B7,"##334#",)</f>
        <v>Description:  ##334#Order information (A.2) and reason (A3)##334#</v>
      </c>
    </row>
    <row r="8" spans="1:11" ht="44.25" x14ac:dyDescent="0.75">
      <c r="A8" s="9">
        <v>1</v>
      </c>
      <c r="B8" s="9" t="s">
        <v>439</v>
      </c>
      <c r="C8" s="14" t="s">
        <v>430</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440</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441</v>
      </c>
      <c r="C10" s="14" t="s">
        <v>418</v>
      </c>
      <c r="D10" s="14" t="s">
        <v>428</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442</v>
      </c>
      <c r="C11" s="1" t="s">
        <v>419</v>
      </c>
      <c r="D11" s="60" t="s">
        <v>548</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443</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444</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445</v>
      </c>
      <c r="C14" s="52" t="s">
        <v>550</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436</v>
      </c>
      <c r="C15" s="14" t="s">
        <v>429</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437</v>
      </c>
      <c r="C16" s="14" t="s">
        <v>423</v>
      </c>
      <c r="D16" s="14" t="s">
        <v>438</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04" t="s">
        <v>144</v>
      </c>
      <c r="D26" s="105"/>
      <c r="E26" s="105"/>
      <c r="F26" s="106"/>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548</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549</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7" t="s">
        <v>162</v>
      </c>
      <c r="D33" s="108"/>
      <c r="E33" s="108"/>
      <c r="F33" s="109"/>
    </row>
    <row r="34" spans="2:9" ht="80" x14ac:dyDescent="0.75">
      <c r="B34" t="str">
        <f t="shared" si="1"/>
        <v>A.3.1 Problem / diagnosis / condition description</v>
      </c>
      <c r="C34" s="98" t="s">
        <v>163</v>
      </c>
      <c r="D34" s="98" t="s">
        <v>164</v>
      </c>
      <c r="E34" s="98"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9"/>
      <c r="D35" s="99"/>
      <c r="E35" s="99"/>
      <c r="F35" s="43" t="s">
        <v>167</v>
      </c>
      <c r="I35" s="1" t="str">
        <f t="shared" si="2"/>
        <v xml:space="preserve"> - Preferred system(s): SNOMED CT</v>
      </c>
    </row>
    <row r="36" spans="2:9" ht="32.75" thickBot="1" x14ac:dyDescent="0.9">
      <c r="C36" s="100"/>
      <c r="D36" s="100"/>
      <c r="E36" s="100"/>
      <c r="F36" s="39" t="s">
        <v>168</v>
      </c>
      <c r="I36" s="1" t="str">
        <f t="shared" si="2"/>
        <v xml:space="preserve"> - Preferred system(s): Orphacode</v>
      </c>
    </row>
    <row r="39" spans="2:9" ht="59" x14ac:dyDescent="0.75">
      <c r="D39" s="1" t="s">
        <v>431</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594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595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596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597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598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601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602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599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600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603</v>
      </c>
      <c r="E20" s="14" t="str">
        <f t="shared" si="0"/>
        <v>* reason -&gt; ##34#ServiceRequest.reasonCode##34#</v>
      </c>
    </row>
    <row r="21" spans="1:15" x14ac:dyDescent="0.75">
      <c r="A21" s="9"/>
      <c r="B21" s="9" t="str">
        <f>'A2 Order'!B16</f>
        <v>reason.code</v>
      </c>
      <c r="C21" s="9" t="s">
        <v>603</v>
      </c>
      <c r="E21" s="14" t="str">
        <f t="shared" si="0"/>
        <v>* reason.code -&gt; ##34#ServiceRequest.reasonCode##34#</v>
      </c>
    </row>
    <row r="22" spans="1:15" x14ac:dyDescent="0.75">
      <c r="A22" s="9"/>
      <c r="B22" s="9">
        <f>'A2 Order'!B17</f>
        <v>0</v>
      </c>
      <c r="C22" s="53" t="s">
        <v>354</v>
      </c>
      <c r="E22" s="14" t="str">
        <f t="shared" si="0"/>
        <v>*  -&gt; ##34###34#</v>
      </c>
    </row>
    <row r="23" spans="1:15" x14ac:dyDescent="0.75">
      <c r="A23" s="9"/>
      <c r="B23" s="9">
        <f>'A2 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446</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(A.2) and reason (A3)##334#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307</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topLeftCell="C25" workbookViewId="0">
      <selection activeCell="D29" sqref="D2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754</v>
      </c>
      <c r="D3" s="73" t="s">
        <v>684</v>
      </c>
      <c r="E3" t="str">
        <f>"http://hl7.eu/fhir/laboratory/StructureDefinition/"&amp;'A2 Order'!B5</f>
        <v>http://hl7.eu/fhir/laboratory/StructureDefinition/Order</v>
      </c>
    </row>
    <row r="4" spans="1:19" x14ac:dyDescent="0.75">
      <c r="B4" s="73" t="s">
        <v>19</v>
      </c>
      <c r="C4" s="54" t="s">
        <v>768</v>
      </c>
      <c r="D4" s="73" t="s">
        <v>685</v>
      </c>
      <c r="E4" s="110" t="s">
        <v>713</v>
      </c>
      <c r="F4" s="110"/>
      <c r="G4" s="110"/>
    </row>
    <row r="5" spans="1:19" x14ac:dyDescent="0.75">
      <c r="B5" s="73" t="s">
        <v>13</v>
      </c>
      <c r="C5" s="10" t="s">
        <v>755</v>
      </c>
      <c r="D5" s="73"/>
      <c r="E5" s="10"/>
    </row>
    <row r="6" spans="1:19" x14ac:dyDescent="0.75">
      <c r="B6" s="73" t="s">
        <v>35</v>
      </c>
      <c r="C6" s="72" t="s">
        <v>674</v>
      </c>
      <c r="D6" s="73" t="s">
        <v>681</v>
      </c>
      <c r="E6" s="110" t="str">
        <f>E3</f>
        <v>http://hl7.eu/fhir/laboratory/StructureDefinition/Order</v>
      </c>
      <c r="F6" s="110"/>
      <c r="G6" s="110"/>
    </row>
    <row r="7" spans="1:19" x14ac:dyDescent="0.75">
      <c r="B7" s="73" t="s">
        <v>18</v>
      </c>
      <c r="C7" s="80" t="s">
        <v>677</v>
      </c>
      <c r="D7" s="73" t="s">
        <v>682</v>
      </c>
      <c r="E7" s="110" t="s">
        <v>713</v>
      </c>
      <c r="F7" s="110"/>
      <c r="G7" s="110"/>
    </row>
    <row r="8" spans="1:19" ht="44.25" x14ac:dyDescent="0.75">
      <c r="B8" s="73" t="s">
        <v>675</v>
      </c>
      <c r="C8" s="10" t="s">
        <v>755</v>
      </c>
      <c r="D8" s="73"/>
      <c r="E8" s="10"/>
      <c r="I8" s="14" t="s">
        <v>647</v>
      </c>
      <c r="J8" s="14" t="s">
        <v>648</v>
      </c>
      <c r="K8" s="14" t="s">
        <v>649</v>
      </c>
      <c r="L8" s="14" t="s">
        <v>650</v>
      </c>
      <c r="M8" s="9" t="s">
        <v>651</v>
      </c>
      <c r="P8" s="69" t="s">
        <v>652</v>
      </c>
      <c r="Q8" s="69">
        <v>6</v>
      </c>
    </row>
    <row r="9" spans="1:19" ht="29.5" x14ac:dyDescent="0.75">
      <c r="B9" s="73" t="s">
        <v>676</v>
      </c>
      <c r="C9" s="1" t="s">
        <v>756</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'A2 Order'!B5</f>
        <v>Order</v>
      </c>
      <c r="C14" s="9"/>
      <c r="D14" s="4" t="s">
        <v>758</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659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367</v>
      </c>
      <c r="E16" s="9"/>
      <c r="F16" s="75" t="s">
        <v>659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759</v>
      </c>
      <c r="E17" s="9"/>
      <c r="F17" s="75" t="s">
        <v>659</v>
      </c>
      <c r="G17" s="75" t="s">
        <v>760</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761</v>
      </c>
      <c r="E18" s="9"/>
      <c r="F18" s="75" t="s">
        <v>658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884</v>
      </c>
      <c r="E19" s="9"/>
      <c r="F19" s="75" t="s">
        <v>659</v>
      </c>
      <c r="G19" s="75" t="s">
        <v>760</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885</v>
      </c>
      <c r="E20" s="9"/>
      <c r="F20" s="75" t="s">
        <v>659</v>
      </c>
      <c r="G20" s="14" t="s">
        <v>762</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73.75" x14ac:dyDescent="0.75">
      <c r="A21" s="23"/>
      <c r="B21" s="9" t="str">
        <f>'A2 Order'!B12</f>
        <v>orderDetails.orderPlacerName</v>
      </c>
      <c r="C21" s="9" t="str">
        <f>'A2 Order'!C12</f>
        <v>A.2.4 Order placer name</v>
      </c>
      <c r="D21" s="14" t="s">
        <v>888</v>
      </c>
      <c r="E21" s="9"/>
      <c r="F21" s="75" t="s">
        <v>659</v>
      </c>
      <c r="G21" s="14" t="s">
        <v>763</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88.5" x14ac:dyDescent="0.75">
      <c r="A22" s="23"/>
      <c r="B22" s="9" t="str">
        <f>'A2 Order'!B13</f>
        <v>orderDetails.orderPlacerContacts</v>
      </c>
      <c r="C22" s="9" t="str">
        <f>'A2 Order'!C13</f>
        <v>A.2.5 Order placer contact details</v>
      </c>
      <c r="D22" s="14" t="s">
        <v>886</v>
      </c>
      <c r="E22" s="9"/>
      <c r="F22" s="75" t="s">
        <v>659</v>
      </c>
      <c r="G22" s="14" t="s">
        <v>766</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887</v>
      </c>
      <c r="E23" s="9"/>
      <c r="F23" s="75" t="s">
        <v>659</v>
      </c>
      <c r="G23" s="14" t="s">
        <v>767</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886</v>
      </c>
      <c r="E24" s="9"/>
      <c r="F24" s="75" t="s">
        <v>659</v>
      </c>
      <c r="G24" s="14" t="s">
        <v>765</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889</v>
      </c>
      <c r="E25" s="9"/>
      <c r="F25" s="75" t="s">
        <v>658</v>
      </c>
      <c r="G25" s="14" t="s">
        <v>764</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769</v>
      </c>
      <c r="E26" s="9"/>
      <c r="F26" s="75" t="s">
        <v>659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770</v>
      </c>
      <c r="E27" s="9"/>
      <c r="F27" s="75" t="s">
        <v>659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769</v>
      </c>
      <c r="E28" s="14"/>
      <c r="F28" s="75" t="s">
        <v>658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749</v>
      </c>
    </row>
    <row r="3" spans="2:7" x14ac:dyDescent="0.75">
      <c r="B3" s="33" t="s">
        <v>37</v>
      </c>
    </row>
    <row r="4" spans="2:7" x14ac:dyDescent="0.75">
      <c r="B4" s="77" t="str">
        <f>"Instance: "&amp;'Order-ConceptMap-1'!C4</f>
        <v>Instance: ConceptMap-eu-order2FHIR</v>
      </c>
    </row>
    <row r="5" spans="2:7" x14ac:dyDescent="0.75">
      <c r="B5" s="77" t="s">
        <v>662</v>
      </c>
    </row>
    <row r="6" spans="2:7" x14ac:dyDescent="0.75">
      <c r="B6" s="77" t="s">
        <v>663</v>
      </c>
    </row>
    <row r="7" spans="2:7" x14ac:dyDescent="0.75">
      <c r="B7" s="77" t="s">
        <v>673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664</v>
      </c>
    </row>
    <row r="11" spans="2:7" x14ac:dyDescent="0.75">
      <c r="B11" s="77" t="s">
        <v>665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457</v>
      </c>
      <c r="I4" s="25" t="str">
        <f>CONCATENATE("Logical: ",B4)</f>
        <v>Logical: SpecimenLabEhn</v>
      </c>
    </row>
    <row r="5" spans="1:11" x14ac:dyDescent="0.75">
      <c r="A5" s="18" t="s">
        <v>19</v>
      </c>
      <c r="B5" s="34" t="s">
        <v>562</v>
      </c>
      <c r="I5" s="25" t="str">
        <f>CONCATENATE("Id: ",B5)</f>
        <v>Id: SpecimenLab</v>
      </c>
    </row>
    <row r="6" spans="1:11" x14ac:dyDescent="0.75">
      <c r="A6" s="18" t="s">
        <v>13</v>
      </c>
      <c r="B6" s="19" t="s">
        <v>909</v>
      </c>
      <c r="I6" s="26" t="str">
        <f>CONCATENATE("Title: ##34#",B6,"##34#")</f>
        <v>Title: ##34#A.4 - Specimen information##34#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448</v>
      </c>
      <c r="D8" s="14" t="s">
        <v>461</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470</v>
      </c>
      <c r="C9" s="14" t="s">
        <v>449</v>
      </c>
      <c r="D9" s="37" t="s">
        <v>462</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471</v>
      </c>
      <c r="C10" s="1" t="s">
        <v>450</v>
      </c>
      <c r="D10" s="14" t="s">
        <v>463</v>
      </c>
      <c r="E10" s="9">
        <v>0</v>
      </c>
      <c r="F10" s="9" t="s">
        <v>11</v>
      </c>
      <c r="G10" s="9" t="s">
        <v>1</v>
      </c>
      <c r="H10" s="23"/>
      <c r="I10" s="14" t="str">
        <f t="shared" si="0"/>
        <v>* material 0..* CodeableConcept ##34#A.4.3 Material##34# ##334#Specimen material. - Preferred system(s): SNOMED CT##334#</v>
      </c>
    </row>
    <row r="11" spans="1:11" ht="29.5" x14ac:dyDescent="0.75">
      <c r="A11" s="59">
        <v>4</v>
      </c>
      <c r="B11" s="9" t="s">
        <v>787</v>
      </c>
      <c r="C11" s="14" t="s">
        <v>451</v>
      </c>
      <c r="D11" s="60" t="s">
        <v>464</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472</v>
      </c>
      <c r="C12" s="52" t="s">
        <v>452</v>
      </c>
      <c r="D12" s="14" t="s">
        <v>465</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474</v>
      </c>
      <c r="C13" s="52" t="s">
        <v>453</v>
      </c>
      <c r="D13" s="14" t="s">
        <v>466</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473</v>
      </c>
      <c r="C14" s="14" t="s">
        <v>454</v>
      </c>
      <c r="D14" s="52" t="s">
        <v>469</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475</v>
      </c>
      <c r="C15" t="s">
        <v>455</v>
      </c>
      <c r="D15" s="1" t="s">
        <v>467</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476</v>
      </c>
      <c r="C16" t="s">
        <v>456</v>
      </c>
      <c r="D16" s="1" t="s">
        <v>468</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7" t="s">
        <v>169</v>
      </c>
      <c r="D26" s="108"/>
      <c r="E26" s="108"/>
      <c r="F26" s="109"/>
    </row>
    <row r="27" spans="2:9" ht="112.75" thickBot="1" x14ac:dyDescent="0.9">
      <c r="B27" t="str">
        <f t="shared" si="1"/>
        <v>A.4.1 Specimen identifier</v>
      </c>
      <c r="C27" s="36" t="s">
        <v>170</v>
      </c>
      <c r="D27" s="39" t="s">
        <v>171</v>
      </c>
      <c r="E27" s="37" t="s">
        <v>458</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8" t="s">
        <v>188</v>
      </c>
      <c r="D33" s="101" t="s">
        <v>189</v>
      </c>
      <c r="E33" s="98"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9"/>
      <c r="D34" s="102"/>
      <c r="E34" s="99"/>
      <c r="F34" s="41"/>
      <c r="I34" s="1" t="str">
        <f t="shared" si="2"/>
        <v xml:space="preserve"> - Preferred system(s): </v>
      </c>
    </row>
    <row r="35" spans="2:9" ht="16.75" thickBot="1" x14ac:dyDescent="0.9">
      <c r="B35" t="str">
        <f t="shared" si="1"/>
        <v xml:space="preserve"> </v>
      </c>
      <c r="C35" s="100"/>
      <c r="D35" s="103"/>
      <c r="E35" s="100"/>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459</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460</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604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605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606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607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608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609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610</v>
      </c>
      <c r="E17" s="14" t="str">
        <f t="shared" si="1"/>
        <v>* collectionMethod -&gt; ##34#Specimen.collection.method##34#</v>
      </c>
      <c r="G17" s="1" t="s">
        <v>32</v>
      </c>
    </row>
    <row r="18" spans="1:7" x14ac:dyDescent="0.75">
      <c r="A18" s="9">
        <v>9</v>
      </c>
      <c r="B18" s="9" t="str">
        <f>'A.4 Specimen'!B16</f>
        <v>receivedDateTime</v>
      </c>
      <c r="C18" s="9" t="s">
        <v>611</v>
      </c>
      <c r="E18" s="14" t="str">
        <f t="shared" si="1"/>
        <v>* receivedDateTime -&gt; ##34#Specimen.receivedTime##34#</v>
      </c>
      <c r="G18" s="1" t="s">
        <v>33</v>
      </c>
    </row>
    <row r="19" spans="1:7" x14ac:dyDescent="0.75">
      <c r="A19" s="9">
        <v>10</v>
      </c>
      <c r="B19" s="9">
        <f>'A.4 Specimen'!B17</f>
        <v>0</v>
      </c>
      <c r="C19" s="9" t="s">
        <v>354</v>
      </c>
      <c r="E19" s="14" t="str">
        <f t="shared" si="1"/>
        <v>*  -&gt; ##34###34#</v>
      </c>
    </row>
    <row r="20" spans="1:7" x14ac:dyDescent="0.75">
      <c r="A20" s="9"/>
      <c r="B20" s="9">
        <f>'A.4 Specimen'!B18</f>
        <v>0</v>
      </c>
      <c r="C20" s="9" t="s">
        <v>354</v>
      </c>
      <c r="E20" s="14" t="str">
        <f t="shared" si="1"/>
        <v>*  -&gt; ##34###34#</v>
      </c>
    </row>
    <row r="21" spans="1:7" x14ac:dyDescent="0.75">
      <c r="B21" s="9">
        <f>'A.4 Specimen'!B19</f>
        <v>0</v>
      </c>
      <c r="C21" s="9" t="s">
        <v>354</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477</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##334#A.4 Specimen information##334#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307</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collected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71"/>
  <sheetViews>
    <sheetView topLeftCell="J32" workbookViewId="0">
      <selection activeCell="P15" sqref="P15:S7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778</v>
      </c>
      <c r="D3" s="73" t="s">
        <v>684</v>
      </c>
      <c r="E3" s="84" t="str">
        <f>"http://hl7.eu/fhir/laboratory/StructureDefinition/"&amp;'A.4 Specimen'!B5</f>
        <v>http://hl7.eu/fhir/laboratory/StructureDefinition/SpecimenLab</v>
      </c>
    </row>
    <row r="4" spans="1:19" x14ac:dyDescent="0.75">
      <c r="B4" s="73" t="s">
        <v>19</v>
      </c>
      <c r="C4" s="54" t="s">
        <v>779</v>
      </c>
      <c r="D4" s="73" t="s">
        <v>685</v>
      </c>
      <c r="E4" s="111" t="s">
        <v>911</v>
      </c>
      <c r="F4" s="110"/>
      <c r="G4" s="110"/>
    </row>
    <row r="5" spans="1:19" x14ac:dyDescent="0.75">
      <c r="B5" s="73" t="s">
        <v>13</v>
      </c>
      <c r="C5" s="10" t="s">
        <v>780</v>
      </c>
      <c r="D5" s="73"/>
      <c r="E5" s="10"/>
    </row>
    <row r="6" spans="1:19" x14ac:dyDescent="0.75">
      <c r="B6" s="73" t="s">
        <v>35</v>
      </c>
      <c r="C6" s="72"/>
      <c r="D6" s="73" t="s">
        <v>681</v>
      </c>
      <c r="E6" s="111" t="str">
        <f>E3</f>
        <v>http://hl7.eu/fhir/laboratory/StructureDefinition/SpecimenLab</v>
      </c>
      <c r="F6" s="110"/>
      <c r="G6" s="110"/>
    </row>
    <row r="7" spans="1:19" x14ac:dyDescent="0.75">
      <c r="B7" s="73" t="s">
        <v>18</v>
      </c>
      <c r="C7" s="80"/>
      <c r="D7" s="73" t="s">
        <v>682</v>
      </c>
      <c r="E7" s="111" t="s">
        <v>911</v>
      </c>
      <c r="F7" s="110"/>
      <c r="G7" s="110"/>
    </row>
    <row r="8" spans="1:19" ht="44.25" x14ac:dyDescent="0.75">
      <c r="B8" s="73" t="s">
        <v>675</v>
      </c>
      <c r="C8" s="53" t="s">
        <v>781</v>
      </c>
      <c r="D8" s="73"/>
      <c r="E8" s="10"/>
      <c r="I8" s="14" t="s">
        <v>647</v>
      </c>
      <c r="J8" s="14" t="s">
        <v>648</v>
      </c>
      <c r="K8" s="14" t="s">
        <v>649</v>
      </c>
      <c r="L8" s="14" t="s">
        <v>650</v>
      </c>
      <c r="M8" s="9" t="s">
        <v>651</v>
      </c>
      <c r="P8" s="69" t="s">
        <v>652</v>
      </c>
      <c r="Q8" s="69">
        <v>6</v>
      </c>
    </row>
    <row r="9" spans="1:19" ht="29.5" x14ac:dyDescent="0.75">
      <c r="B9" s="73" t="s">
        <v>676</v>
      </c>
      <c r="C9" s="14" t="s">
        <v>782</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'A.4 Specimen'!B5</f>
        <v>SpecimenLab</v>
      </c>
      <c r="C14" s="9"/>
      <c r="D14" s="4" t="s">
        <v>783</v>
      </c>
      <c r="E14" s="8"/>
      <c r="F14" s="75"/>
      <c r="G14" s="75"/>
      <c r="I14" s="14"/>
      <c r="J14" s="9"/>
      <c r="K14" s="9"/>
      <c r="L14" s="9"/>
      <c r="M14" s="71"/>
      <c r="N14" s="74"/>
    </row>
    <row r="15" spans="1:19" ht="73.75" x14ac:dyDescent="0.75">
      <c r="A15" s="23"/>
      <c r="B15" s="9" t="str">
        <f>'A.4 Specimen'!B8</f>
        <v>identifier</v>
      </c>
      <c r="C15" s="9" t="str">
        <f>'A.4 Specimen'!C8</f>
        <v>A.4.1 Specimen identifier</v>
      </c>
      <c r="D15" s="14" t="s">
        <v>367</v>
      </c>
      <c r="E15" s="62"/>
      <c r="F15" s="75" t="s">
        <v>658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Q52" si="5">IF(MOD(P15,$Q$8)=0,P15/$Q$8-1,INT(P15/$Q$8))</f>
        <v>0</v>
      </c>
      <c r="R15" s="9">
        <f t="shared" ref="R15:R52" si="6">IF(MOD(P15,$Q$8)=0,$Q$8,MOD(P15,$Q$8))</f>
        <v>1</v>
      </c>
      <c r="S15" s="14" t="str" cm="1">
        <f t="array" ref="S15">INDEX('Specimen-ConceptMap-1'!$I$15:$N$123,Q15+1,R15)</f>
        <v>* group[=].element[+].code = #SpecimenLab.identifier</v>
      </c>
    </row>
    <row r="16" spans="1:19" ht="44.25" customHeight="1" x14ac:dyDescent="0.75">
      <c r="A16" s="23"/>
      <c r="B16" s="53" t="str">
        <f>'A.4 Specimen'!B9</f>
        <v>speciesType</v>
      </c>
      <c r="C16" s="9" t="str">
        <f>'A.4 Specimen'!C9</f>
        <v>A.4.2 Type of species</v>
      </c>
      <c r="D16" s="14" t="s">
        <v>910</v>
      </c>
      <c r="E16" s="9"/>
      <c r="F16" s="75" t="s">
        <v>659</v>
      </c>
      <c r="G16" s="85" t="s">
        <v>785</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#Specimen.subject.extension:patient-animal.extension:species</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##34#to be checked##34#</v>
      </c>
      <c r="P16" s="9">
        <v>2</v>
      </c>
      <c r="Q16" s="9">
        <f t="shared" ref="Q16:Q53" si="13">IF(MOD(P16,$Q$8)=0,P16/$Q$8-1,INT(P16/$Q$8))</f>
        <v>0</v>
      </c>
      <c r="R16" s="9">
        <f t="shared" ref="R16:R53" si="14">IF(MOD(P16,$Q$8)=0,$Q$8,MOD(P16,$Q$8))</f>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784</v>
      </c>
      <c r="E17" s="9"/>
      <c r="F17" s="75" t="s">
        <v>658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12"/>
        <v/>
      </c>
      <c r="P17" s="9">
        <v>3</v>
      </c>
      <c r="Q17" s="9">
        <f t="shared" si="13"/>
        <v>0</v>
      </c>
      <c r="R17" s="9">
        <f t="shared" si="14"/>
        <v>3</v>
      </c>
      <c r="S17" s="14" t="str" cm="1">
        <f t="array" ref="S17">INDEX('Specimen-ConceptMap-1'!$I$15:$N$123,Q17+1,R17)</f>
        <v>* group[=].element[=].target.code = #Specimen.identifier</v>
      </c>
    </row>
    <row r="18" spans="1:19" ht="59" x14ac:dyDescent="0.75">
      <c r="A18" s="23"/>
      <c r="B18" s="9" t="str">
        <f>'A.4 Specimen'!B11</f>
        <v>collected</v>
      </c>
      <c r="C18" s="9" t="str">
        <f>'A.4 Specimen'!C11</f>
        <v>A.4.4 Collection period</v>
      </c>
      <c r="D18" s="14" t="s">
        <v>786</v>
      </c>
      <c r="E18" s="9"/>
      <c r="F18" s="75" t="s">
        <v>658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13"/>
        <v>0</v>
      </c>
      <c r="R18" s="9">
        <f t="shared" si="14"/>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788</v>
      </c>
      <c r="E19" s="9"/>
      <c r="F19" s="75" t="s">
        <v>659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13"/>
        <v>0</v>
      </c>
      <c r="R19" s="9">
        <f t="shared" si="14"/>
        <v>5</v>
      </c>
      <c r="S19" s="14" t="str" cm="1">
        <f t="array" ref="S19">INDEX('Specimen-ConceptMap-1'!$I$15:$N$123,Q19+1,R19)</f>
        <v>* group[=].element[=].target.equivalence = #equivalent</v>
      </c>
    </row>
    <row r="20" spans="1:19" ht="73.75" x14ac:dyDescent="0.75">
      <c r="A20" s="23"/>
      <c r="B20" s="9" t="str">
        <f>'A.4 Specimen'!B13</f>
        <v>morphology</v>
      </c>
      <c r="C20" s="9" t="str">
        <f>'A.4 Specimen'!C13</f>
        <v>A.4.6 Morphology</v>
      </c>
      <c r="D20" s="14" t="s">
        <v>913</v>
      </c>
      <c r="E20" s="14"/>
      <c r="F20" s="75" t="s">
        <v>659</v>
      </c>
      <c r="G20" s="85" t="s">
        <v>789</v>
      </c>
      <c r="H20" s="76"/>
      <c r="I20" s="14" t="str">
        <f t="shared" si="7"/>
        <v>* group[=].element[+].code = #SpecimenLab.morphology</v>
      </c>
      <c r="J20" s="14" t="str">
        <f t="shared" si="8"/>
        <v>* group[=].element[=].display = ##34#A.4.6 Morphology##34#</v>
      </c>
      <c r="K20" s="14" t="str">
        <f t="shared" si="9"/>
        <v>* group[=].element[=].target.code = #Specimen.extension:SpecimenFeatureTypeR5</v>
      </c>
      <c r="L20" s="14" t="str">
        <f t="shared" si="10"/>
        <v>* group[=].element[=].target.display = ##34###34#</v>
      </c>
      <c r="M20" s="14" t="str">
        <f t="shared" si="11"/>
        <v>* group[=].element[=].target.equivalence = #relatedto</v>
      </c>
      <c r="N20" s="14" t="str">
        <f t="shared" si="12"/>
        <v>* group[=].element[=].target.comment = ##34#to be checked. This is an R5 element##34#</v>
      </c>
      <c r="P20" s="9">
        <v>6</v>
      </c>
      <c r="Q20" s="9">
        <f t="shared" si="13"/>
        <v>0</v>
      </c>
      <c r="R20" s="9">
        <f t="shared" si="14"/>
        <v>6</v>
      </c>
      <c r="S20" s="14" t="str" cm="1">
        <f t="array" ref="S20">INDEX('Specimen-ConceptMap-1'!$I$15:$N$123,Q20+1,R20)</f>
        <v/>
      </c>
    </row>
    <row r="21" spans="1:19" ht="73.75" x14ac:dyDescent="0.75">
      <c r="A21" s="23"/>
      <c r="B21" s="9" t="str">
        <f>'A.4 Specimen'!B14</f>
        <v>sourceDevice</v>
      </c>
      <c r="C21" s="9" t="str">
        <f>'A.4 Specimen'!C14</f>
        <v>A.4.7 Source Device</v>
      </c>
      <c r="D21" s="14" t="s">
        <v>912</v>
      </c>
      <c r="E21" s="9"/>
      <c r="F21" s="75" t="s">
        <v>659</v>
      </c>
      <c r="G21" s="85" t="s">
        <v>789</v>
      </c>
      <c r="H21" s="76"/>
      <c r="I21" s="14" t="str">
        <f t="shared" si="7"/>
        <v>* group[=].element[+].code = #SpecimenLab.sourceDevice</v>
      </c>
      <c r="J21" s="14" t="str">
        <f t="shared" si="8"/>
        <v>* group[=].element[=].display = ##34#A.4.7 Source Device##34#</v>
      </c>
      <c r="K21" s="14" t="str">
        <f t="shared" si="9"/>
        <v>* group[=].element[=].target.code = #Specimen.collection.extension:R5Specimen-collection-device</v>
      </c>
      <c r="L21" s="14" t="str">
        <f t="shared" si="10"/>
        <v>* group[=].element[=].target.display = ##34###34#</v>
      </c>
      <c r="M21" s="14" t="str">
        <f t="shared" si="11"/>
        <v>* group[=].element[=].target.equivalence = #relatedto</v>
      </c>
      <c r="N21" s="14" t="str">
        <f t="shared" si="12"/>
        <v>* group[=].element[=].target.comment = ##34#to be checked. This is an R5 element##34#</v>
      </c>
      <c r="P21" s="9">
        <v>7</v>
      </c>
      <c r="Q21" s="9">
        <f t="shared" si="13"/>
        <v>1</v>
      </c>
      <c r="R21" s="9">
        <f t="shared" si="14"/>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790</v>
      </c>
      <c r="E22" s="9"/>
      <c r="F22" s="75" t="s">
        <v>658</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13"/>
        <v>1</v>
      </c>
      <c r="R22" s="9">
        <f t="shared" si="14"/>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791</v>
      </c>
      <c r="E23" s="9"/>
      <c r="F23" s="75" t="s">
        <v>658</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13"/>
        <v>1</v>
      </c>
      <c r="R23" s="9">
        <f t="shared" si="14"/>
        <v>3</v>
      </c>
      <c r="S23" s="14" t="str" cm="1">
        <f t="array" ref="S23">INDEX('Specimen-ConceptMap-1'!$I$15:$N$123,Q23+1,R23)</f>
        <v>* group[=].element[=].target.code = #Specimen.subject.extension:patient-animal.extension:species</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3"/>
        <v>1</v>
      </c>
      <c r="R25" s="9">
        <f t="shared" si="14"/>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3"/>
        <v>1</v>
      </c>
      <c r="R26" s="9">
        <f t="shared" si="14"/>
        <v>6</v>
      </c>
      <c r="S26" s="14" t="str" cm="1">
        <f t="array" ref="S26">INDEX('Specimen-ConceptMap-1'!$I$15:$N$123,Q26+1,R26)</f>
        <v>* group[=].element[=].target.comment = ##34#to be checked##34#</v>
      </c>
    </row>
    <row r="27" spans="1:19" x14ac:dyDescent="0.75">
      <c r="B27" s="9"/>
      <c r="C27" s="9"/>
      <c r="D27" s="14"/>
      <c r="E27" s="14"/>
      <c r="F27" s="75"/>
      <c r="G27" s="75"/>
      <c r="H27" s="76"/>
      <c r="I27" s="14"/>
      <c r="J27" s="14"/>
      <c r="K27" s="14"/>
      <c r="L27" s="14"/>
      <c r="M27" s="14"/>
      <c r="N27" s="14"/>
      <c r="P27" s="9">
        <v>13</v>
      </c>
      <c r="Q27" s="9">
        <f t="shared" si="13"/>
        <v>2</v>
      </c>
      <c r="R27" s="9">
        <f t="shared" si="14"/>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13"/>
        <v>2</v>
      </c>
      <c r="R28" s="9">
        <f t="shared" si="14"/>
        <v>2</v>
      </c>
      <c r="S28" s="14" t="str" cm="1">
        <f t="array" ref="S28">INDEX('Specimen-ConceptMap-1'!$I$15:$N$123,Q28+1,R28)</f>
        <v>* group[=].element[=].display = ##34#A.4.3 Material##34#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INDEX('Specimen-ConceptMap-1'!$I$15:$N$123,Q31+1,R31)</f>
        <v>* group[=].element[=].target.equivalence = #equivalent</v>
      </c>
    </row>
    <row r="32" spans="1:19" x14ac:dyDescent="0.75">
      <c r="B32" s="9"/>
      <c r="C32" s="9"/>
      <c r="D32" s="14"/>
      <c r="E32" s="14"/>
      <c r="F32" s="75"/>
      <c r="G32" s="75"/>
      <c r="H32" s="76"/>
      <c r="I32" s="14"/>
      <c r="J32" s="14"/>
      <c r="K32" s="14"/>
      <c r="L32" s="14"/>
      <c r="M32" s="14"/>
      <c r="N32" s="14"/>
      <c r="P32" s="9">
        <v>18</v>
      </c>
      <c r="Q32" s="9">
        <f t="shared" si="13"/>
        <v>2</v>
      </c>
      <c r="R32" s="9">
        <f t="shared" si="14"/>
        <v>6</v>
      </c>
      <c r="S32" s="14" t="str" cm="1">
        <f t="array" ref="S32">INDEX('Specimen-ConceptMap-1'!$I$15:$N$123,Q32+1,R32)</f>
        <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13"/>
        <v>3</v>
      </c>
      <c r="R34" s="9">
        <f t="shared" si="14"/>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13"/>
        <v>3</v>
      </c>
      <c r="R35" s="9">
        <f t="shared" si="14"/>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13"/>
        <v>3</v>
      </c>
      <c r="R37" s="9">
        <f t="shared" si="14"/>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13"/>
        <v>3</v>
      </c>
      <c r="R38" s="9">
        <f t="shared" si="14"/>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13"/>
        <v>4</v>
      </c>
      <c r="R39" s="9">
        <f t="shared" si="14"/>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13"/>
        <v>4</v>
      </c>
      <c r="R40" s="9">
        <f t="shared" si="14"/>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13"/>
        <v>4</v>
      </c>
      <c r="R41" s="9">
        <f t="shared" si="14"/>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13"/>
        <v>4</v>
      </c>
      <c r="R42" s="9">
        <f t="shared" si="14"/>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13"/>
        <v>4</v>
      </c>
      <c r="R43" s="9">
        <f t="shared" si="14"/>
        <v>5</v>
      </c>
      <c r="S43" s="14" t="str" cm="1">
        <f t="array" ref="S43">INDEX('Specimen-ConceptMap-1'!$I$15:$N$123,Q43+1,R43)</f>
        <v>* group[=].element[=].target.equivalence = #relatedto</v>
      </c>
    </row>
    <row r="44" spans="1:19" x14ac:dyDescent="0.75">
      <c r="P44" s="9">
        <v>30</v>
      </c>
      <c r="Q44" s="9">
        <f t="shared" si="13"/>
        <v>4</v>
      </c>
      <c r="R44" s="9">
        <f t="shared" si="14"/>
        <v>6</v>
      </c>
      <c r="S44" s="14" t="str" cm="1">
        <f t="array" ref="S44">INDEX('Specimen-ConceptMap-1'!$I$15:$N$123,Q44+1,R44)</f>
        <v/>
      </c>
    </row>
    <row r="45" spans="1:19" x14ac:dyDescent="0.75">
      <c r="P45" s="9">
        <v>31</v>
      </c>
      <c r="Q45" s="9">
        <f t="shared" si="13"/>
        <v>5</v>
      </c>
      <c r="R45" s="9">
        <f t="shared" si="14"/>
        <v>1</v>
      </c>
      <c r="S45" s="14" t="str" cm="1">
        <f t="array" ref="S45">INDEX('Specimen-ConceptMap-1'!$I$15:$N$123,Q45+1,R45)</f>
        <v>* group[=].element[+].code = #SpecimenLab.morphology</v>
      </c>
    </row>
    <row r="46" spans="1:19" x14ac:dyDescent="0.75">
      <c r="P46" s="9">
        <v>32</v>
      </c>
      <c r="Q46" s="9">
        <f t="shared" si="13"/>
        <v>5</v>
      </c>
      <c r="R46" s="9">
        <f t="shared" si="14"/>
        <v>2</v>
      </c>
      <c r="S46" s="14" t="str" cm="1">
        <f t="array" ref="S46">INDEX('Specimen-ConceptMap-1'!$I$15:$N$123,Q46+1,R46)</f>
        <v>* group[=].element[=].display = ##34#A.4.6 Morphology##34#</v>
      </c>
    </row>
    <row r="47" spans="1:19" x14ac:dyDescent="0.75">
      <c r="P47" s="9">
        <v>33</v>
      </c>
      <c r="Q47" s="9">
        <f t="shared" si="13"/>
        <v>5</v>
      </c>
      <c r="R47" s="9">
        <f t="shared" si="14"/>
        <v>3</v>
      </c>
      <c r="S47" s="14" t="str" cm="1">
        <f t="array" ref="S47">INDEX('Specimen-ConceptMap-1'!$I$15:$N$123,Q47+1,R47)</f>
        <v>* group[=].element[=].target.code = #Specimen.extension:SpecimenFeatureTypeR5</v>
      </c>
    </row>
    <row r="48" spans="1:19" x14ac:dyDescent="0.75">
      <c r="P48" s="9">
        <v>34</v>
      </c>
      <c r="Q48" s="9">
        <f t="shared" si="13"/>
        <v>5</v>
      </c>
      <c r="R48" s="9">
        <f t="shared" si="14"/>
        <v>4</v>
      </c>
      <c r="S48" s="14" t="str" cm="1">
        <f t="array" ref="S48">INDEX('Specimen-ConceptMap-1'!$I$15:$N$123,Q48+1,R48)</f>
        <v>* group[=].element[=].target.display = ##34###34#</v>
      </c>
    </row>
    <row r="49" spans="16:19" x14ac:dyDescent="0.75">
      <c r="P49" s="9">
        <v>35</v>
      </c>
      <c r="Q49" s="9">
        <f t="shared" si="13"/>
        <v>5</v>
      </c>
      <c r="R49" s="9">
        <f t="shared" si="14"/>
        <v>5</v>
      </c>
      <c r="S49" s="14" t="str" cm="1">
        <f t="array" ref="S49">INDEX('Specimen-ConceptMap-1'!$I$15:$N$123,Q49+1,R49)</f>
        <v>* group[=].element[=].target.equivalence = #relatedto</v>
      </c>
    </row>
    <row r="50" spans="16:19" x14ac:dyDescent="0.75">
      <c r="P50" s="9">
        <v>36</v>
      </c>
      <c r="Q50" s="9">
        <f t="shared" si="13"/>
        <v>5</v>
      </c>
      <c r="R50" s="9">
        <f t="shared" si="14"/>
        <v>6</v>
      </c>
      <c r="S50" s="14" t="str" cm="1">
        <f t="array" ref="S50">INDEX('Specimen-ConceptMap-1'!$I$15:$N$123,Q50+1,R50)</f>
        <v>* group[=].element[=].target.comment = ##34#to be checked. This is an R5 element##34#</v>
      </c>
    </row>
    <row r="51" spans="16:19" x14ac:dyDescent="0.75">
      <c r="P51" s="9">
        <v>37</v>
      </c>
      <c r="Q51" s="9">
        <f t="shared" si="13"/>
        <v>6</v>
      </c>
      <c r="R51" s="9">
        <f t="shared" si="14"/>
        <v>1</v>
      </c>
      <c r="S51" s="14" t="str" cm="1">
        <f t="array" ref="S51">INDEX('Specimen-ConceptMap-1'!$I$15:$N$123,Q51+1,R51)</f>
        <v>* group[=].element[+].code = #SpecimenLab.sourceDevice</v>
      </c>
    </row>
    <row r="52" spans="16:19" x14ac:dyDescent="0.75">
      <c r="P52" s="9">
        <v>38</v>
      </c>
      <c r="Q52" s="9">
        <f t="shared" si="13"/>
        <v>6</v>
      </c>
      <c r="R52" s="9">
        <f t="shared" si="14"/>
        <v>2</v>
      </c>
      <c r="S52" s="14" t="str" cm="1">
        <f t="array" ref="S52">INDEX('Specimen-ConceptMap-1'!$I$15:$N$123,Q52+1,R52)</f>
        <v>* group[=].element[=].display = ##34#A.4.7 Source Device##34#</v>
      </c>
    </row>
    <row r="53" spans="16:19" x14ac:dyDescent="0.75">
      <c r="P53" s="9">
        <v>39</v>
      </c>
      <c r="Q53" s="9">
        <f t="shared" si="13"/>
        <v>6</v>
      </c>
      <c r="R53" s="9">
        <f t="shared" si="14"/>
        <v>3</v>
      </c>
      <c r="S53" s="14" t="str" cm="1">
        <f t="array" ref="S53">INDEX('Specimen-ConceptMap-1'!$I$15:$N$123,Q53+1,R53)</f>
        <v>* group[=].element[=].target.code = #Specimen.collection.extension:R5Specimen-collection-device</v>
      </c>
    </row>
    <row r="54" spans="16:19" x14ac:dyDescent="0.75">
      <c r="P54" s="9">
        <v>40</v>
      </c>
      <c r="Q54" s="9">
        <f t="shared" ref="Q54:Q71" si="15">IF(MOD(P54,$Q$8)=0,P54/$Q$8-1,INT(P54/$Q$8))</f>
        <v>6</v>
      </c>
      <c r="R54" s="9">
        <f t="shared" ref="R54:R71" si="16">IF(MOD(P54,$Q$8)=0,$Q$8,MOD(P54,$Q$8))</f>
        <v>4</v>
      </c>
      <c r="S54" s="14" t="str" cm="1">
        <f t="array" ref="S54">INDEX('Specimen-ConceptMap-1'!$I$15:$N$123,Q54+1,R54)</f>
        <v>* group[=].element[=].target.display = ##34###34#</v>
      </c>
    </row>
    <row r="55" spans="16:19" x14ac:dyDescent="0.75">
      <c r="P55" s="9">
        <v>41</v>
      </c>
      <c r="Q55" s="9">
        <f t="shared" si="15"/>
        <v>6</v>
      </c>
      <c r="R55" s="9">
        <f t="shared" si="16"/>
        <v>5</v>
      </c>
      <c r="S55" s="14" t="str" cm="1">
        <f t="array" ref="S55">INDEX('Specimen-ConceptMap-1'!$I$15:$N$123,Q55+1,R55)</f>
        <v>* group[=].element[=].target.equivalence = #relatedto</v>
      </c>
    </row>
    <row r="56" spans="16:19" x14ac:dyDescent="0.75">
      <c r="P56" s="9">
        <v>42</v>
      </c>
      <c r="Q56" s="9">
        <f t="shared" si="15"/>
        <v>6</v>
      </c>
      <c r="R56" s="9">
        <f t="shared" si="16"/>
        <v>6</v>
      </c>
      <c r="S56" s="14" t="str" cm="1">
        <f t="array" ref="S56">INDEX('Specimen-ConceptMap-1'!$I$15:$N$123,Q56+1,R56)</f>
        <v>* group[=].element[=].target.comment = ##34#to be checked. This is an R5 element##34#</v>
      </c>
    </row>
    <row r="57" spans="16:19" x14ac:dyDescent="0.75">
      <c r="P57" s="9">
        <v>43</v>
      </c>
      <c r="Q57" s="9">
        <f t="shared" si="15"/>
        <v>7</v>
      </c>
      <c r="R57" s="9">
        <f t="shared" si="16"/>
        <v>1</v>
      </c>
      <c r="S57" s="14" t="str" cm="1">
        <f t="array" ref="S57">INDEX('Specimen-ConceptMap-1'!$I$15:$N$123,Q57+1,R57)</f>
        <v>* group[=].element[+].code = #SpecimenLab.collectionMethod</v>
      </c>
    </row>
    <row r="58" spans="16:19" x14ac:dyDescent="0.75">
      <c r="P58" s="9">
        <v>44</v>
      </c>
      <c r="Q58" s="9">
        <f t="shared" si="15"/>
        <v>7</v>
      </c>
      <c r="R58" s="9">
        <f t="shared" si="16"/>
        <v>2</v>
      </c>
      <c r="S58" s="14" t="str" cm="1">
        <f t="array" ref="S58">INDEX('Specimen-ConceptMap-1'!$I$15:$N$123,Q58+1,R58)</f>
        <v>* group[=].element[=].display = ##34#A.4.8 Collection procedure/method##34#</v>
      </c>
    </row>
    <row r="59" spans="16:19" x14ac:dyDescent="0.75">
      <c r="P59" s="9">
        <v>45</v>
      </c>
      <c r="Q59" s="9">
        <f t="shared" si="15"/>
        <v>7</v>
      </c>
      <c r="R59" s="9">
        <f t="shared" si="16"/>
        <v>3</v>
      </c>
      <c r="S59" s="14" t="str" cm="1">
        <f t="array" ref="S59">INDEX('Specimen-ConceptMap-1'!$I$15:$N$123,Q59+1,R59)</f>
        <v>* group[=].element[=].target.code = #Specimen.collection.method</v>
      </c>
    </row>
    <row r="60" spans="16:19" x14ac:dyDescent="0.75">
      <c r="P60" s="9">
        <v>46</v>
      </c>
      <c r="Q60" s="9">
        <f t="shared" si="15"/>
        <v>7</v>
      </c>
      <c r="R60" s="9">
        <f t="shared" si="16"/>
        <v>4</v>
      </c>
      <c r="S60" s="14" t="str" cm="1">
        <f t="array" ref="S60">INDEX('Specimen-ConceptMap-1'!$I$15:$N$123,Q60+1,R60)</f>
        <v>* group[=].element[=].target.display = ##34###34#</v>
      </c>
    </row>
    <row r="61" spans="16:19" x14ac:dyDescent="0.75">
      <c r="P61" s="9">
        <v>47</v>
      </c>
      <c r="Q61" s="9">
        <f t="shared" si="15"/>
        <v>7</v>
      </c>
      <c r="R61" s="9">
        <f t="shared" si="16"/>
        <v>5</v>
      </c>
      <c r="S61" s="14" t="str" cm="1">
        <f t="array" ref="S61">INDEX('Specimen-ConceptMap-1'!$I$15:$N$123,Q61+1,R61)</f>
        <v>* group[=].element[=].target.equivalence = #equivalent</v>
      </c>
    </row>
    <row r="62" spans="16:19" x14ac:dyDescent="0.75">
      <c r="P62" s="9">
        <v>48</v>
      </c>
      <c r="Q62" s="9">
        <f t="shared" si="15"/>
        <v>7</v>
      </c>
      <c r="R62" s="9">
        <f t="shared" si="16"/>
        <v>6</v>
      </c>
      <c r="S62" s="14" t="str" cm="1">
        <f t="array" ref="S62">INDEX('Specimen-ConceptMap-1'!$I$15:$N$123,Q62+1,R62)</f>
        <v/>
      </c>
    </row>
    <row r="63" spans="16:19" x14ac:dyDescent="0.75">
      <c r="P63" s="9">
        <v>49</v>
      </c>
      <c r="Q63" s="9">
        <f t="shared" si="15"/>
        <v>8</v>
      </c>
      <c r="R63" s="9">
        <f t="shared" si="16"/>
        <v>1</v>
      </c>
      <c r="S63" s="14" t="str" cm="1">
        <f t="array" ref="S63">INDEX('Specimen-ConceptMap-1'!$I$15:$N$123,Q63+1,R63)</f>
        <v>* group[=].element[+].code = #SpecimenLab.receivedDateTime</v>
      </c>
    </row>
    <row r="64" spans="16:19" x14ac:dyDescent="0.75">
      <c r="P64" s="9">
        <v>50</v>
      </c>
      <c r="Q64" s="9">
        <f t="shared" si="15"/>
        <v>8</v>
      </c>
      <c r="R64" s="9">
        <f t="shared" si="16"/>
        <v>2</v>
      </c>
      <c r="S64" s="14" t="str" cm="1">
        <f t="array" ref="S64">INDEX('Specimen-ConceptMap-1'!$I$15:$N$123,Q64+1,R64)</f>
        <v>* group[=].element[=].display = ##34#A.4.9 Received date##34#</v>
      </c>
    </row>
    <row r="65" spans="16:19" x14ac:dyDescent="0.75">
      <c r="P65" s="9">
        <v>51</v>
      </c>
      <c r="Q65" s="9">
        <f t="shared" si="15"/>
        <v>8</v>
      </c>
      <c r="R65" s="9">
        <f t="shared" si="16"/>
        <v>3</v>
      </c>
      <c r="S65" s="14" t="str" cm="1">
        <f t="array" ref="S65">INDEX('Specimen-ConceptMap-1'!$I$15:$N$123,Q65+1,R65)</f>
        <v>* group[=].element[=].target.code = #Specimen.receivedTime</v>
      </c>
    </row>
    <row r="66" spans="16:19" x14ac:dyDescent="0.75">
      <c r="P66" s="9">
        <v>52</v>
      </c>
      <c r="Q66" s="9">
        <f t="shared" si="15"/>
        <v>8</v>
      </c>
      <c r="R66" s="9">
        <f t="shared" si="16"/>
        <v>4</v>
      </c>
      <c r="S66" s="14" t="str" cm="1">
        <f t="array" ref="S66">INDEX('Specimen-ConceptMap-1'!$I$15:$N$123,Q66+1,R66)</f>
        <v>* group[=].element[=].target.display = ##34###34#</v>
      </c>
    </row>
    <row r="67" spans="16:19" x14ac:dyDescent="0.75">
      <c r="P67" s="9">
        <v>53</v>
      </c>
      <c r="Q67" s="9">
        <f t="shared" si="15"/>
        <v>8</v>
      </c>
      <c r="R67" s="9">
        <f t="shared" si="16"/>
        <v>5</v>
      </c>
      <c r="S67" s="14" t="str" cm="1">
        <f t="array" ref="S67">INDEX('Specimen-ConceptMap-1'!$I$15:$N$123,Q67+1,R67)</f>
        <v>* group[=].element[=].target.equivalence = #equivalent</v>
      </c>
    </row>
    <row r="68" spans="16:19" x14ac:dyDescent="0.75">
      <c r="P68" s="9">
        <v>54</v>
      </c>
      <c r="Q68" s="9">
        <f t="shared" si="15"/>
        <v>8</v>
      </c>
      <c r="R68" s="9">
        <f t="shared" si="16"/>
        <v>6</v>
      </c>
      <c r="S68" s="14" t="str" cm="1">
        <f t="array" ref="S68">INDEX('Specimen-ConceptMap-1'!$I$15:$N$123,Q68+1,R68)</f>
        <v/>
      </c>
    </row>
    <row r="69" spans="16:19" x14ac:dyDescent="0.75">
      <c r="P69" s="9">
        <v>55</v>
      </c>
      <c r="Q69" s="9">
        <f t="shared" si="15"/>
        <v>9</v>
      </c>
      <c r="R69" s="9">
        <f t="shared" si="16"/>
        <v>1</v>
      </c>
      <c r="S69" s="14" cm="1">
        <f t="array" ref="S69">INDEX('Specimen-ConceptMap-1'!$I$15:$N$123,Q69+1,R69)</f>
        <v>0</v>
      </c>
    </row>
    <row r="70" spans="16:19" x14ac:dyDescent="0.75">
      <c r="P70" s="9">
        <v>56</v>
      </c>
      <c r="Q70" s="9">
        <f t="shared" si="15"/>
        <v>9</v>
      </c>
      <c r="R70" s="9">
        <f t="shared" si="16"/>
        <v>2</v>
      </c>
      <c r="S70" s="14" cm="1">
        <f t="array" ref="S70">INDEX('Specimen-ConceptMap-1'!$I$15:$N$123,Q70+1,R70)</f>
        <v>0</v>
      </c>
    </row>
    <row r="71" spans="16:19" x14ac:dyDescent="0.75">
      <c r="P71" s="9">
        <v>57</v>
      </c>
      <c r="Q71" s="9">
        <f t="shared" si="15"/>
        <v>9</v>
      </c>
      <c r="R71" s="9">
        <f t="shared" si="16"/>
        <v>3</v>
      </c>
      <c r="S71" s="14" cm="1">
        <f t="array" ref="S71">INDEX('Specimen-ConceptMap-1'!$I$15:$N$123,Q71+1,R71)</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75"/>
  <sheetViews>
    <sheetView tabSelected="1" workbookViewId="0">
      <selection activeCell="B19" sqref="B19:B7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792</v>
      </c>
    </row>
    <row r="3" spans="2:7" x14ac:dyDescent="0.75">
      <c r="B3" s="33" t="s">
        <v>37</v>
      </c>
    </row>
    <row r="4" spans="2:7" x14ac:dyDescent="0.75">
      <c r="B4" s="77" t="str">
        <f>"Instance: "&amp;'Specimen-ConceptMap-1'!C4</f>
        <v>Instance: ConceptMap-eu-specimen2FHIR</v>
      </c>
    </row>
    <row r="5" spans="2:7" x14ac:dyDescent="0.75">
      <c r="B5" s="77" t="s">
        <v>662</v>
      </c>
    </row>
    <row r="6" spans="2:7" x14ac:dyDescent="0.75">
      <c r="B6" s="77" t="s">
        <v>663</v>
      </c>
    </row>
    <row r="7" spans="2:7" x14ac:dyDescent="0.75">
      <c r="B7" s="77" t="s">
        <v>673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664</v>
      </c>
    </row>
    <row r="11" spans="2:7" x14ac:dyDescent="0.75">
      <c r="B11" s="77" t="s">
        <v>665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##34#to be checked##34#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#Specimen.extension:SpecimenFeatureTypeR5</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##34#to be checked. This is an R5 element##34#</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 group[=].element[=].target.code = #Specimen.collection.extension:R5Specimen-collection-device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##34#to be checked. This is an R5 element##34#</v>
      </c>
    </row>
    <row r="61" spans="2:2" x14ac:dyDescent="0.75">
      <c r="B61" s="14" t="str">
        <f>IF('Specimen-ConceptMap-1'!S57=0,"//---END",'Specimen-ConceptMap-1'!S57)</f>
        <v>* group[=].element[+].code = #SpecimenLab.collectionMethod</v>
      </c>
    </row>
    <row r="62" spans="2:2" x14ac:dyDescent="0.75">
      <c r="B62" s="14" t="str">
        <f>IF('Specimen-ConceptMap-1'!S58=0,"//---END",'Specimen-ConceptMap-1'!S58)</f>
        <v>* group[=].element[=].display = ##34#A.4.8 Collection procedure/method##34#</v>
      </c>
    </row>
    <row r="63" spans="2:2" x14ac:dyDescent="0.75">
      <c r="B63" s="14" t="str">
        <f>IF('Specimen-ConceptMap-1'!S59=0,"//---END",'Specimen-ConceptMap-1'!S59)</f>
        <v>* group[=].element[=].target.code = #Specimen.collection.method</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#equivalent</v>
      </c>
    </row>
    <row r="66" spans="2:2" x14ac:dyDescent="0.75">
      <c r="B66" s="14" t="str">
        <f>IF('Specimen-ConceptMap-1'!S62=0,"//---END",'Specimen-ConceptMap-1'!S62)</f>
        <v/>
      </c>
    </row>
    <row r="67" spans="2:2" x14ac:dyDescent="0.75">
      <c r="B67" s="14" t="str">
        <f>IF('Specimen-ConceptMap-1'!S63=0,"//---END",'Specimen-ConceptMap-1'!S63)</f>
        <v>* group[=].element[+].code = #SpecimenLab.receivedDateTime</v>
      </c>
    </row>
    <row r="68" spans="2:2" x14ac:dyDescent="0.75">
      <c r="B68" s="14" t="str">
        <f>IF('Specimen-ConceptMap-1'!S64=0,"//---END",'Specimen-ConceptMap-1'!S64)</f>
        <v>* group[=].element[=].display = ##34#A.4.9 Received date##34#</v>
      </c>
    </row>
    <row r="69" spans="2:2" x14ac:dyDescent="0.75">
      <c r="B69" s="14" t="str">
        <f>IF('Specimen-ConceptMap-1'!S65=0,"//---END",'Specimen-ConceptMap-1'!S65)</f>
        <v>* group[=].element[=].target.code = #Specimen.receivedTime</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//---END</v>
      </c>
    </row>
    <row r="74" spans="2:2" x14ac:dyDescent="0.75">
      <c r="B74" s="14" t="str">
        <f>IF('Specimen-ConceptMap-1'!S70=0,"//---END",'Specimen-ConceptMap-1'!S70)</f>
        <v>//---END</v>
      </c>
    </row>
    <row r="75" spans="2:2" x14ac:dyDescent="0.75">
      <c r="B75" s="14" t="str">
        <f>IF('Specimen-ConceptMap-1'!S71=0,"//---END",'Specimen-ConceptMap-1'!S71)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C4" sqref="C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478</v>
      </c>
      <c r="I4" s="25" t="str">
        <f>CONCATENATE("Logical: ",B4)</f>
        <v>Logical: ResultLabEhn</v>
      </c>
    </row>
    <row r="5" spans="1:11" x14ac:dyDescent="0.75">
      <c r="A5" s="18" t="s">
        <v>19</v>
      </c>
      <c r="B5" s="34" t="s">
        <v>479</v>
      </c>
      <c r="I5" s="25" t="str">
        <f>CONCATENATE("Id: ",B5)</f>
        <v>Id: Result</v>
      </c>
    </row>
    <row r="6" spans="1:11" x14ac:dyDescent="0.75">
      <c r="A6" s="18" t="s">
        <v>13</v>
      </c>
      <c r="B6" s="14" t="s">
        <v>908</v>
      </c>
      <c r="I6" s="26" t="str">
        <f>CONCATENATE("Title: ##34#",B6,"##34#")</f>
        <v>Title: ##34#A.5 - Results data elements##34#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500</v>
      </c>
      <c r="C8" s="14" t="s">
        <v>551</v>
      </c>
      <c r="D8" s="14" t="s">
        <v>551</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501</v>
      </c>
      <c r="C9" s="1" t="s">
        <v>483</v>
      </c>
      <c r="D9" s="14" t="s">
        <v>613</v>
      </c>
      <c r="E9" s="9">
        <v>0</v>
      </c>
      <c r="F9" s="9" t="s">
        <v>11</v>
      </c>
      <c r="G9" s="9" t="s">
        <v>504</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502</v>
      </c>
      <c r="C10" s="14" t="s">
        <v>484</v>
      </c>
      <c r="D10" s="60" t="s">
        <v>205</v>
      </c>
      <c r="E10" s="9">
        <v>0</v>
      </c>
      <c r="F10" s="9" t="s">
        <v>11</v>
      </c>
      <c r="G10" s="9" t="s">
        <v>504</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503</v>
      </c>
      <c r="C11" s="52" t="s">
        <v>505</v>
      </c>
      <c r="D11" s="52" t="s">
        <v>552</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506</v>
      </c>
      <c r="C12" s="52" t="s">
        <v>485</v>
      </c>
      <c r="D12" s="14" t="s">
        <v>499</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507</v>
      </c>
      <c r="C13" s="14" t="s">
        <v>486</v>
      </c>
      <c r="D13" s="52" t="s">
        <v>508</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509</v>
      </c>
      <c r="C14" s="9" t="s">
        <v>487</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510</v>
      </c>
      <c r="C15" s="9" t="s">
        <v>488</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511</v>
      </c>
      <c r="C16" s="9" t="s">
        <v>489</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512</v>
      </c>
      <c r="C17" s="9" t="s">
        <v>490</v>
      </c>
      <c r="D17" s="14" t="s">
        <v>524</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513</v>
      </c>
      <c r="C18" s="9" t="s">
        <v>491</v>
      </c>
      <c r="D18" s="14" t="s">
        <v>514</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515</v>
      </c>
      <c r="C19" s="9" t="s">
        <v>492</v>
      </c>
      <c r="D19" s="14" t="s">
        <v>517</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516</v>
      </c>
      <c r="C20" s="9" t="s">
        <v>493</v>
      </c>
      <c r="D20" s="14" t="s">
        <v>558</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518</v>
      </c>
      <c r="C21" s="9" t="s">
        <v>494</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519</v>
      </c>
      <c r="C22" s="9" t="s">
        <v>495</v>
      </c>
      <c r="D22" s="14" t="s">
        <v>553</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521</v>
      </c>
      <c r="C23" s="9" t="s">
        <v>496</v>
      </c>
      <c r="D23" s="14" t="s">
        <v>520</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522</v>
      </c>
      <c r="C24" s="9" t="s">
        <v>497</v>
      </c>
      <c r="D24" s="14" t="s">
        <v>249</v>
      </c>
      <c r="E24" s="9">
        <v>0</v>
      </c>
      <c r="F24" s="9" t="s">
        <v>11</v>
      </c>
      <c r="G24" s="9" t="s">
        <v>504</v>
      </c>
      <c r="H24" s="9"/>
      <c r="I24" s="14" t="str">
        <f t="shared" si="0"/>
        <v>* observation.description 0..* Narrative ##34#A.5.2.13 Result description##34# ##334#Comments and narrative representation of the observation result and findings.##334#</v>
      </c>
    </row>
    <row r="25" spans="1:9" ht="44.25" x14ac:dyDescent="0.75">
      <c r="A25" s="9">
        <v>22</v>
      </c>
      <c r="B25" s="9" t="s">
        <v>523</v>
      </c>
      <c r="C25" s="9" t="s">
        <v>498</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0" t="s">
        <v>198</v>
      </c>
      <c r="D36" s="91"/>
      <c r="E36" s="91"/>
      <c r="F36" s="92"/>
    </row>
    <row r="37" spans="2:9" ht="16.75" thickBot="1" x14ac:dyDescent="0.9">
      <c r="B37" t="str">
        <f t="shared" si="1"/>
        <v xml:space="preserve">A.5.1 Laboratory report narrative  </v>
      </c>
      <c r="C37" s="90" t="s">
        <v>554</v>
      </c>
      <c r="D37" s="91"/>
      <c r="E37" s="91"/>
      <c r="F37" s="92"/>
    </row>
    <row r="38" spans="2:9" ht="64.75" thickBot="1" x14ac:dyDescent="0.9">
      <c r="B38" t="str">
        <f t="shared" si="1"/>
        <v>A.5.1.1 Narrative report</v>
      </c>
      <c r="C38" s="36" t="s">
        <v>200</v>
      </c>
      <c r="D38" s="39" t="s">
        <v>201</v>
      </c>
      <c r="E38" s="37" t="s">
        <v>555</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0" t="s">
        <v>556</v>
      </c>
      <c r="D40" s="91"/>
      <c r="E40" s="91"/>
      <c r="F40" s="92"/>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98" t="s">
        <v>210</v>
      </c>
      <c r="D42" s="101" t="s">
        <v>211</v>
      </c>
      <c r="E42" s="98" t="s">
        <v>212</v>
      </c>
      <c r="F42" s="43" t="s">
        <v>130</v>
      </c>
      <c r="I42" s="1" t="str">
        <f t="shared" si="2"/>
        <v>Code representing the observation using the agreed code systems. - Preferred system(s): LOINC</v>
      </c>
    </row>
    <row r="43" spans="2:9" ht="16" x14ac:dyDescent="0.75">
      <c r="B43" t="str">
        <f t="shared" si="1"/>
        <v xml:space="preserve"> </v>
      </c>
      <c r="C43" s="99"/>
      <c r="D43" s="102"/>
      <c r="E43" s="99"/>
      <c r="F43" s="43" t="s">
        <v>213</v>
      </c>
      <c r="I43" s="1" t="str">
        <f t="shared" si="2"/>
        <v xml:space="preserve"> - Preferred system(s): NPU</v>
      </c>
    </row>
    <row r="44" spans="2:9" ht="32.75" thickBot="1" x14ac:dyDescent="0.9">
      <c r="B44" t="str">
        <f t="shared" si="1"/>
        <v xml:space="preserve"> </v>
      </c>
      <c r="C44" s="100"/>
      <c r="D44" s="103"/>
      <c r="E44" s="100"/>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98" t="s">
        <v>226</v>
      </c>
      <c r="D49" s="101" t="s">
        <v>227</v>
      </c>
      <c r="E49" s="98"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99"/>
      <c r="D50" s="102"/>
      <c r="E50" s="99"/>
      <c r="F50" s="41"/>
      <c r="I50" s="1" t="str">
        <f t="shared" si="2"/>
        <v xml:space="preserve"> - Preferred system(s): </v>
      </c>
    </row>
    <row r="51" spans="2:9" ht="16.75" thickBot="1" x14ac:dyDescent="0.9">
      <c r="B51" t="str">
        <f t="shared" si="1"/>
        <v xml:space="preserve"> </v>
      </c>
      <c r="C51" s="100"/>
      <c r="D51" s="103"/>
      <c r="E51" s="100"/>
      <c r="F51" s="39" t="s">
        <v>191</v>
      </c>
      <c r="I51" s="1" t="str">
        <f t="shared" si="2"/>
        <v xml:space="preserve"> - Preferred system(s): EMDN</v>
      </c>
    </row>
    <row r="52" spans="2:9" ht="32.75" thickBot="1" x14ac:dyDescent="0.9">
      <c r="B52" t="str">
        <f t="shared" si="1"/>
        <v>A.5.2.8 Order</v>
      </c>
      <c r="C52" s="36" t="s">
        <v>229</v>
      </c>
      <c r="D52" s="39" t="s">
        <v>230</v>
      </c>
      <c r="E52" s="37" t="s">
        <v>557</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558</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8" t="s">
        <v>238</v>
      </c>
      <c r="D55" s="101" t="s">
        <v>239</v>
      </c>
      <c r="E55" s="98" t="s">
        <v>559</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9"/>
      <c r="D56" s="102"/>
      <c r="E56" s="99"/>
      <c r="F56" s="44"/>
      <c r="I56" s="1" t="str">
        <f t="shared" si="2"/>
        <v xml:space="preserve"> - Preferred system(s): </v>
      </c>
    </row>
    <row r="57" spans="2:9" ht="48.75" thickBot="1" x14ac:dyDescent="0.9">
      <c r="B57" t="str">
        <f t="shared" si="1"/>
        <v xml:space="preserve"> </v>
      </c>
      <c r="C57" s="100"/>
      <c r="D57" s="103"/>
      <c r="E57" s="100"/>
      <c r="F57" s="39" t="s">
        <v>242</v>
      </c>
      <c r="I57" s="1" t="str">
        <f t="shared" si="2"/>
        <v xml:space="preserve"> - Preferred system(s): UCUM (for units)</v>
      </c>
    </row>
    <row r="58" spans="2:9" ht="32" x14ac:dyDescent="0.75">
      <c r="B58" t="str">
        <f t="shared" si="1"/>
        <v>A.5.2.12 Observation interpretation</v>
      </c>
      <c r="C58" s="98" t="s">
        <v>243</v>
      </c>
      <c r="D58" s="101" t="s">
        <v>244</v>
      </c>
      <c r="E58" s="98" t="s">
        <v>245</v>
      </c>
      <c r="F58" s="43" t="s">
        <v>167</v>
      </c>
      <c r="I58" s="1" t="str">
        <f t="shared" si="2"/>
        <v>Information about reference intervals and result interpretation. - Preferred system(s): SNOMED CT</v>
      </c>
    </row>
    <row r="59" spans="2:9" x14ac:dyDescent="0.75">
      <c r="B59" t="str">
        <f t="shared" si="1"/>
        <v xml:space="preserve"> </v>
      </c>
      <c r="C59" s="99"/>
      <c r="D59" s="102"/>
      <c r="E59" s="99"/>
      <c r="F59" s="41"/>
      <c r="I59" s="1" t="str">
        <f t="shared" si="2"/>
        <v xml:space="preserve"> - Preferred system(s): </v>
      </c>
    </row>
    <row r="60" spans="2:9" ht="112.75" thickBot="1" x14ac:dyDescent="0.9">
      <c r="B60" t="str">
        <f t="shared" si="1"/>
        <v xml:space="preserve"> </v>
      </c>
      <c r="C60" s="100"/>
      <c r="D60" s="103"/>
      <c r="E60" s="100"/>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480</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481</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612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615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614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616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615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614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616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617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612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618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619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620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621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622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623</v>
      </c>
      <c r="E23" s="14" t="str">
        <f t="shared" si="0"/>
        <v>* observation.code.originalName -&gt; ##34#Observation.code.text##34#</v>
      </c>
      <c r="G23" s="1" t="s">
        <v>32</v>
      </c>
    </row>
    <row r="24" spans="1:15" ht="29.5" x14ac:dyDescent="0.75">
      <c r="A24" s="9">
        <v>9</v>
      </c>
      <c r="B24" s="9" t="str">
        <f>'A.5 Results'!B16</f>
        <v>observation.code.displayName</v>
      </c>
      <c r="C24" s="67" t="s">
        <v>624</v>
      </c>
      <c r="E24" s="14" t="str">
        <f t="shared" si="0"/>
        <v>* observation.code.displayName -&gt; ##34#Observation.code.coding.display.extension('translation') (TBD)##34#</v>
      </c>
      <c r="G24" s="1" t="s">
        <v>33</v>
      </c>
    </row>
    <row r="25" spans="1:15" x14ac:dyDescent="0.75">
      <c r="A25" s="9">
        <v>10</v>
      </c>
      <c r="B25" s="9" t="str">
        <f>'A.5 Results'!B17</f>
        <v>observation.method</v>
      </c>
      <c r="C25" s="9" t="s">
        <v>625</v>
      </c>
      <c r="E25" s="14" t="str">
        <f t="shared" si="0"/>
        <v>* observation.method -&gt; ##34#Observation.method##34#</v>
      </c>
    </row>
    <row r="26" spans="1:15" x14ac:dyDescent="0.75">
      <c r="A26" s="9"/>
      <c r="B26" s="9" t="str">
        <f>'A.5 Results'!B18</f>
        <v>observation.device</v>
      </c>
      <c r="C26" s="9" t="s">
        <v>626</v>
      </c>
      <c r="E26" s="14" t="str">
        <f t="shared" si="0"/>
        <v>* observation.device -&gt; ##34#Observation.device.resolve()##34#</v>
      </c>
    </row>
    <row r="27" spans="1:15" ht="29.5" x14ac:dyDescent="0.75">
      <c r="B27" s="9" t="str">
        <f>'A.5 Results'!B19</f>
        <v>observation.order</v>
      </c>
      <c r="C27" s="9" t="s">
        <v>627</v>
      </c>
      <c r="E27" s="14" t="str">
        <f t="shared" si="0"/>
        <v>* observation.order -&gt; ##34#Observation.basedOn.resolve().ofType(ServiceRequest)##34#</v>
      </c>
    </row>
    <row r="28" spans="1:15" x14ac:dyDescent="0.75">
      <c r="B28" s="9" t="str">
        <f>'A.5 Results'!B20</f>
        <v>observation.performer</v>
      </c>
      <c r="C28" s="9" t="s">
        <v>628</v>
      </c>
      <c r="E28" s="14" t="str">
        <f t="shared" si="0"/>
        <v>* observation.performer -&gt; ##34#Observation.performer.resolve()##34#</v>
      </c>
    </row>
    <row r="29" spans="1:15" x14ac:dyDescent="0.75">
      <c r="B29" s="9" t="str">
        <f>'A.5 Results'!B21</f>
        <v>observation.reporter</v>
      </c>
      <c r="C29" s="67" t="s">
        <v>354</v>
      </c>
      <c r="E29" s="14" t="str">
        <f t="shared" si="0"/>
        <v>* observation.reporter -&gt; ##34#to be mapped##34#</v>
      </c>
    </row>
    <row r="30" spans="1:15" x14ac:dyDescent="0.75">
      <c r="B30" s="9" t="str">
        <f>'A.5 Results'!B22</f>
        <v>observation.result</v>
      </c>
      <c r="C30" s="9" t="s">
        <v>629</v>
      </c>
      <c r="E30" s="14" t="str">
        <f t="shared" si="0"/>
        <v>* observation.result -&gt; ##34#Observation.value[x]##34#</v>
      </c>
    </row>
    <row r="31" spans="1:15" x14ac:dyDescent="0.75">
      <c r="B31" s="9" t="str">
        <f>'A.5 Results'!B23</f>
        <v>observation.interpretation</v>
      </c>
      <c r="C31" s="9" t="s">
        <v>630</v>
      </c>
      <c r="E31" s="14" t="str">
        <f t="shared" si="0"/>
        <v>* observation.interpretation -&gt; ##34#Observation.interpretation##34#</v>
      </c>
    </row>
    <row r="32" spans="1:15" x14ac:dyDescent="0.75">
      <c r="B32" s="62" t="str">
        <f>'A.5 Results'!$B$24</f>
        <v>observation.description</v>
      </c>
      <c r="C32" s="9" t="s">
        <v>631</v>
      </c>
      <c r="E32" s="14" t="str">
        <f t="shared" si="0"/>
        <v>* observation.description -&gt; ##34#Observation.text##34#</v>
      </c>
    </row>
    <row r="33" spans="2:5" x14ac:dyDescent="0.75">
      <c r="B33" s="62" t="str">
        <f>'A.5 Results'!$B$24</f>
        <v>observation.description</v>
      </c>
      <c r="C33" s="9" t="s">
        <v>632</v>
      </c>
      <c r="E33" s="14" t="str">
        <f t="shared" si="0"/>
        <v>* observation.description -&gt; ##34#Observation.note##34#</v>
      </c>
    </row>
    <row r="34" spans="2:5" x14ac:dyDescent="0.75">
      <c r="B34" s="9" t="str">
        <f>'A.5 Results'!B25</f>
        <v>observation.accreditationStatus</v>
      </c>
      <c r="C34" s="66" t="s">
        <v>354</v>
      </c>
      <c r="E34" s="14" t="str">
        <f t="shared" si="0"/>
        <v>* observation.accreditationStatus -&gt; ##34#to be mapped##34#</v>
      </c>
    </row>
    <row r="35" spans="2:5" x14ac:dyDescent="0.75">
      <c r="B35" s="9">
        <f>'A.5 Results'!B26</f>
        <v>0</v>
      </c>
      <c r="C35" s="9" t="s">
        <v>354</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482</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##334#A.5 Results data elements##334#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307</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903</v>
      </c>
      <c r="D3" s="73" t="s">
        <v>684</v>
      </c>
      <c r="E3" s="84" t="str">
        <f>"http://hl7.eu/fhir/laboratory/StructureDefinition/"&amp;'A.5 Results'!B5</f>
        <v>http://hl7.eu/fhir/laboratory/StructureDefinition/Result</v>
      </c>
    </row>
    <row r="4" spans="1:19" x14ac:dyDescent="0.75">
      <c r="B4" s="73" t="s">
        <v>19</v>
      </c>
      <c r="C4" s="54" t="s">
        <v>904</v>
      </c>
      <c r="D4" s="73" t="s">
        <v>685</v>
      </c>
      <c r="E4" s="111" t="s">
        <v>890</v>
      </c>
      <c r="F4" s="110"/>
      <c r="G4" s="110"/>
    </row>
    <row r="5" spans="1:19" x14ac:dyDescent="0.75">
      <c r="B5" s="73" t="s">
        <v>13</v>
      </c>
      <c r="C5" s="10" t="s">
        <v>794</v>
      </c>
      <c r="D5" s="73"/>
      <c r="E5"/>
    </row>
    <row r="6" spans="1:19" x14ac:dyDescent="0.75">
      <c r="B6" s="73" t="s">
        <v>35</v>
      </c>
      <c r="C6" s="72"/>
      <c r="D6" s="73" t="s">
        <v>681</v>
      </c>
      <c r="E6" s="111" t="str">
        <f>E3</f>
        <v>http://hl7.eu/fhir/laboratory/StructureDefinition/Result</v>
      </c>
      <c r="F6" s="110"/>
      <c r="G6" s="110"/>
    </row>
    <row r="7" spans="1:19" x14ac:dyDescent="0.75">
      <c r="B7" s="73" t="s">
        <v>18</v>
      </c>
      <c r="C7" s="80"/>
      <c r="D7" s="73" t="s">
        <v>682</v>
      </c>
      <c r="E7" s="111" t="s">
        <v>683</v>
      </c>
      <c r="F7" s="110"/>
      <c r="G7" s="110"/>
    </row>
    <row r="8" spans="1:19" ht="44.25" x14ac:dyDescent="0.75">
      <c r="B8" s="73" t="s">
        <v>675</v>
      </c>
      <c r="C8" s="53" t="s">
        <v>795</v>
      </c>
      <c r="D8" s="73"/>
      <c r="E8" s="10"/>
      <c r="I8" s="14" t="s">
        <v>647</v>
      </c>
      <c r="J8" s="14" t="s">
        <v>648</v>
      </c>
      <c r="K8" s="14" t="s">
        <v>649</v>
      </c>
      <c r="L8" s="14" t="s">
        <v>650</v>
      </c>
      <c r="M8" s="9" t="s">
        <v>651</v>
      </c>
      <c r="P8" s="69" t="s">
        <v>652</v>
      </c>
      <c r="Q8" s="69">
        <v>6</v>
      </c>
    </row>
    <row r="9" spans="1:19" ht="29.5" x14ac:dyDescent="0.75">
      <c r="B9" s="73" t="s">
        <v>676</v>
      </c>
      <c r="C9" s="14" t="s">
        <v>796</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667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797</v>
      </c>
      <c r="E16" s="9"/>
      <c r="F16" s="75" t="s">
        <v>659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798</v>
      </c>
      <c r="E17" s="9"/>
      <c r="F17" s="75" t="s">
        <v>659</v>
      </c>
      <c r="G17" s="75" t="s">
        <v>802</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338</v>
      </c>
      <c r="E18" s="9"/>
      <c r="F18" s="75" t="s">
        <v>659</v>
      </c>
      <c r="G18" s="75" t="s">
        <v>799</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338</v>
      </c>
      <c r="E19" s="9"/>
      <c r="F19" s="75" t="s">
        <v>659</v>
      </c>
      <c r="G19" s="75" t="s">
        <v>799</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338</v>
      </c>
      <c r="E20" s="9"/>
      <c r="F20" s="75" t="s">
        <v>659</v>
      </c>
      <c r="G20" s="75" t="s">
        <v>799</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338</v>
      </c>
      <c r="E21" s="9"/>
      <c r="F21" s="75" t="s">
        <v>659</v>
      </c>
      <c r="G21" s="75" t="s">
        <v>799</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338</v>
      </c>
      <c r="E22" s="9"/>
      <c r="F22" s="75" t="s">
        <v>659</v>
      </c>
      <c r="G22" s="75" t="s">
        <v>799</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338</v>
      </c>
      <c r="E23" s="9"/>
      <c r="F23" s="75" t="s">
        <v>659</v>
      </c>
      <c r="G23" s="75" t="s">
        <v>799</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338</v>
      </c>
      <c r="E24" s="9"/>
      <c r="F24" s="75" t="s">
        <v>659</v>
      </c>
      <c r="G24" s="75" t="s">
        <v>799</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338</v>
      </c>
      <c r="E25" s="14"/>
      <c r="F25" s="75" t="s">
        <v>659</v>
      </c>
      <c r="G25" s="75" t="s">
        <v>799</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338</v>
      </c>
      <c r="E26" s="14"/>
      <c r="F26" s="75" t="s">
        <v>659</v>
      </c>
      <c r="G26" s="75" t="s">
        <v>799</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338</v>
      </c>
      <c r="E27" s="14"/>
      <c r="F27" s="75" t="s">
        <v>659</v>
      </c>
      <c r="G27" s="75" t="s">
        <v>799</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338</v>
      </c>
      <c r="E28" s="14"/>
      <c r="F28" s="75" t="s">
        <v>659</v>
      </c>
      <c r="G28" s="75" t="s">
        <v>799</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338</v>
      </c>
      <c r="E29" s="14"/>
      <c r="F29" s="75" t="s">
        <v>659</v>
      </c>
      <c r="G29" s="75" t="s">
        <v>799</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338</v>
      </c>
      <c r="E30" s="14"/>
      <c r="F30" s="75" t="s">
        <v>659</v>
      </c>
      <c r="G30" s="75" t="s">
        <v>799</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338</v>
      </c>
      <c r="E31" s="14"/>
      <c r="F31" s="75" t="s">
        <v>659</v>
      </c>
      <c r="G31" s="75" t="s">
        <v>799</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338</v>
      </c>
      <c r="E32" s="14"/>
      <c r="F32" s="75" t="s">
        <v>659</v>
      </c>
      <c r="G32" s="75" t="s">
        <v>799</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684</v>
      </c>
      <c r="E3" s="87"/>
    </row>
    <row r="4" spans="1:19" ht="15.5" thickBot="1" x14ac:dyDescent="0.9">
      <c r="B4" s="73" t="s">
        <v>19</v>
      </c>
      <c r="C4" s="86" t="str">
        <f>'Results-ConceptMap-1'!C4</f>
        <v>result2FHIR-eu-lab</v>
      </c>
      <c r="D4" s="73" t="s">
        <v>685</v>
      </c>
      <c r="E4" s="88"/>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1" t="str">
        <f>'Results-ConceptMap-1'!E6</f>
        <v>http://hl7.eu/fhir/laboratory/StructureDefinition/Result</v>
      </c>
      <c r="F6" s="110"/>
      <c r="G6" s="110"/>
    </row>
    <row r="7" spans="1:19" ht="15.5" thickBot="1" x14ac:dyDescent="0.9">
      <c r="B7" s="73" t="s">
        <v>18</v>
      </c>
      <c r="C7" s="86">
        <f>'Results-ConceptMap-1'!C7</f>
        <v>0</v>
      </c>
      <c r="D7" s="73" t="s">
        <v>682</v>
      </c>
      <c r="E7" s="111" t="s">
        <v>688</v>
      </c>
      <c r="F7" s="110"/>
      <c r="G7" s="110"/>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285</v>
      </c>
      <c r="E14" s="8"/>
      <c r="F14" s="75"/>
      <c r="G14" s="75"/>
      <c r="I14" s="14"/>
      <c r="J14" s="9"/>
      <c r="K14" s="9"/>
      <c r="L14" s="9"/>
      <c r="M14" s="71"/>
      <c r="N14" s="74"/>
    </row>
    <row r="15" spans="1:19" ht="73.7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797</v>
      </c>
      <c r="E16" s="9"/>
      <c r="F16" s="75" t="s">
        <v>659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803</v>
      </c>
      <c r="E17" s="9"/>
      <c r="F17" s="75" t="s">
        <v>659</v>
      </c>
      <c r="G17" s="75" t="s">
        <v>800</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804</v>
      </c>
      <c r="E18" s="9"/>
      <c r="F18" s="75" t="s">
        <v>659</v>
      </c>
      <c r="G18" s="75" t="s">
        <v>801</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803</v>
      </c>
      <c r="E19" s="9"/>
      <c r="F19" s="75" t="s">
        <v>659</v>
      </c>
      <c r="G19" s="75" t="s">
        <v>800</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804</v>
      </c>
      <c r="E20" s="9"/>
      <c r="F20" s="75" t="s">
        <v>659</v>
      </c>
      <c r="G20" s="75" t="s">
        <v>801</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820</v>
      </c>
      <c r="E21" s="9"/>
      <c r="F21" s="75" t="s">
        <v>659</v>
      </c>
      <c r="G21" s="75" t="s">
        <v>800</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73.75" x14ac:dyDescent="0.75">
      <c r="A22" s="23"/>
      <c r="B22" s="9" t="str">
        <f>'A.5 Results'!B11</f>
        <v>observation</v>
      </c>
      <c r="C22" s="9" t="str">
        <f>'A.5 Results'!C11</f>
        <v>A.5.2 Observation details</v>
      </c>
      <c r="D22" s="14" t="s">
        <v>821</v>
      </c>
      <c r="E22" s="9"/>
      <c r="F22" s="75" t="s">
        <v>659</v>
      </c>
      <c r="G22" s="75" t="s">
        <v>801</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820</v>
      </c>
      <c r="E23" s="9"/>
      <c r="F23" s="75" t="s">
        <v>659</v>
      </c>
      <c r="G23" s="75" t="s">
        <v>799</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820</v>
      </c>
      <c r="E24" s="9"/>
      <c r="F24" s="75" t="s">
        <v>659</v>
      </c>
      <c r="G24" s="75" t="s">
        <v>799</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820</v>
      </c>
      <c r="E25" s="9"/>
      <c r="F25" s="75" t="s">
        <v>659</v>
      </c>
      <c r="G25" s="75" t="s">
        <v>799</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820</v>
      </c>
      <c r="E26" s="9"/>
      <c r="F26" s="75" t="s">
        <v>659</v>
      </c>
      <c r="G26" s="75" t="s">
        <v>799</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820</v>
      </c>
      <c r="E27" s="9"/>
      <c r="F27" s="75" t="s">
        <v>659</v>
      </c>
      <c r="G27" s="75" t="s">
        <v>799</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820</v>
      </c>
      <c r="E28" s="9"/>
      <c r="F28" s="75" t="s">
        <v>659</v>
      </c>
      <c r="G28" s="75" t="s">
        <v>799</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820</v>
      </c>
      <c r="E29" s="14"/>
      <c r="F29" s="75" t="s">
        <v>659</v>
      </c>
      <c r="G29" s="75" t="s">
        <v>799</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820</v>
      </c>
      <c r="E30" s="14"/>
      <c r="F30" s="75" t="s">
        <v>659</v>
      </c>
      <c r="G30" s="75" t="s">
        <v>799</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820</v>
      </c>
      <c r="E31" s="14"/>
      <c r="F31" s="75" t="s">
        <v>659</v>
      </c>
      <c r="G31" s="75" t="s">
        <v>799</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820</v>
      </c>
      <c r="E32" s="14"/>
      <c r="F32" s="75" t="s">
        <v>659</v>
      </c>
      <c r="G32" s="75" t="s">
        <v>799</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820</v>
      </c>
      <c r="E33" s="14"/>
      <c r="F33" s="75" t="s">
        <v>659</v>
      </c>
      <c r="G33" s="75" t="s">
        <v>799</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820</v>
      </c>
      <c r="E34" s="14"/>
      <c r="F34" s="75" t="s">
        <v>659</v>
      </c>
      <c r="G34" s="75" t="s">
        <v>799</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820</v>
      </c>
      <c r="E35" s="14"/>
      <c r="F35" s="75" t="s">
        <v>659</v>
      </c>
      <c r="G35" s="75" t="s">
        <v>799</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820</v>
      </c>
      <c r="E36" s="14"/>
      <c r="F36" s="75" t="s">
        <v>659</v>
      </c>
      <c r="G36" s="75" t="s">
        <v>799</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5"/>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684</v>
      </c>
      <c r="E3" s="84"/>
    </row>
    <row r="4" spans="1:19" ht="15.5" thickBot="1" x14ac:dyDescent="0.9">
      <c r="B4" s="73" t="s">
        <v>19</v>
      </c>
      <c r="C4" s="86" t="str">
        <f>'Results-ConceptMap-1'!C4</f>
        <v>result2FHIR-eu-lab</v>
      </c>
      <c r="D4" s="73" t="s">
        <v>685</v>
      </c>
      <c r="E4"/>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1" t="str">
        <f>'Results-ConceptMap-1'!E6</f>
        <v>http://hl7.eu/fhir/laboratory/StructureDefinition/Result</v>
      </c>
      <c r="F6" s="110"/>
      <c r="G6" s="110"/>
    </row>
    <row r="7" spans="1:19" ht="15.5" thickBot="1" x14ac:dyDescent="0.9">
      <c r="B7" s="73" t="s">
        <v>18</v>
      </c>
      <c r="C7" s="86">
        <f>'Results-ConceptMap-1'!C7</f>
        <v>0</v>
      </c>
      <c r="D7" s="73" t="s">
        <v>682</v>
      </c>
      <c r="E7" s="111" t="s">
        <v>805</v>
      </c>
      <c r="F7" s="110"/>
      <c r="G7" s="110"/>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806</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660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INDEX('Results-ConceptMap-3'!$I$15:$N$124,Q15+1,R15)</f>
        <v>* group[=].element[+].code = #Result.narrative</v>
      </c>
    </row>
    <row r="16" spans="1:19" ht="44.25" x14ac:dyDescent="0.75">
      <c r="A16" s="23"/>
      <c r="B16" s="9" t="str">
        <f>'A.5 Results'!B9</f>
        <v>narrative.report</v>
      </c>
      <c r="C16" s="9" t="str">
        <f>'A.5 Results'!C9</f>
        <v>A.5.1.1 Narrative report</v>
      </c>
      <c r="D16" s="14"/>
      <c r="E16" s="9"/>
      <c r="F16" s="75" t="s">
        <v>660</v>
      </c>
      <c r="G16" s="75"/>
      <c r="H16" s="76"/>
      <c r="I16" s="14" t="str">
        <f t="shared" ref="I16:I21" si="4">"* group[=].element[+].code = #"&amp;$B$14&amp;"."&amp;B16</f>
        <v>* group[=].element[+].code = #Result.narrative.report</v>
      </c>
      <c r="J16" s="14" t="str">
        <f t="shared" ref="J16:J21" si="5">"* group[=].element[=].display = ##34#"&amp;C16&amp;"##34#"</f>
        <v>* group[=].element[=].display = ##34#A.5.1.1 Narrative report##34#</v>
      </c>
      <c r="K16" s="14" t="str">
        <f t="shared" ref="K16:K21" si="6">IF(F16="unmatched","//-- unmatched",IF(D16="","* group[=].element[=].target.code = #"&amp;$D$14,"* group[=].element[=].target.code = #"&amp;$D$14&amp;"."&amp;D16))</f>
        <v>//-- unmatched</v>
      </c>
      <c r="L16" s="14" t="str">
        <f t="shared" ref="L16:L21" si="7">IF(F16="unmatched","//-- unmatched","* group[=].element[=].target.display = ##34#"&amp;E16&amp;"##34#")</f>
        <v>//-- unmatched</v>
      </c>
      <c r="M16" s="14" t="str">
        <f t="shared" ref="M16:M21" si="8">"* group[=].element[=].target.equivalence = #"&amp;F16</f>
        <v>* group[=].element[=].target.equivalence = #unmatched</v>
      </c>
      <c r="N16" s="14" t="str">
        <f t="shared" ref="N16:N21" si="9">IF(G16&lt;&gt;"",CONCATENATE("* group[=].element[=].target.comment = ","##34#",G16,"##34#"),"")</f>
        <v/>
      </c>
      <c r="P16" s="9">
        <v>2</v>
      </c>
      <c r="Q16" s="9">
        <f t="shared" ref="Q16:Q61" si="10">IF(MOD(P16,$Q$8)=0,P16/$Q$8-1,INT(P16/$Q$8))</f>
        <v>0</v>
      </c>
      <c r="R16" s="9">
        <f t="shared" ref="R16:R61" si="11">IF(MOD(P16,$Q$8)=0,$Q$8,MOD(P16,$Q$8))</f>
        <v>2</v>
      </c>
      <c r="S16" s="14" t="str" cm="1">
        <f t="array" ref="S16">INDEX('Results-ConceptMap-3'!$I$15:$N$124,Q16+1,R16)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660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INDEX('Results-ConceptMap-3'!$I$15:$N$124,Q17+1,R17)</f>
        <v>//-- unmatched</v>
      </c>
    </row>
    <row r="18" spans="1:19" ht="44.25" x14ac:dyDescent="0.75">
      <c r="A18" s="23"/>
      <c r="B18" s="9" t="str">
        <f>'A.5 Results'!B11</f>
        <v>observation</v>
      </c>
      <c r="C18" s="9" t="str">
        <f>'A.5 Results'!C11</f>
        <v>A.5.2 Observation details</v>
      </c>
      <c r="D18" s="14"/>
      <c r="E18" s="9"/>
      <c r="F18" s="75" t="s">
        <v>658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INDEX('Results-ConceptMap-3'!$I$15:$N$124,Q18+1,R18)</f>
        <v>//-- unmatched</v>
      </c>
    </row>
    <row r="19" spans="1:19" ht="44.25" x14ac:dyDescent="0.75">
      <c r="A19" s="23"/>
      <c r="B19" s="9" t="str">
        <f>'A.5 Results'!B12</f>
        <v>observation.dateTime</v>
      </c>
      <c r="C19" s="9" t="str">
        <f>'A.5 Results'!C12</f>
        <v>A.5.2.1 Observation date</v>
      </c>
      <c r="D19" s="14" t="s">
        <v>807</v>
      </c>
      <c r="E19" s="9"/>
      <c r="F19" s="75" t="s">
        <v>658</v>
      </c>
      <c r="G19" s="75"/>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c>
      <c r="P19" s="9">
        <v>5</v>
      </c>
      <c r="Q19" s="9">
        <f t="shared" si="10"/>
        <v>0</v>
      </c>
      <c r="R19" s="9">
        <f t="shared" si="11"/>
        <v>5</v>
      </c>
      <c r="S19" s="14" t="str" cm="1">
        <f t="array" ref="S19">INDEX('Results-ConceptMap-3'!$I$15:$N$124,Q19+1,R19)</f>
        <v>* group[=].element[=].target.equivalence = #unmatched</v>
      </c>
    </row>
    <row r="20" spans="1:19" ht="44.25" x14ac:dyDescent="0.75">
      <c r="A20" s="23"/>
      <c r="B20" s="9" t="str">
        <f>'A.5 Results'!B13</f>
        <v>observation.code</v>
      </c>
      <c r="C20" s="9" t="str">
        <f>'A.5 Results'!C13</f>
        <v>A.5.2.3 Observation code</v>
      </c>
      <c r="D20" s="14" t="s">
        <v>655</v>
      </c>
      <c r="E20" s="9"/>
      <c r="F20" s="75" t="s">
        <v>659</v>
      </c>
      <c r="G20" s="75" t="s">
        <v>817</v>
      </c>
      <c r="H20" s="76"/>
      <c r="I20" s="14" t="str">
        <f t="shared" si="4"/>
        <v>* group[=].element[+].code = #Result.observation.code</v>
      </c>
      <c r="J20" s="14" t="str">
        <f t="shared" si="5"/>
        <v>* group[=].element[=].display = ##34#A.5.2.3 Observation code##34#</v>
      </c>
      <c r="K20" s="14" t="str">
        <f t="shared" si="6"/>
        <v>* group[=].element[=].target.code = #Observation.code</v>
      </c>
      <c r="L20" s="14" t="str">
        <f t="shared" si="7"/>
        <v>* group[=].element[=].target.display = ##34###34#</v>
      </c>
      <c r="M20" s="14" t="str">
        <f t="shared" si="8"/>
        <v>* group[=].element[=].target.equivalence = #relatedto</v>
      </c>
      <c r="N20" s="14" t="str">
        <f t="shared" si="9"/>
        <v>* group[=].element[=].target.comment = ##34#depends on the type of test##34#</v>
      </c>
      <c r="P20" s="9">
        <v>6</v>
      </c>
      <c r="Q20" s="9">
        <f t="shared" si="10"/>
        <v>0</v>
      </c>
      <c r="R20" s="9">
        <f t="shared" si="11"/>
        <v>6</v>
      </c>
      <c r="S20" s="14" t="str" cm="1">
        <f t="array" ref="S20">INDEX('Results-ConceptMap-3'!$I$15:$N$124,Q20+1,R20)</f>
        <v/>
      </c>
    </row>
    <row r="21" spans="1:19" ht="44.25" x14ac:dyDescent="0.75">
      <c r="A21" s="23"/>
      <c r="B21" s="9" t="str">
        <f>'A.5 Results'!B13</f>
        <v>observation.code</v>
      </c>
      <c r="C21" s="9" t="str">
        <f>'A.5 Results'!C13</f>
        <v>A.5.2.3 Observation code</v>
      </c>
      <c r="D21" s="14" t="s">
        <v>893</v>
      </c>
      <c r="E21" s="9"/>
      <c r="F21" s="75" t="s">
        <v>659</v>
      </c>
      <c r="G21" s="75" t="s">
        <v>817</v>
      </c>
      <c r="H21" s="76"/>
      <c r="I21" s="14" t="str">
        <f t="shared" si="4"/>
        <v>* group[=].element[+].code = #Result.observation.code</v>
      </c>
      <c r="J21" s="14" t="str">
        <f t="shared" si="5"/>
        <v>* group[=].element[=].display = ##34#A.5.2.3 Observation code##34#</v>
      </c>
      <c r="K21" s="14" t="str">
        <f t="shared" si="6"/>
        <v>* group[=].element[=].target.code = #Observation.hasMember.code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INDEX('Results-ConceptMap-3'!$I$15:$N$124,Q21+1,R21)</f>
        <v>* group[=].element[+].code = #Result.narrative.report</v>
      </c>
    </row>
    <row r="22" spans="1:19" ht="59" x14ac:dyDescent="0.75">
      <c r="A22" s="23"/>
      <c r="B22" s="9" t="str">
        <f>'A.5 Results'!B13</f>
        <v>observation.code</v>
      </c>
      <c r="C22" s="9" t="str">
        <f>'A.5 Results'!C13</f>
        <v>A.5.2.3 Observation code</v>
      </c>
      <c r="D22" s="14" t="s">
        <v>892</v>
      </c>
      <c r="E22" s="9"/>
      <c r="F22" s="75" t="s">
        <v>659</v>
      </c>
      <c r="G22" s="75" t="s">
        <v>817</v>
      </c>
      <c r="H22" s="76"/>
      <c r="I22" s="14" t="str">
        <f t="shared" ref="I22:I24" si="12">"* group[=].element[+].code = #"&amp;$B$14&amp;"."&amp;B22</f>
        <v>* group[=].element[+].code = #Result.observation.code</v>
      </c>
      <c r="J22" s="14" t="str">
        <f t="shared" ref="J22:J24" si="13">"* group[=].element[=].display = ##34#"&amp;C22&amp;"##34#"</f>
        <v>* group[=].element[=].display = ##34#A.5.2.3 Observation code##34#</v>
      </c>
      <c r="K22" s="14" t="str">
        <f t="shared" ref="K22:K24" si="14">IF(F22="unmatched","//-- unmatched",IF(D22="","* group[=].element[=].target.code = #"&amp;$D$14,"* group[=].element[=].target.code = #"&amp;$D$14&amp;"."&amp;D22))</f>
        <v>* group[=].element[=].target.code = #Observation.component.code</v>
      </c>
      <c r="L22" s="14" t="str">
        <f t="shared" ref="L22:L24" si="15">IF(F22="unmatched","//-- unmatched","* group[=].element[=].target.display = ##34#"&amp;E22&amp;"##34#")</f>
        <v>* group[=].element[=].target.display = ##34###34#</v>
      </c>
      <c r="M22" s="14" t="str">
        <f t="shared" ref="M22:M24" si="16">"* group[=].element[=].target.equivalence = #"&amp;F22</f>
        <v>* group[=].element[=].target.equivalence = #relatedto</v>
      </c>
      <c r="N22" s="14" t="str">
        <f t="shared" ref="N22:N24" si="17">IF(G22&lt;&gt;"",CONCATENATE("* group[=].element[=].target.comment = ","##34#",G22,"##34#"),"")</f>
        <v>* group[=].element[=].target.comment = ##34#depends on the type of test##34#</v>
      </c>
      <c r="P22" s="9"/>
      <c r="Q22" s="9"/>
      <c r="R22" s="9"/>
      <c r="S22" s="14"/>
    </row>
    <row r="23" spans="1:19" ht="59" x14ac:dyDescent="0.75">
      <c r="A23" s="23"/>
      <c r="B23" s="9" t="str">
        <f>'A.5 Results'!B14</f>
        <v>observation.code.name</v>
      </c>
      <c r="C23" s="9" t="str">
        <f>'A.5 Results'!C14</f>
        <v>A.5.2.3.1 Observation name</v>
      </c>
      <c r="D23" s="14" t="s">
        <v>813</v>
      </c>
      <c r="E23" s="9"/>
      <c r="F23" s="75" t="s">
        <v>658</v>
      </c>
      <c r="G23" s="82" t="s">
        <v>895</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8</v>
      </c>
      <c r="Q23" s="9">
        <f t="shared" si="10"/>
        <v>1</v>
      </c>
      <c r="R23" s="9">
        <f t="shared" si="11"/>
        <v>2</v>
      </c>
      <c r="S23" s="14" t="str" cm="1">
        <f t="array" ref="S23">INDEX('Results-ConceptMap-3'!$I$15:$N$124,Q23+1,R23)</f>
        <v>* group[=].element[=].display = ##34#A.5.1.1 Narrative report##34#</v>
      </c>
    </row>
    <row r="24" spans="1:19" ht="59" x14ac:dyDescent="0.75">
      <c r="A24" s="23"/>
      <c r="B24" s="9" t="str">
        <f>'A.5 Results'!B15</f>
        <v>observation.code.originalName</v>
      </c>
      <c r="C24" s="9" t="str">
        <f>'A.5 Results'!C15</f>
        <v>A.5.2.3.2 Observation original name</v>
      </c>
      <c r="D24" s="14" t="s">
        <v>812</v>
      </c>
      <c r="E24" s="9"/>
      <c r="F24" s="75" t="s">
        <v>658</v>
      </c>
      <c r="G24" s="82" t="s">
        <v>895</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9</v>
      </c>
      <c r="Q24" s="9">
        <f t="shared" si="10"/>
        <v>1</v>
      </c>
      <c r="R24" s="9">
        <f t="shared" si="11"/>
        <v>3</v>
      </c>
      <c r="S24" s="14" t="str" cm="1">
        <f t="array" ref="S24">INDEX('Results-ConceptMap-3'!$I$15:$N$124,Q24+1,R24)</f>
        <v>//-- unmatched</v>
      </c>
    </row>
    <row r="25" spans="1:19" ht="59" x14ac:dyDescent="0.75">
      <c r="A25" s="23"/>
      <c r="B25" s="9" t="str">
        <f>'A.5 Results'!B16</f>
        <v>observation.code.displayName</v>
      </c>
      <c r="C25" s="9" t="str">
        <f>'A.5 Results'!C16</f>
        <v>A.5.2.3.3 Observation display name</v>
      </c>
      <c r="D25" s="14" t="s">
        <v>813</v>
      </c>
      <c r="E25" s="9"/>
      <c r="F25" s="75" t="s">
        <v>658</v>
      </c>
      <c r="G25" s="82" t="s">
        <v>896</v>
      </c>
      <c r="H25" s="76"/>
      <c r="I25" s="14" t="str">
        <f t="shared" ref="I25:I27" si="18">"* group[=].element[+].code = #"&amp;$B$14&amp;"."&amp;B25</f>
        <v>* group[=].element[+].code = #Result.observation.code.displayName</v>
      </c>
      <c r="J25" s="14" t="str">
        <f t="shared" ref="J25:J27" si="19">"* group[=].element[=].display = ##34#"&amp;C25&amp;"##34#"</f>
        <v>* group[=].element[=].display = ##34#A.5.2.3.3 Observation display name##34#</v>
      </c>
      <c r="K25" s="14" t="str">
        <f t="shared" ref="K25:K27" si="20">IF(F25="unmatched","//-- unmatched",IF(D25="","* group[=].element[=].target.code = #"&amp;$D$14,"* group[=].element[=].target.code = #"&amp;$D$14&amp;"."&amp;D25))</f>
        <v>* group[=].element[=].target.code = #Observation.code.coding.display</v>
      </c>
      <c r="L25" s="14" t="str">
        <f t="shared" ref="L25:L27" si="21">IF(F25="unmatched","//-- unmatched","* group[=].element[=].target.display = ##34#"&amp;E25&amp;"##34#")</f>
        <v>* group[=].element[=].target.display = ##34###34#</v>
      </c>
      <c r="M25" s="14" t="str">
        <f t="shared" ref="M25:M27" si="22">"* group[=].element[=].target.equivalence = #"&amp;F25</f>
        <v>* group[=].element[=].target.equivalence = #equivalent</v>
      </c>
      <c r="N25" s="14" t="str">
        <f t="shared" ref="N25:N27" si="23">IF(G25&lt;&gt;"",CONCATENATE("* group[=].element[=].target.comment = ","##34#",G25,"##34#"),"")</f>
        <v>* group[=].element[=].target.comment = ##34#The coding refers to a coded concept different from that used for A.5.2.3.1.
If the 'code' is the Observation.code. Similar mapping for the other cases.##34#</v>
      </c>
      <c r="P25" s="9">
        <v>10</v>
      </c>
      <c r="Q25" s="9">
        <f t="shared" si="10"/>
        <v>1</v>
      </c>
      <c r="R25" s="9">
        <f t="shared" si="11"/>
        <v>4</v>
      </c>
      <c r="S25" s="14" t="str" cm="1">
        <f t="array" ref="S25">INDEX('Results-ConceptMap-3'!$I$15:$N$124,Q25+1,R25)</f>
        <v>//-- unmatched</v>
      </c>
    </row>
    <row r="26" spans="1:19" ht="132.75" x14ac:dyDescent="0.75">
      <c r="A26" s="23"/>
      <c r="B26" s="9" t="str">
        <f>'A.5 Results'!B16</f>
        <v>observation.code.displayName</v>
      </c>
      <c r="C26" s="9" t="str">
        <f>'A.5 Results'!C16</f>
        <v>A.5.2.3.3 Observation display name</v>
      </c>
      <c r="D26" s="14" t="s">
        <v>894</v>
      </c>
      <c r="E26" s="9"/>
      <c r="F26" s="75" t="s">
        <v>658</v>
      </c>
      <c r="G26" s="82" t="s">
        <v>897</v>
      </c>
      <c r="H26" s="76"/>
      <c r="I26" s="14" t="str">
        <f t="shared" si="18"/>
        <v>* group[=].element[+].code = #Result.observation.code.displayName</v>
      </c>
      <c r="J26" s="14" t="str">
        <f t="shared" si="19"/>
        <v>* group[=].element[=].display = ##34#A.5.2.3.3 Observation display name##34#</v>
      </c>
      <c r="K26" s="14" t="str">
        <f t="shared" si="20"/>
        <v>* group[=].element[=].target.code = #Observation.code.coding.display.extension:translation</v>
      </c>
      <c r="L26" s="14" t="str">
        <f t="shared" si="21"/>
        <v>* group[=].element[=].target.display = ##34###34#</v>
      </c>
      <c r="M26" s="14" t="str">
        <f t="shared" si="22"/>
        <v>* group[=].element[=].target.equivalence = #equivalent</v>
      </c>
      <c r="N26" s="14" t="str">
        <f t="shared" si="23"/>
        <v>* group[=].element[=].target.comment = ##34#The coding refers to the same coded concept used for A.5.2.3.1.
If the 'code' is the Observation.code. Similar mapping for the other cases.##34#</v>
      </c>
      <c r="P26" s="9"/>
      <c r="Q26" s="9"/>
      <c r="R26" s="9"/>
      <c r="S26" s="14"/>
    </row>
    <row r="27" spans="1:19" ht="44.25" x14ac:dyDescent="0.75">
      <c r="A27" s="23"/>
      <c r="B27" s="9" t="str">
        <f>'A.5 Results'!B17</f>
        <v>observation.method</v>
      </c>
      <c r="C27" s="9" t="str">
        <f>'A.5 Results'!C17</f>
        <v>A.5.2.4 Observation method</v>
      </c>
      <c r="D27" s="14" t="s">
        <v>808</v>
      </c>
      <c r="E27" s="14"/>
      <c r="F27" s="75" t="s">
        <v>658</v>
      </c>
      <c r="G27" s="75"/>
      <c r="H27" s="76"/>
      <c r="I27" s="14" t="str">
        <f t="shared" si="18"/>
        <v>* group[=].element[+].code = #Result.observation.method</v>
      </c>
      <c r="J27" s="14" t="str">
        <f t="shared" si="19"/>
        <v>* group[=].element[=].display = ##34#A.5.2.4 Observation method##34#</v>
      </c>
      <c r="K27" s="14" t="str">
        <f t="shared" si="20"/>
        <v>* group[=].element[=].target.code = #Observation.method</v>
      </c>
      <c r="L27" s="14" t="str">
        <f t="shared" si="21"/>
        <v>* group[=].element[=].target.display = ##34###34#</v>
      </c>
      <c r="M27" s="14" t="str">
        <f t="shared" si="22"/>
        <v>* group[=].element[=].target.equivalence = #equivalent</v>
      </c>
      <c r="N27" s="14" t="str">
        <f t="shared" si="23"/>
        <v/>
      </c>
      <c r="P27" s="9">
        <v>11</v>
      </c>
      <c r="Q27" s="9">
        <f t="shared" si="10"/>
        <v>1</v>
      </c>
      <c r="R27" s="9">
        <f t="shared" si="11"/>
        <v>5</v>
      </c>
      <c r="S27" s="14" t="str" cm="1">
        <f t="array" ref="S27">INDEX('Results-ConceptMap-3'!$I$15:$N$124,Q27+1,R27)</f>
        <v>* group[=].element[=].target.equivalence = #unmatched</v>
      </c>
    </row>
    <row r="28" spans="1:19" ht="59" x14ac:dyDescent="0.75">
      <c r="A28" s="23"/>
      <c r="B28" s="9" t="str">
        <f>'A.5 Results'!B18</f>
        <v>observation.device</v>
      </c>
      <c r="C28" s="9" t="str">
        <f>'A.5 Results'!C18</f>
        <v>A.5.2.5 Observation device</v>
      </c>
      <c r="D28" s="14" t="s">
        <v>809</v>
      </c>
      <c r="E28" s="14"/>
      <c r="F28" s="75" t="s">
        <v>659</v>
      </c>
      <c r="G28" s="75" t="s">
        <v>814</v>
      </c>
      <c r="H28" s="76"/>
      <c r="I28" s="14" t="str">
        <f t="shared" ref="I28:I38" si="24">"* group[=].element[+].code = #"&amp;$B$14&amp;"."&amp;B28</f>
        <v>* group[=].element[+].code = #Result.observation.device</v>
      </c>
      <c r="J28" s="14" t="str">
        <f t="shared" ref="J28:J38" si="25">"* group[=].element[=].display = ##34#"&amp;C28&amp;"##34#"</f>
        <v>* group[=].element[=].display = ##34#A.5.2.5 Observation device##34#</v>
      </c>
      <c r="K28" s="14" t="str">
        <f t="shared" ref="K28:K38" si="26">IF(F28="unmatched","//-- unmatched",IF(D28="","* group[=].element[=].target.code = #"&amp;$D$14,"* group[=].element[=].target.code = #"&amp;$D$14&amp;"."&amp;D28))</f>
        <v>* group[=].element[=].target.code = #Observation.device</v>
      </c>
      <c r="L28" s="14" t="str">
        <f t="shared" ref="L28:L38" si="27">IF(F28="unmatched","//-- unmatched","* group[=].element[=].target.display = ##34#"&amp;E28&amp;"##34#")</f>
        <v>* group[=].element[=].target.display = ##34###34#</v>
      </c>
      <c r="M28" s="14" t="str">
        <f t="shared" ref="M28:M38" si="28">"* group[=].element[=].target.equivalence = #"&amp;F28</f>
        <v>* group[=].element[=].target.equivalence = #relatedto</v>
      </c>
      <c r="N28" s="14" t="str">
        <f t="shared" ref="N28:N38" si="29">IF(G28&lt;&gt;"",CONCATENATE("* group[=].element[=].target.comment = ","##34#",G28,"##34#"),"")</f>
        <v>* group[=].element[=].target.comment = ##34#if the measuring device##34#</v>
      </c>
      <c r="P28" s="9">
        <v>12</v>
      </c>
      <c r="Q28" s="9">
        <f t="shared" si="10"/>
        <v>1</v>
      </c>
      <c r="R28" s="9">
        <f t="shared" si="11"/>
        <v>6</v>
      </c>
      <c r="S28" s="14" t="str" cm="1">
        <f t="array" ref="S28">INDEX('Results-ConceptMap-3'!$I$15:$N$124,Q28+1,R28)</f>
        <v/>
      </c>
    </row>
    <row r="29" spans="1:19" ht="44.25" x14ac:dyDescent="0.75">
      <c r="B29" s="9" t="str">
        <f>'A.5 Results'!B19</f>
        <v>observation.order</v>
      </c>
      <c r="C29" s="9" t="str">
        <f>'A.5 Results'!C19</f>
        <v>A.5.2.8 Order</v>
      </c>
      <c r="D29" s="14" t="s">
        <v>822</v>
      </c>
      <c r="E29" s="14"/>
      <c r="F29" s="75" t="s">
        <v>658</v>
      </c>
      <c r="G29" s="75"/>
      <c r="H29" s="76"/>
      <c r="I29" s="14" t="str">
        <f t="shared" si="24"/>
        <v>* group[=].element[+].code = #Result.observation.order</v>
      </c>
      <c r="J29" s="14" t="str">
        <f t="shared" si="25"/>
        <v>* group[=].element[=].display = ##34#A.5.2.8 Order##34#</v>
      </c>
      <c r="K29" s="14" t="str">
        <f t="shared" si="26"/>
        <v>* group[=].element[=].target.code = #Observation.basedOn</v>
      </c>
      <c r="L29" s="14" t="str">
        <f t="shared" si="27"/>
        <v>* group[=].element[=].target.display = ##34###34#</v>
      </c>
      <c r="M29" s="14" t="str">
        <f t="shared" si="28"/>
        <v>* group[=].element[=].target.equivalence = #equivalent</v>
      </c>
      <c r="N29" s="14" t="str">
        <f t="shared" si="29"/>
        <v/>
      </c>
      <c r="P29" s="9">
        <v>13</v>
      </c>
      <c r="Q29" s="9">
        <f t="shared" si="10"/>
        <v>2</v>
      </c>
      <c r="R29" s="9">
        <f t="shared" si="11"/>
        <v>1</v>
      </c>
      <c r="S29" s="14" t="str" cm="1">
        <f t="array" ref="S29">INDEX('Results-ConceptMap-3'!$I$15:$N$124,Q29+1,R29)</f>
        <v>* group[=].element[+].code = #Result.narrative.notes</v>
      </c>
    </row>
    <row r="30" spans="1:19" ht="44.25" x14ac:dyDescent="0.75">
      <c r="B30" s="9" t="str">
        <f>'A.5 Results'!B20</f>
        <v>observation.performer</v>
      </c>
      <c r="C30" s="9" t="str">
        <f>'A.5 Results'!C20</f>
        <v>A.5.2.9 Performer</v>
      </c>
      <c r="D30" s="14" t="s">
        <v>810</v>
      </c>
      <c r="E30" s="14"/>
      <c r="F30" s="75" t="s">
        <v>658</v>
      </c>
      <c r="G30" s="75"/>
      <c r="H30" s="76"/>
      <c r="I30" s="14" t="str">
        <f t="shared" si="24"/>
        <v>* group[=].element[+].code = #Result.observation.performer</v>
      </c>
      <c r="J30" s="14" t="str">
        <f t="shared" si="25"/>
        <v>* group[=].element[=].display = ##34#A.5.2.9 Performer##34#</v>
      </c>
      <c r="K30" s="14" t="str">
        <f t="shared" si="26"/>
        <v>* group[=].element[=].target.code = #Observation.performer</v>
      </c>
      <c r="L30" s="14" t="str">
        <f t="shared" si="27"/>
        <v>* group[=].element[=].target.display = ##34###34#</v>
      </c>
      <c r="M30" s="14" t="str">
        <f t="shared" si="28"/>
        <v>* group[=].element[=].target.equivalence = #equivalent</v>
      </c>
      <c r="N30" s="14" t="str">
        <f t="shared" si="29"/>
        <v/>
      </c>
      <c r="P30" s="9">
        <v>14</v>
      </c>
      <c r="Q30" s="9">
        <f t="shared" si="10"/>
        <v>2</v>
      </c>
      <c r="R30" s="9">
        <f t="shared" si="11"/>
        <v>2</v>
      </c>
      <c r="S30" s="14" t="str" cm="1">
        <f t="array" ref="S30">INDEX('Results-ConceptMap-3'!$I$15:$N$124,Q30+1,R30)</f>
        <v>* group[=].element[=].display = ##34#A.5.1.2 Comments, interpretation and recommendations##34#</v>
      </c>
    </row>
    <row r="31" spans="1:19" ht="42.5" customHeight="1" x14ac:dyDescent="0.75">
      <c r="B31" s="9" t="str">
        <f>'A.5 Results'!B21</f>
        <v>observation.reporter</v>
      </c>
      <c r="C31" s="9" t="str">
        <f>'A.5 Results'!C21</f>
        <v>A.5.2.10 Reporter</v>
      </c>
      <c r="D31" s="14" t="s">
        <v>810</v>
      </c>
      <c r="E31" s="14"/>
      <c r="F31" s="75" t="s">
        <v>659</v>
      </c>
      <c r="G31" s="82" t="s">
        <v>900</v>
      </c>
      <c r="H31" s="76"/>
      <c r="I31" s="14" t="str">
        <f t="shared" si="24"/>
        <v>* group[=].element[+].code = #Result.observation.reporter</v>
      </c>
      <c r="J31" s="14" t="str">
        <f t="shared" si="25"/>
        <v>* group[=].element[=].display = ##34#A.5.2.10 Reporter##34#</v>
      </c>
      <c r="K31" s="14" t="str">
        <f t="shared" si="26"/>
        <v>* group[=].element[=].target.code = #Observation.performer</v>
      </c>
      <c r="L31" s="14" t="str">
        <f t="shared" si="27"/>
        <v>* group[=].element[=].target.display = ##34###34#</v>
      </c>
      <c r="M31" s="14" t="str">
        <f t="shared" si="28"/>
        <v>* group[=].element[=].target.equivalence = #relatedto</v>
      </c>
      <c r="N31" s="14" t="str">
        <f t="shared" si="29"/>
        <v>* group[=].element[=].target.comment = ##34#For interpreter: performer.extension:performerFunction = AUT (author)
If the person responsible for validation:  performer.extension:performerFunction = AUTHEN or LA##34#</v>
      </c>
      <c r="P31" s="9">
        <v>15</v>
      </c>
      <c r="Q31" s="9">
        <f t="shared" si="10"/>
        <v>2</v>
      </c>
      <c r="R31" s="9">
        <f t="shared" si="11"/>
        <v>3</v>
      </c>
      <c r="S31" s="14" t="str" cm="1">
        <f t="array" ref="S31">INDEX('Results-ConceptMap-3'!$I$15:$N$124,Q31+1,R31)</f>
        <v>//-- unmatched</v>
      </c>
    </row>
    <row r="32" spans="1:19" ht="59" x14ac:dyDescent="0.75">
      <c r="B32" s="9" t="str">
        <f>'A.5 Results'!B22</f>
        <v>observation.result</v>
      </c>
      <c r="C32" s="9" t="str">
        <f>'A.5 Results'!C22</f>
        <v>A.5.2.11 Observation result</v>
      </c>
      <c r="D32" s="14" t="s">
        <v>815</v>
      </c>
      <c r="E32" s="14"/>
      <c r="F32" s="75" t="s">
        <v>658</v>
      </c>
      <c r="G32" s="75" t="s">
        <v>817</v>
      </c>
      <c r="H32" s="76"/>
      <c r="I32" s="14" t="str">
        <f t="shared" si="24"/>
        <v>* group[=].element[+].code = #Result.observation.result</v>
      </c>
      <c r="J32" s="14" t="str">
        <f t="shared" si="25"/>
        <v>* group[=].element[=].display = ##34#A.5.2.11 Observation result##34#</v>
      </c>
      <c r="K32" s="14" t="str">
        <f t="shared" si="26"/>
        <v>* group[=].element[=].target.code = #Observation.value[x]</v>
      </c>
      <c r="L32" s="14" t="str">
        <f t="shared" si="27"/>
        <v>* group[=].element[=].target.display = ##34###34#</v>
      </c>
      <c r="M32" s="14" t="str">
        <f t="shared" si="28"/>
        <v>* group[=].element[=].target.equivalence = #equivalent</v>
      </c>
      <c r="N32" s="14" t="str">
        <f t="shared" si="29"/>
        <v>* group[=].element[=].target.comment = ##34#depends on the type of test##34#</v>
      </c>
      <c r="P32" s="9">
        <v>16</v>
      </c>
      <c r="Q32" s="9">
        <f t="shared" si="10"/>
        <v>2</v>
      </c>
      <c r="R32" s="9">
        <f t="shared" si="11"/>
        <v>4</v>
      </c>
      <c r="S32" s="14" t="str" cm="1">
        <f t="array" ref="S32">INDEX('Results-ConceptMap-3'!$I$15:$N$124,Q32+1,R32)</f>
        <v>//-- unmatched</v>
      </c>
    </row>
    <row r="33" spans="1:19" ht="73.75" x14ac:dyDescent="0.75">
      <c r="B33" s="9" t="str">
        <f>'A.5 Results'!B22</f>
        <v>observation.result</v>
      </c>
      <c r="C33" s="9" t="str">
        <f>'A.5 Results'!C22</f>
        <v>A.5.2.11 Observation result</v>
      </c>
      <c r="D33" s="14" t="s">
        <v>816</v>
      </c>
      <c r="E33" s="14"/>
      <c r="F33" s="75" t="s">
        <v>658</v>
      </c>
      <c r="G33" s="75" t="s">
        <v>817</v>
      </c>
      <c r="H33" s="76"/>
      <c r="I33" s="14" t="str">
        <f t="shared" si="24"/>
        <v>* group[=].element[+].code = #Result.observation.result</v>
      </c>
      <c r="J33" s="14" t="str">
        <f t="shared" si="25"/>
        <v>* group[=].element[=].display = ##34#A.5.2.11 Observation result##34#</v>
      </c>
      <c r="K33" s="14" t="str">
        <f t="shared" si="26"/>
        <v>* group[=].element[=].target.code = #Observation.component.value[x]</v>
      </c>
      <c r="L33" s="14" t="str">
        <f t="shared" si="27"/>
        <v>* group[=].element[=].target.display = ##34###34#</v>
      </c>
      <c r="M33" s="14" t="str">
        <f t="shared" si="28"/>
        <v>* group[=].element[=].target.equivalence = #equivalent</v>
      </c>
      <c r="N33" s="14" t="str">
        <f t="shared" si="29"/>
        <v>* group[=].element[=].target.comment = ##34#depends on the type of test##34#</v>
      </c>
      <c r="P33" s="9">
        <v>17</v>
      </c>
      <c r="Q33" s="9">
        <f t="shared" si="10"/>
        <v>2</v>
      </c>
      <c r="R33" s="9">
        <f t="shared" si="11"/>
        <v>5</v>
      </c>
      <c r="S33" s="14" t="str" cm="1">
        <f t="array" ref="S33">INDEX('Results-ConceptMap-3'!$I$15:$N$124,Q33+1,R33)</f>
        <v>* group[=].element[=].target.equivalence = #unmatched</v>
      </c>
    </row>
    <row r="34" spans="1:19" ht="59" x14ac:dyDescent="0.75">
      <c r="B34" s="9" t="str">
        <f>'A.5 Results'!B23</f>
        <v>observation.interpretation</v>
      </c>
      <c r="C34" s="9" t="str">
        <f>'A.5 Results'!C23</f>
        <v>A.5.2.12 Observation interpretation</v>
      </c>
      <c r="D34" s="14" t="s">
        <v>811</v>
      </c>
      <c r="E34" s="14"/>
      <c r="F34" s="75" t="s">
        <v>658</v>
      </c>
      <c r="G34" s="83" t="s">
        <v>817</v>
      </c>
      <c r="H34" s="76"/>
      <c r="I34" s="14" t="str">
        <f t="shared" si="24"/>
        <v>* group[=].element[+].code = #Result.observation.interpretation</v>
      </c>
      <c r="J34" s="14" t="str">
        <f t="shared" si="25"/>
        <v>* group[=].element[=].display = ##34#A.5.2.12 Observation interpretation##34#</v>
      </c>
      <c r="K34" s="14" t="str">
        <f t="shared" si="26"/>
        <v>* group[=].element[=].target.code = #Observation.interpretation</v>
      </c>
      <c r="L34" s="14" t="str">
        <f t="shared" si="27"/>
        <v>* group[=].element[=].target.display = ##34###34#</v>
      </c>
      <c r="M34" s="14" t="str">
        <f t="shared" si="28"/>
        <v>* group[=].element[=].target.equivalence = #equivalent</v>
      </c>
      <c r="N34" s="14" t="str">
        <f t="shared" si="29"/>
        <v>* group[=].element[=].target.comment = ##34#depends on the type of test##34#</v>
      </c>
      <c r="P34" s="9">
        <v>18</v>
      </c>
      <c r="Q34" s="9">
        <f t="shared" si="10"/>
        <v>2</v>
      </c>
      <c r="R34" s="9">
        <f t="shared" si="11"/>
        <v>6</v>
      </c>
      <c r="S34" s="14" t="str" cm="1">
        <f t="array" ref="S34">INDEX('Results-ConceptMap-3'!$I$15:$N$124,Q34+1,R34)</f>
        <v/>
      </c>
    </row>
    <row r="35" spans="1:19" ht="73.75" x14ac:dyDescent="0.75">
      <c r="B35" s="9" t="str">
        <f>'A.5 Results'!B23</f>
        <v>observation.interpretation</v>
      </c>
      <c r="C35" s="9" t="str">
        <f>'A.5 Results'!C23</f>
        <v>A.5.2.12 Observation interpretation</v>
      </c>
      <c r="D35" s="14" t="s">
        <v>818</v>
      </c>
      <c r="E35" s="14"/>
      <c r="F35" s="75" t="s">
        <v>658</v>
      </c>
      <c r="G35" s="83" t="s">
        <v>817</v>
      </c>
      <c r="H35" s="76"/>
      <c r="I35" s="14" t="str">
        <f t="shared" si="24"/>
        <v>* group[=].element[+].code = #Result.observation.interpretation</v>
      </c>
      <c r="J35" s="14" t="str">
        <f t="shared" si="25"/>
        <v>* group[=].element[=].display = ##34#A.5.2.12 Observation interpretation##34#</v>
      </c>
      <c r="K35" s="14" t="str">
        <f t="shared" si="26"/>
        <v>* group[=].element[=].target.code = #Observation.component.interpretation</v>
      </c>
      <c r="L35" s="14" t="str">
        <f t="shared" si="27"/>
        <v>* group[=].element[=].target.display = ##34###34#</v>
      </c>
      <c r="M35" s="14" t="str">
        <f t="shared" si="28"/>
        <v>* group[=].element[=].target.equivalence = #equivalent</v>
      </c>
      <c r="N35" s="14" t="str">
        <f t="shared" si="29"/>
        <v>* group[=].element[=].target.comment = ##34#depends on the type of test##34#</v>
      </c>
      <c r="P35" s="9">
        <v>19</v>
      </c>
      <c r="Q35" s="9">
        <f t="shared" si="10"/>
        <v>3</v>
      </c>
      <c r="R35" s="9">
        <f t="shared" si="11"/>
        <v>1</v>
      </c>
      <c r="S35" s="14" t="str" cm="1">
        <f t="array" ref="S35">INDEX('Results-ConceptMap-3'!$I$15:$N$124,Q35+1,R35)</f>
        <v>* group[=].element[+].code = #Result.observation</v>
      </c>
    </row>
    <row r="36" spans="1:19" ht="44.25" x14ac:dyDescent="0.75">
      <c r="B36" s="9" t="str">
        <f>'A.5 Results'!B24</f>
        <v>observation.description</v>
      </c>
      <c r="C36" s="9" t="str">
        <f>'A.5 Results'!C24</f>
        <v>A.5.2.13 Result description</v>
      </c>
      <c r="D36" s="14" t="s">
        <v>797</v>
      </c>
      <c r="E36" s="14"/>
      <c r="F36" s="75" t="s">
        <v>659</v>
      </c>
      <c r="G36" s="89" t="s">
        <v>785</v>
      </c>
      <c r="H36" s="76"/>
      <c r="I36" s="14" t="str">
        <f t="shared" si="24"/>
        <v>* group[=].element[+].code = #Result.observation.description</v>
      </c>
      <c r="J36" s="14" t="str">
        <f t="shared" si="25"/>
        <v>* group[=].element[=].display = ##34#A.5.2.13 Result description##34#</v>
      </c>
      <c r="K36" s="14" t="str">
        <f t="shared" si="26"/>
        <v>* group[=].element[=].target.code = #Observation.text</v>
      </c>
      <c r="L36" s="14" t="str">
        <f t="shared" si="27"/>
        <v>* group[=].element[=].target.display = ##34###34#</v>
      </c>
      <c r="M36" s="14" t="str">
        <f t="shared" si="28"/>
        <v>* group[=].element[=].target.equivalence = #relatedto</v>
      </c>
      <c r="N36" s="14" t="str">
        <f t="shared" si="29"/>
        <v>* group[=].element[=].target.comment = ##34#to be checked##34#</v>
      </c>
      <c r="P36" s="9">
        <v>20</v>
      </c>
      <c r="Q36" s="9">
        <f t="shared" si="10"/>
        <v>3</v>
      </c>
      <c r="R36" s="9">
        <f t="shared" si="11"/>
        <v>2</v>
      </c>
      <c r="S36" s="14" t="str" cm="1">
        <f t="array" ref="S36">INDEX('Results-ConceptMap-3'!$I$15:$N$124,Q36+1,R36)</f>
        <v>* group[=].element[=].display = ##34#A.5.2 Observation details##34#</v>
      </c>
    </row>
    <row r="37" spans="1:19" ht="73.75" x14ac:dyDescent="0.75">
      <c r="B37" s="9" t="str">
        <f>'A.5 Results'!B25</f>
        <v>observation.accreditationStatus</v>
      </c>
      <c r="C37" s="9" t="str">
        <f>'A.5 Results'!C25</f>
        <v>A.5.2.14 Accreditation status</v>
      </c>
      <c r="D37" s="14" t="s">
        <v>823</v>
      </c>
      <c r="E37" s="14"/>
      <c r="F37" s="75" t="s">
        <v>659</v>
      </c>
      <c r="G37" s="83" t="s">
        <v>901</v>
      </c>
      <c r="H37" s="76"/>
      <c r="I37" s="14" t="str">
        <f t="shared" si="24"/>
        <v>* group[=].element[+].code = #Result.observation.accreditationStatus</v>
      </c>
      <c r="J37" s="14" t="str">
        <f t="shared" si="25"/>
        <v>* group[=].element[=].display = ##34#A.5.2.14 Accreditation status##34#</v>
      </c>
      <c r="K37" s="14" t="str">
        <f t="shared" si="26"/>
        <v>* group[=].element[=].target.code = #Observation.performer.qualification</v>
      </c>
      <c r="L37" s="14" t="str">
        <f t="shared" si="27"/>
        <v>* group[=].element[=].target.display = ##34###34#</v>
      </c>
      <c r="M37" s="14" t="str">
        <f t="shared" si="28"/>
        <v>* group[=].element[=].target.equivalence = #relatedto</v>
      </c>
      <c r="N37" s="14" t="str">
        <f t="shared" si="29"/>
        <v>* group[=].element[=].target.comment = ##34#performer ofType PractictionerRole##34#</v>
      </c>
      <c r="P37" s="9">
        <v>21</v>
      </c>
      <c r="Q37" s="9">
        <f t="shared" si="10"/>
        <v>3</v>
      </c>
      <c r="R37" s="9">
        <f t="shared" si="11"/>
        <v>3</v>
      </c>
      <c r="S37" s="14" t="str" cm="1">
        <f t="array" ref="S37">INDEX('Results-ConceptMap-3'!$I$15:$N$124,Q37+1,R37)</f>
        <v>* group[=].element[=].target.code = #Observation</v>
      </c>
    </row>
    <row r="38" spans="1:19" ht="73.75" x14ac:dyDescent="0.75">
      <c r="B38" s="9" t="str">
        <f>'A.5 Results'!B25</f>
        <v>observation.accreditationStatus</v>
      </c>
      <c r="C38" s="9" t="str">
        <f>'A.5 Results'!C25</f>
        <v>A.5.2.14 Accreditation status</v>
      </c>
      <c r="D38" s="14" t="s">
        <v>824</v>
      </c>
      <c r="E38" s="14"/>
      <c r="F38" s="75" t="s">
        <v>659</v>
      </c>
      <c r="G38" s="83" t="s">
        <v>902</v>
      </c>
      <c r="H38" s="76"/>
      <c r="I38" s="14" t="str">
        <f t="shared" si="24"/>
        <v>* group[=].element[+].code = #Result.observation.accreditationStatus</v>
      </c>
      <c r="J38" s="14" t="str">
        <f t="shared" si="25"/>
        <v>* group[=].element[=].display = ##34#A.5.2.14 Accreditation status##34#</v>
      </c>
      <c r="K38" s="14" t="str">
        <f t="shared" si="26"/>
        <v>* group[=].element[=].target.code = #Observation.performer.organization.qualification</v>
      </c>
      <c r="L38" s="14" t="str">
        <f t="shared" si="27"/>
        <v>* group[=].element[=].target.display = ##34###34#</v>
      </c>
      <c r="M38" s="14" t="str">
        <f t="shared" si="28"/>
        <v>* group[=].element[=].target.equivalence = #relatedto</v>
      </c>
      <c r="N38" s="14" t="str">
        <f t="shared" si="29"/>
        <v>* group[=].element[=].target.comment = ##34#performer ofType Organization##34#</v>
      </c>
      <c r="P38" s="9">
        <v>22</v>
      </c>
      <c r="Q38" s="9">
        <f t="shared" si="10"/>
        <v>3</v>
      </c>
      <c r="R38" s="9">
        <f t="shared" si="11"/>
        <v>4</v>
      </c>
      <c r="S38" s="14" t="str" cm="1">
        <f t="array" ref="S38">INDEX('Results-ConceptMap-3'!$I$15:$N$124,Q38+1,R38)</f>
        <v>* group[=].element[=].target.display = ##34###34#</v>
      </c>
    </row>
    <row r="39" spans="1:19" x14ac:dyDescent="0.75">
      <c r="B39" s="9"/>
      <c r="C39" s="9"/>
      <c r="D39" s="14"/>
      <c r="E39" s="14"/>
      <c r="F39" s="75"/>
      <c r="G39" s="75"/>
      <c r="H39" s="76"/>
      <c r="I39" s="14"/>
      <c r="J39" s="14"/>
      <c r="K39" s="14"/>
      <c r="L39" s="14"/>
      <c r="M39" s="14"/>
      <c r="N39" s="14"/>
      <c r="P39" s="9">
        <v>23</v>
      </c>
      <c r="Q39" s="9">
        <f t="shared" si="10"/>
        <v>3</v>
      </c>
      <c r="R39" s="9">
        <f t="shared" si="11"/>
        <v>5</v>
      </c>
      <c r="S39" s="14" t="str" cm="1">
        <f t="array" ref="S39">INDEX('Results-ConceptMap-3'!$I$15:$N$124,Q39+1,R39)</f>
        <v>* group[=].element[=].target.equivalence = #equivalent</v>
      </c>
    </row>
    <row r="40" spans="1:19" x14ac:dyDescent="0.75">
      <c r="B40" s="9"/>
      <c r="C40" s="9"/>
      <c r="D40" s="14"/>
      <c r="E40" s="14"/>
      <c r="F40" s="75"/>
      <c r="G40" s="75"/>
      <c r="H40" s="76"/>
      <c r="I40" s="14"/>
      <c r="J40" s="14"/>
      <c r="K40" s="14"/>
      <c r="L40" s="14"/>
      <c r="M40" s="14"/>
      <c r="N40" s="1"/>
      <c r="P40" s="9">
        <v>24</v>
      </c>
      <c r="Q40" s="9">
        <f t="shared" si="10"/>
        <v>3</v>
      </c>
      <c r="R40" s="9">
        <f t="shared" si="11"/>
        <v>6</v>
      </c>
      <c r="S40" s="14" t="str" cm="1">
        <f t="array" ref="S40">INDEX('Results-ConceptMap-3'!$I$15:$N$124,Q40+1,R40)</f>
        <v/>
      </c>
    </row>
    <row r="41" spans="1:19" x14ac:dyDescent="0.75">
      <c r="B41" s="9"/>
      <c r="C41" s="9"/>
      <c r="D41" s="14"/>
      <c r="E41" s="14"/>
      <c r="F41" s="75"/>
      <c r="G41" s="75"/>
      <c r="H41" s="76"/>
      <c r="K41" s="76"/>
      <c r="L41" s="76"/>
      <c r="M41" s="74"/>
      <c r="N41" s="74"/>
      <c r="P41" s="9">
        <v>25</v>
      </c>
      <c r="Q41" s="9">
        <f t="shared" si="10"/>
        <v>4</v>
      </c>
      <c r="R41" s="9">
        <f t="shared" si="11"/>
        <v>1</v>
      </c>
      <c r="S41" s="14" t="str" cm="1">
        <f t="array" ref="S41">INDEX('Results-ConceptMap-3'!$I$15:$N$124,Q41+1,R41)</f>
        <v>* group[=].element[+].code = #Result.observation.dateTime</v>
      </c>
    </row>
    <row r="42" spans="1:19" x14ac:dyDescent="0.75">
      <c r="B42" s="9"/>
      <c r="C42" s="9"/>
      <c r="D42" s="14"/>
      <c r="E42" s="14"/>
      <c r="F42" s="75"/>
      <c r="G42" s="75"/>
      <c r="H42" s="76"/>
      <c r="K42" s="76"/>
      <c r="L42" s="76"/>
      <c r="M42" s="74"/>
      <c r="N42" s="74"/>
      <c r="P42" s="9">
        <v>26</v>
      </c>
      <c r="Q42" s="9">
        <f t="shared" si="10"/>
        <v>4</v>
      </c>
      <c r="R42" s="9">
        <f t="shared" si="11"/>
        <v>2</v>
      </c>
      <c r="S42" s="14" t="str" cm="1">
        <f t="array" ref="S42">INDEX('Results-ConceptMap-3'!$I$15:$N$124,Q42+1,R42)</f>
        <v>* group[=].element[=].display = ##34#A.5.2.1 Observation date##34#</v>
      </c>
    </row>
    <row r="43" spans="1:19" s="1" customFormat="1" x14ac:dyDescent="0.75">
      <c r="A43"/>
      <c r="B43" s="9"/>
      <c r="C43" s="9"/>
      <c r="D43" s="14"/>
      <c r="E43" s="14"/>
      <c r="F43" s="75"/>
      <c r="G43" s="76"/>
      <c r="H43" s="76"/>
      <c r="J43"/>
      <c r="K43" s="76"/>
      <c r="L43" s="76"/>
      <c r="M43" s="74"/>
      <c r="N43" s="74"/>
      <c r="P43" s="9">
        <v>27</v>
      </c>
      <c r="Q43" s="9">
        <f t="shared" si="10"/>
        <v>4</v>
      </c>
      <c r="R43" s="9">
        <f t="shared" si="11"/>
        <v>3</v>
      </c>
      <c r="S43" s="14" t="str" cm="1">
        <f t="array" ref="S43">INDEX('Results-ConceptMap-3'!$I$15:$N$124,Q43+1,R43)</f>
        <v>* group[=].element[=].target.code = #Observation.effective[x]</v>
      </c>
    </row>
    <row r="44" spans="1:19" s="1" customFormat="1" x14ac:dyDescent="0.75">
      <c r="A44"/>
      <c r="B44" s="9"/>
      <c r="C44" s="9"/>
      <c r="D44" s="60"/>
      <c r="F44" s="76"/>
      <c r="G44" s="76"/>
      <c r="H44" s="76"/>
      <c r="J44"/>
      <c r="K44" s="76"/>
      <c r="L44" s="76"/>
      <c r="M44" s="74"/>
      <c r="N44" s="74"/>
      <c r="P44" s="9">
        <v>28</v>
      </c>
      <c r="Q44" s="9">
        <f t="shared" si="10"/>
        <v>4</v>
      </c>
      <c r="R44" s="9">
        <f t="shared" si="11"/>
        <v>4</v>
      </c>
      <c r="S44" s="14" t="str" cm="1">
        <f t="array" ref="S44">INDEX('Results-ConceptMap-3'!$I$15:$N$124,Q44+1,R44)</f>
        <v>* group[=].element[=].target.display = ##34###34#</v>
      </c>
    </row>
    <row r="45" spans="1:19" x14ac:dyDescent="0.75">
      <c r="P45" s="9">
        <v>29</v>
      </c>
      <c r="Q45" s="9">
        <f t="shared" si="10"/>
        <v>4</v>
      </c>
      <c r="R45" s="9">
        <f t="shared" si="11"/>
        <v>5</v>
      </c>
      <c r="S45" s="14" t="str" cm="1">
        <f t="array" ref="S45">INDEX('Results-ConceptMap-3'!$I$15:$N$124,Q45+1,R45)</f>
        <v>* group[=].element[=].target.equivalence = #equivalent</v>
      </c>
    </row>
    <row r="46" spans="1:19" x14ac:dyDescent="0.75">
      <c r="P46" s="9">
        <v>30</v>
      </c>
      <c r="Q46" s="9">
        <f t="shared" si="10"/>
        <v>4</v>
      </c>
      <c r="R46" s="9">
        <f t="shared" si="11"/>
        <v>6</v>
      </c>
      <c r="S46" s="14" t="str" cm="1">
        <f t="array" ref="S46">INDEX('Results-ConceptMap-3'!$I$15:$N$124,Q46+1,R46)</f>
        <v/>
      </c>
    </row>
    <row r="47" spans="1:19" x14ac:dyDescent="0.75">
      <c r="P47" s="9">
        <v>31</v>
      </c>
      <c r="Q47" s="9">
        <f t="shared" si="10"/>
        <v>5</v>
      </c>
      <c r="R47" s="9">
        <f t="shared" si="11"/>
        <v>1</v>
      </c>
      <c r="S47" s="14" t="str" cm="1">
        <f t="array" ref="S47">INDEX('Results-ConceptMap-3'!$I$15:$N$124,Q47+1,R47)</f>
        <v>* group[=].element[+].code = #Result.observation.code</v>
      </c>
    </row>
    <row r="48" spans="1:19" x14ac:dyDescent="0.75">
      <c r="P48" s="9">
        <v>32</v>
      </c>
      <c r="Q48" s="9">
        <f t="shared" si="10"/>
        <v>5</v>
      </c>
      <c r="R48" s="9">
        <f t="shared" si="11"/>
        <v>2</v>
      </c>
      <c r="S48" s="14" t="str" cm="1">
        <f t="array" ref="S48">INDEX('Results-ConceptMap-3'!$I$15:$N$124,Q48+1,R48)</f>
        <v>* group[=].element[=].display = ##34#A.5.2.3 Observation code##34#</v>
      </c>
    </row>
    <row r="49" spans="16:19" x14ac:dyDescent="0.75">
      <c r="P49" s="9">
        <v>33</v>
      </c>
      <c r="Q49" s="9">
        <f t="shared" si="10"/>
        <v>5</v>
      </c>
      <c r="R49" s="9">
        <f t="shared" si="11"/>
        <v>3</v>
      </c>
      <c r="S49" s="14" t="str" cm="1">
        <f t="array" ref="S49">INDEX('Results-ConceptMap-3'!$I$15:$N$124,Q49+1,R49)</f>
        <v>* group[=].element[=].target.code = #Observation.code</v>
      </c>
    </row>
    <row r="50" spans="16:19" x14ac:dyDescent="0.75">
      <c r="P50" s="9">
        <v>34</v>
      </c>
      <c r="Q50" s="9">
        <f t="shared" si="10"/>
        <v>5</v>
      </c>
      <c r="R50" s="9">
        <f t="shared" si="11"/>
        <v>4</v>
      </c>
      <c r="S50" s="14" t="str" cm="1">
        <f t="array" ref="S50">INDEX('Results-ConceptMap-3'!$I$15:$N$124,Q50+1,R50)</f>
        <v>* group[=].element[=].target.display = ##34###34#</v>
      </c>
    </row>
    <row r="51" spans="16:19" x14ac:dyDescent="0.75">
      <c r="P51" s="9">
        <v>35</v>
      </c>
      <c r="Q51" s="9">
        <f t="shared" si="10"/>
        <v>5</v>
      </c>
      <c r="R51" s="9">
        <f t="shared" si="11"/>
        <v>5</v>
      </c>
      <c r="S51" s="14" t="str" cm="1">
        <f t="array" ref="S51">INDEX('Results-ConceptMap-3'!$I$15:$N$124,Q51+1,R51)</f>
        <v>* group[=].element[=].target.equivalence = #relatedto</v>
      </c>
    </row>
    <row r="52" spans="16:19" x14ac:dyDescent="0.75">
      <c r="P52" s="9">
        <v>36</v>
      </c>
      <c r="Q52" s="9">
        <f t="shared" si="10"/>
        <v>5</v>
      </c>
      <c r="R52" s="9">
        <f t="shared" si="11"/>
        <v>6</v>
      </c>
      <c r="S52" s="14" t="str" cm="1">
        <f t="array" ref="S52">INDEX('Results-ConceptMap-3'!$I$15:$N$124,Q52+1,R52)</f>
        <v>* group[=].element[=].target.comment = ##34#depends on the type of test##34#</v>
      </c>
    </row>
    <row r="53" spans="16:19" x14ac:dyDescent="0.75">
      <c r="P53" s="9">
        <v>37</v>
      </c>
      <c r="Q53" s="9">
        <f t="shared" si="10"/>
        <v>6</v>
      </c>
      <c r="R53" s="9">
        <f t="shared" si="11"/>
        <v>1</v>
      </c>
      <c r="S53" s="14" t="str" cm="1">
        <f t="array" ref="S53">INDEX('Results-ConceptMap-3'!$I$15:$N$124,Q53+1,R53)</f>
        <v>* group[=].element[+].code = #Result.observation.code</v>
      </c>
    </row>
    <row r="54" spans="16:19" x14ac:dyDescent="0.75">
      <c r="P54" s="9">
        <v>38</v>
      </c>
      <c r="Q54" s="9">
        <f t="shared" si="10"/>
        <v>6</v>
      </c>
      <c r="R54" s="9">
        <f t="shared" si="11"/>
        <v>2</v>
      </c>
      <c r="S54" s="14" t="str" cm="1">
        <f t="array" ref="S54">INDEX('Results-ConceptMap-3'!$I$15:$N$124,Q54+1,R54)</f>
        <v>* group[=].element[=].display = ##34#A.5.2.3 Observation code##34#</v>
      </c>
    </row>
    <row r="55" spans="16:19" x14ac:dyDescent="0.75">
      <c r="P55" s="9">
        <v>39</v>
      </c>
      <c r="Q55" s="9">
        <f t="shared" si="10"/>
        <v>6</v>
      </c>
      <c r="R55" s="9">
        <f t="shared" si="11"/>
        <v>3</v>
      </c>
      <c r="S55" s="14" t="str" cm="1">
        <f t="array" ref="S55">INDEX('Results-ConceptMap-3'!$I$15:$N$124,Q55+1,R55)</f>
        <v>* group[=].element[=].target.code = #Observation.hasMember.code</v>
      </c>
    </row>
    <row r="56" spans="16:19" x14ac:dyDescent="0.75">
      <c r="P56" s="9">
        <v>40</v>
      </c>
      <c r="Q56" s="9">
        <f t="shared" si="10"/>
        <v>6</v>
      </c>
      <c r="R56" s="9">
        <f t="shared" si="11"/>
        <v>4</v>
      </c>
      <c r="S56" s="14" t="str" cm="1">
        <f t="array" ref="S56">INDEX('Results-ConceptMap-3'!$I$15:$N$124,Q56+1,R56)</f>
        <v>* group[=].element[=].target.display = ##34###34#</v>
      </c>
    </row>
    <row r="57" spans="16:19" x14ac:dyDescent="0.75">
      <c r="P57" s="9">
        <v>41</v>
      </c>
      <c r="Q57" s="9">
        <f t="shared" si="10"/>
        <v>6</v>
      </c>
      <c r="R57" s="9">
        <f t="shared" si="11"/>
        <v>5</v>
      </c>
      <c r="S57" s="14" t="str" cm="1">
        <f t="array" ref="S57">INDEX('Results-ConceptMap-3'!$I$15:$N$124,Q57+1,R57)</f>
        <v>* group[=].element[=].target.equivalence = #relatedto</v>
      </c>
    </row>
    <row r="58" spans="16:19" x14ac:dyDescent="0.75">
      <c r="P58" s="9">
        <v>42</v>
      </c>
      <c r="Q58" s="9">
        <f t="shared" si="10"/>
        <v>6</v>
      </c>
      <c r="R58" s="9">
        <f t="shared" si="11"/>
        <v>6</v>
      </c>
      <c r="S58" s="14" t="str" cm="1">
        <f t="array" ref="S58">INDEX('Results-ConceptMap-3'!$I$15:$N$124,Q58+1,R58)</f>
        <v>* group[=].element[=].target.comment = ##34#depends on the type of test##34#</v>
      </c>
    </row>
    <row r="59" spans="16:19" x14ac:dyDescent="0.75">
      <c r="P59" s="9">
        <v>43</v>
      </c>
      <c r="Q59" s="9">
        <f t="shared" si="10"/>
        <v>7</v>
      </c>
      <c r="R59" s="9">
        <f t="shared" si="11"/>
        <v>1</v>
      </c>
      <c r="S59" s="14" t="str" cm="1">
        <f t="array" ref="S59">INDEX('Results-ConceptMap-3'!$I$15:$N$124,Q59+1,R59)</f>
        <v>* group[=].element[+].code = #Result.observation.code</v>
      </c>
    </row>
    <row r="60" spans="16:19" x14ac:dyDescent="0.75">
      <c r="P60" s="9">
        <v>44</v>
      </c>
      <c r="Q60" s="9">
        <f t="shared" si="10"/>
        <v>7</v>
      </c>
      <c r="R60" s="9">
        <f t="shared" si="11"/>
        <v>2</v>
      </c>
      <c r="S60" s="14" t="str" cm="1">
        <f t="array" ref="S60">INDEX('Results-ConceptMap-3'!$I$15:$N$124,Q60+1,R60)</f>
        <v>* group[=].element[=].display = ##34#A.5.2.3 Observation code##34#</v>
      </c>
    </row>
    <row r="61" spans="16:19" x14ac:dyDescent="0.75">
      <c r="P61" s="9">
        <v>45</v>
      </c>
      <c r="Q61" s="9">
        <f t="shared" si="10"/>
        <v>7</v>
      </c>
      <c r="R61" s="9">
        <f t="shared" si="11"/>
        <v>3</v>
      </c>
      <c r="S61" s="14" t="str" cm="1">
        <f t="array" ref="S61">INDEX('Results-ConceptMap-3'!$I$15:$N$124,Q61+1,R61)</f>
        <v>* group[=].element[=].target.code = #Observation.component.code</v>
      </c>
    </row>
    <row r="62" spans="16:19" x14ac:dyDescent="0.75">
      <c r="P62" s="9">
        <v>46</v>
      </c>
      <c r="Q62" s="9">
        <f t="shared" ref="Q62:Q81" si="30">IF(MOD(P62,$Q$8)=0,P62/$Q$8-1,INT(P62/$Q$8))</f>
        <v>7</v>
      </c>
      <c r="R62" s="9">
        <f t="shared" ref="R62:R81" si="31">IF(MOD(P62,$Q$8)=0,$Q$8,MOD(P62,$Q$8))</f>
        <v>4</v>
      </c>
      <c r="S62" s="14" t="str" cm="1">
        <f t="array" ref="S62">INDEX('Results-ConceptMap-3'!$I$15:$N$124,Q62+1,R62)</f>
        <v>* group[=].element[=].target.display = ##34###34#</v>
      </c>
    </row>
    <row r="63" spans="16:19" x14ac:dyDescent="0.75">
      <c r="P63" s="9">
        <v>47</v>
      </c>
      <c r="Q63" s="9">
        <f t="shared" si="30"/>
        <v>7</v>
      </c>
      <c r="R63" s="9">
        <f t="shared" si="31"/>
        <v>5</v>
      </c>
      <c r="S63" s="14" t="str" cm="1">
        <f t="array" ref="S63">INDEX('Results-ConceptMap-3'!$I$15:$N$124,Q63+1,R63)</f>
        <v>* group[=].element[=].target.equivalence = #relatedto</v>
      </c>
    </row>
    <row r="64" spans="16:19" x14ac:dyDescent="0.75">
      <c r="P64" s="9">
        <v>48</v>
      </c>
      <c r="Q64" s="9">
        <f t="shared" si="30"/>
        <v>7</v>
      </c>
      <c r="R64" s="9">
        <f t="shared" si="31"/>
        <v>6</v>
      </c>
      <c r="S64" s="14" t="str" cm="1">
        <f t="array" ref="S64">INDEX('Results-ConceptMap-3'!$I$15:$N$124,Q64+1,R64)</f>
        <v>* group[=].element[=].target.comment = ##34#depends on the type of test##34#</v>
      </c>
    </row>
    <row r="65" spans="16:19" x14ac:dyDescent="0.75">
      <c r="P65" s="9">
        <v>49</v>
      </c>
      <c r="Q65" s="9">
        <f t="shared" si="30"/>
        <v>8</v>
      </c>
      <c r="R65" s="9">
        <f t="shared" si="31"/>
        <v>1</v>
      </c>
      <c r="S65" s="14" t="str" cm="1">
        <f t="array" ref="S65">INDEX('Results-ConceptMap-3'!$I$15:$N$124,Q65+1,R65)</f>
        <v>* group[=].element[+].code = #Result.observation.code.name</v>
      </c>
    </row>
    <row r="66" spans="16:19" x14ac:dyDescent="0.75">
      <c r="P66" s="9">
        <v>50</v>
      </c>
      <c r="Q66" s="9">
        <f t="shared" si="30"/>
        <v>8</v>
      </c>
      <c r="R66" s="9">
        <f t="shared" si="31"/>
        <v>2</v>
      </c>
      <c r="S66" s="14" t="str" cm="1">
        <f t="array" ref="S66">INDEX('Results-ConceptMap-3'!$I$15:$N$124,Q66+1,R66)</f>
        <v>* group[=].element[=].display = ##34#A.5.2.3.1 Observation name##34#</v>
      </c>
    </row>
    <row r="67" spans="16:19" x14ac:dyDescent="0.75">
      <c r="P67" s="9">
        <v>51</v>
      </c>
      <c r="Q67" s="9">
        <f t="shared" si="30"/>
        <v>8</v>
      </c>
      <c r="R67" s="9">
        <f t="shared" si="31"/>
        <v>3</v>
      </c>
      <c r="S67" s="14" t="str" cm="1">
        <f t="array" ref="S67">INDEX('Results-ConceptMap-3'!$I$15:$N$124,Q67+1,R67)</f>
        <v>* group[=].element[=].target.code = #Observation.code.coding.display</v>
      </c>
    </row>
    <row r="68" spans="16:19" x14ac:dyDescent="0.75">
      <c r="P68" s="9">
        <v>52</v>
      </c>
      <c r="Q68" s="9">
        <f t="shared" si="30"/>
        <v>8</v>
      </c>
      <c r="R68" s="9">
        <f t="shared" si="31"/>
        <v>4</v>
      </c>
      <c r="S68" s="14" t="str" cm="1">
        <f t="array" ref="S68">INDEX('Results-ConceptMap-3'!$I$15:$N$124,Q68+1,R68)</f>
        <v>* group[=].element[=].target.display = ##34###34#</v>
      </c>
    </row>
    <row r="69" spans="16:19" x14ac:dyDescent="0.75">
      <c r="P69" s="9">
        <v>53</v>
      </c>
      <c r="Q69" s="9">
        <f t="shared" si="30"/>
        <v>8</v>
      </c>
      <c r="R69" s="9">
        <f t="shared" si="31"/>
        <v>5</v>
      </c>
      <c r="S69" s="14" t="str" cm="1">
        <f t="array" ref="S69">INDEX('Results-ConceptMap-3'!$I$15:$N$124,Q69+1,R69)</f>
        <v>* group[=].element[=].target.equivalence = #equivalent</v>
      </c>
    </row>
    <row r="70" spans="16:19" ht="29.5" x14ac:dyDescent="0.75">
      <c r="P70" s="9">
        <v>54</v>
      </c>
      <c r="Q70" s="9">
        <f t="shared" si="30"/>
        <v>8</v>
      </c>
      <c r="R70" s="9">
        <f t="shared" si="31"/>
        <v>6</v>
      </c>
      <c r="S70" s="14" t="str" cm="1">
        <f t="array" ref="S70">INDEX('Results-ConceptMap-3'!$I$15:$N$124,Q70+1,R70)</f>
        <v>* group[=].element[=].target.comment = ##34#If the 'code' is the Observation.code. Similar mapping for the other cases.##34#</v>
      </c>
    </row>
    <row r="71" spans="16:19" x14ac:dyDescent="0.75">
      <c r="P71" s="9">
        <v>55</v>
      </c>
      <c r="Q71" s="9">
        <f t="shared" si="30"/>
        <v>9</v>
      </c>
      <c r="R71" s="9">
        <f t="shared" si="31"/>
        <v>1</v>
      </c>
      <c r="S71" s="14" t="str" cm="1">
        <f t="array" ref="S71">INDEX('Results-ConceptMap-3'!$I$15:$N$124,Q71+1,R71)</f>
        <v>* group[=].element[+].code = #Result.observation.code.originalName</v>
      </c>
    </row>
    <row r="72" spans="16:19" x14ac:dyDescent="0.75">
      <c r="P72" s="9">
        <v>56</v>
      </c>
      <c r="Q72" s="9">
        <f t="shared" si="30"/>
        <v>9</v>
      </c>
      <c r="R72" s="9">
        <f t="shared" si="31"/>
        <v>2</v>
      </c>
      <c r="S72" s="14" t="str" cm="1">
        <f t="array" ref="S72">INDEX('Results-ConceptMap-3'!$I$15:$N$124,Q72+1,R72)</f>
        <v>* group[=].element[=].display = ##34#A.5.2.3.2 Observation original name##34#</v>
      </c>
    </row>
    <row r="73" spans="16:19" x14ac:dyDescent="0.75">
      <c r="P73" s="9">
        <v>57</v>
      </c>
      <c r="Q73" s="9">
        <f t="shared" si="30"/>
        <v>9</v>
      </c>
      <c r="R73" s="9">
        <f t="shared" si="31"/>
        <v>3</v>
      </c>
      <c r="S73" s="14" t="str" cm="1">
        <f t="array" ref="S73">INDEX('Results-ConceptMap-3'!$I$15:$N$124,Q73+1,R73)</f>
        <v>* group[=].element[=].target.code = #Observation.code.text</v>
      </c>
    </row>
    <row r="74" spans="16:19" x14ac:dyDescent="0.75">
      <c r="P74" s="9">
        <v>58</v>
      </c>
      <c r="Q74" s="9">
        <f t="shared" si="30"/>
        <v>9</v>
      </c>
      <c r="R74" s="9">
        <f t="shared" si="31"/>
        <v>4</v>
      </c>
      <c r="S74" s="14" t="str" cm="1">
        <f t="array" ref="S74">INDEX('Results-ConceptMap-3'!$I$15:$N$124,Q74+1,R74)</f>
        <v>* group[=].element[=].target.display = ##34###34#</v>
      </c>
    </row>
    <row r="75" spans="16:19" x14ac:dyDescent="0.75">
      <c r="P75" s="9">
        <v>59</v>
      </c>
      <c r="Q75" s="9">
        <f t="shared" si="30"/>
        <v>9</v>
      </c>
      <c r="R75" s="9">
        <f t="shared" si="31"/>
        <v>5</v>
      </c>
      <c r="S75" s="14" t="str" cm="1">
        <f t="array" ref="S75">INDEX('Results-ConceptMap-3'!$I$15:$N$124,Q75+1,R75)</f>
        <v>* group[=].element[=].target.equivalence = #equivalent</v>
      </c>
    </row>
    <row r="76" spans="16:19" ht="29.5" x14ac:dyDescent="0.75">
      <c r="P76" s="9">
        <v>60</v>
      </c>
      <c r="Q76" s="9">
        <f t="shared" si="30"/>
        <v>9</v>
      </c>
      <c r="R76" s="9">
        <f t="shared" si="31"/>
        <v>6</v>
      </c>
      <c r="S76" s="14" t="str" cm="1">
        <f t="array" ref="S76">INDEX('Results-ConceptMap-3'!$I$15:$N$124,Q76+1,R76)</f>
        <v>* group[=].element[=].target.comment = ##34#If the 'code' is the Observation.code. Similar mapping for the other cases.##34#</v>
      </c>
    </row>
    <row r="77" spans="16:19" x14ac:dyDescent="0.75">
      <c r="P77" s="9">
        <v>61</v>
      </c>
      <c r="Q77" s="9">
        <f t="shared" si="30"/>
        <v>10</v>
      </c>
      <c r="R77" s="9">
        <f t="shared" si="31"/>
        <v>1</v>
      </c>
      <c r="S77" s="14" t="str" cm="1">
        <f t="array" ref="S77">INDEX('Results-ConceptMap-3'!$I$15:$N$124,Q77+1,R77)</f>
        <v>* group[=].element[+].code = #Result.observation.code.displayName</v>
      </c>
    </row>
    <row r="78" spans="16:19" x14ac:dyDescent="0.75">
      <c r="P78" s="9">
        <v>62</v>
      </c>
      <c r="Q78" s="9">
        <f t="shared" si="30"/>
        <v>10</v>
      </c>
      <c r="R78" s="9">
        <f t="shared" si="31"/>
        <v>2</v>
      </c>
      <c r="S78" s="14" t="str" cm="1">
        <f t="array" ref="S78">INDEX('Results-ConceptMap-3'!$I$15:$N$124,Q78+1,R78)</f>
        <v>* group[=].element[=].display = ##34#A.5.2.3.3 Observation display name##34#</v>
      </c>
    </row>
    <row r="79" spans="16:19" x14ac:dyDescent="0.75">
      <c r="P79" s="9">
        <v>63</v>
      </c>
      <c r="Q79" s="9">
        <f t="shared" si="30"/>
        <v>10</v>
      </c>
      <c r="R79" s="9">
        <f t="shared" si="31"/>
        <v>3</v>
      </c>
      <c r="S79" s="14" t="str" cm="1">
        <f t="array" ref="S79">INDEX('Results-ConceptMap-3'!$I$15:$N$124,Q79+1,R79)</f>
        <v>* group[=].element[=].target.code = #Observation.code.coding.display</v>
      </c>
    </row>
    <row r="80" spans="16:19" x14ac:dyDescent="0.75">
      <c r="P80" s="9">
        <v>64</v>
      </c>
      <c r="Q80" s="9">
        <f t="shared" si="30"/>
        <v>10</v>
      </c>
      <c r="R80" s="9">
        <f t="shared" si="31"/>
        <v>4</v>
      </c>
      <c r="S80" s="14" t="str" cm="1">
        <f t="array" ref="S80">INDEX('Results-ConceptMap-3'!$I$15:$N$124,Q80+1,R80)</f>
        <v>* group[=].element[=].target.display = ##34###34#</v>
      </c>
    </row>
    <row r="81" spans="16:19" x14ac:dyDescent="0.75">
      <c r="P81" s="9">
        <v>65</v>
      </c>
      <c r="Q81" s="9">
        <f t="shared" si="30"/>
        <v>10</v>
      </c>
      <c r="R81" s="9">
        <f t="shared" si="31"/>
        <v>5</v>
      </c>
      <c r="S81" s="14" t="str" cm="1">
        <f t="array" ref="S81">INDEX('Results-ConceptMap-3'!$I$15:$N$124,Q81+1,R81)</f>
        <v>* group[=].element[=].target.equivalence = #equivalent</v>
      </c>
    </row>
    <row r="82" spans="16:19" ht="44.25" x14ac:dyDescent="0.75">
      <c r="P82" s="9">
        <v>66</v>
      </c>
      <c r="Q82" s="9">
        <f t="shared" ref="Q82:Q88" si="32">IF(MOD(P82,$Q$8)=0,P82/$Q$8-1,INT(P82/$Q$8))</f>
        <v>10</v>
      </c>
      <c r="R82" s="9">
        <f t="shared" ref="R82:R88" si="33">IF(MOD(P82,$Q$8)=0,$Q$8,MOD(P82,$Q$8))</f>
        <v>6</v>
      </c>
      <c r="S82" s="14" t="str" cm="1">
        <f t="array" ref="S82">INDEX('Results-ConceptMap-3'!$I$15:$N$124,Q82+1,R82)</f>
        <v>* group[=].element[=].target.comment = ##34#The coding refers to a coded concept different from that used for A.5.2.3.1.
If the 'code' is the Observation.code. Similar mapping for the other cases.##34#</v>
      </c>
    </row>
    <row r="83" spans="16:19" x14ac:dyDescent="0.75">
      <c r="P83" s="9">
        <v>67</v>
      </c>
      <c r="Q83" s="9">
        <f t="shared" si="32"/>
        <v>11</v>
      </c>
      <c r="R83" s="9">
        <f t="shared" si="33"/>
        <v>1</v>
      </c>
      <c r="S83" s="14" t="str" cm="1">
        <f t="array" ref="S83">INDEX('Results-ConceptMap-3'!$I$15:$N$124,Q83+1,R83)</f>
        <v>* group[=].element[+].code = #Result.observation.code.displayName</v>
      </c>
    </row>
    <row r="84" spans="16:19" x14ac:dyDescent="0.75">
      <c r="P84" s="9">
        <v>68</v>
      </c>
      <c r="Q84" s="9">
        <f t="shared" si="32"/>
        <v>11</v>
      </c>
      <c r="R84" s="9">
        <f t="shared" si="33"/>
        <v>2</v>
      </c>
      <c r="S84" s="14" t="str" cm="1">
        <f t="array" ref="S84">INDEX('Results-ConceptMap-3'!$I$15:$N$124,Q84+1,R84)</f>
        <v>* group[=].element[=].display = ##34#A.5.2.3.3 Observation display name##34#</v>
      </c>
    </row>
    <row r="85" spans="16:19" ht="29.5" x14ac:dyDescent="0.75">
      <c r="P85" s="9">
        <v>69</v>
      </c>
      <c r="Q85" s="9">
        <f t="shared" si="32"/>
        <v>11</v>
      </c>
      <c r="R85" s="9">
        <f t="shared" si="33"/>
        <v>3</v>
      </c>
      <c r="S85" s="14" t="str" cm="1">
        <f t="array" ref="S85">INDEX('Results-ConceptMap-3'!$I$15:$N$124,Q85+1,R85)</f>
        <v>* group[=].element[=].target.code = #Observation.code.coding.display.extension:translation</v>
      </c>
    </row>
    <row r="86" spans="16:19" x14ac:dyDescent="0.75">
      <c r="P86" s="9">
        <v>70</v>
      </c>
      <c r="Q86" s="9">
        <f t="shared" si="32"/>
        <v>11</v>
      </c>
      <c r="R86" s="9">
        <f t="shared" si="33"/>
        <v>4</v>
      </c>
      <c r="S86" s="14" t="str" cm="1">
        <f t="array" ref="S86">INDEX('Results-ConceptMap-3'!$I$15:$N$124,Q86+1,R86)</f>
        <v>* group[=].element[=].target.display = ##34###34#</v>
      </c>
    </row>
    <row r="87" spans="16:19" x14ac:dyDescent="0.75">
      <c r="P87" s="9">
        <v>71</v>
      </c>
      <c r="Q87" s="9">
        <f t="shared" si="32"/>
        <v>11</v>
      </c>
      <c r="R87" s="9">
        <f t="shared" si="33"/>
        <v>5</v>
      </c>
      <c r="S87" s="14" t="str" cm="1">
        <f t="array" ref="S87">INDEX('Results-ConceptMap-3'!$I$15:$N$124,Q87+1,R87)</f>
        <v>* group[=].element[=].target.equivalence = #equivalent</v>
      </c>
    </row>
    <row r="88" spans="16:19" ht="44.25" x14ac:dyDescent="0.75">
      <c r="P88" s="9">
        <v>72</v>
      </c>
      <c r="Q88" s="9">
        <f t="shared" si="32"/>
        <v>11</v>
      </c>
      <c r="R88" s="9">
        <f t="shared" si="33"/>
        <v>6</v>
      </c>
      <c r="S88" s="14" t="str" cm="1">
        <f t="array" ref="S88">INDEX('Results-ConceptMap-3'!$I$15:$N$124,Q88+1,R88)</f>
        <v>* group[=].element[=].target.comment = ##34#The coding refers to the same coded concept used for A.5.2.3.1.
If the 'code' is the Observation.code. Similar mapping for the other cases.##34#</v>
      </c>
    </row>
    <row r="89" spans="16:19" x14ac:dyDescent="0.75">
      <c r="P89" s="9">
        <v>73</v>
      </c>
      <c r="Q89" s="9">
        <f>IF(MOD(P89,$Q$8)=0,P89/$Q$8-1,INT(P89/$Q$8))</f>
        <v>12</v>
      </c>
      <c r="R89" s="9">
        <f>IF(MOD(P89,$Q$8)=0,$Q$8,MOD(P89,$Q$8))</f>
        <v>1</v>
      </c>
      <c r="S89" s="14" t="str" cm="1">
        <f t="array" ref="S89">INDEX('Results-ConceptMap-3'!$I$15:$N$124,Q89+1,R89)</f>
        <v>* group[=].element[+].code = #Result.observation.method</v>
      </c>
    </row>
    <row r="90" spans="16:19" x14ac:dyDescent="0.75">
      <c r="P90" s="9">
        <v>74</v>
      </c>
      <c r="Q90" s="9">
        <f t="shared" ref="Q90:Q107" si="34">IF(MOD(P90,$Q$8)=0,P90/$Q$8-1,INT(P90/$Q$8))</f>
        <v>12</v>
      </c>
      <c r="R90" s="9">
        <f t="shared" ref="R90:R107" si="35">IF(MOD(P90,$Q$8)=0,$Q$8,MOD(P90,$Q$8))</f>
        <v>2</v>
      </c>
      <c r="S90" s="14" t="str" cm="1">
        <f t="array" ref="S90">INDEX('Results-ConceptMap-3'!$I$15:$N$124,Q90+1,R90)</f>
        <v>* group[=].element[=].display = ##34#A.5.2.4 Observation method##34#</v>
      </c>
    </row>
    <row r="91" spans="16:19" x14ac:dyDescent="0.75">
      <c r="P91" s="9">
        <v>75</v>
      </c>
      <c r="Q91" s="9">
        <f t="shared" si="34"/>
        <v>12</v>
      </c>
      <c r="R91" s="9">
        <f t="shared" si="35"/>
        <v>3</v>
      </c>
      <c r="S91" s="14" t="str" cm="1">
        <f t="array" ref="S91">INDEX('Results-ConceptMap-3'!$I$15:$N$124,Q91+1,R91)</f>
        <v>* group[=].element[=].target.code = #Observation.method</v>
      </c>
    </row>
    <row r="92" spans="16:19" x14ac:dyDescent="0.75">
      <c r="P92" s="9">
        <v>76</v>
      </c>
      <c r="Q92" s="9">
        <f t="shared" si="34"/>
        <v>12</v>
      </c>
      <c r="R92" s="9">
        <f t="shared" si="35"/>
        <v>4</v>
      </c>
      <c r="S92" s="14" t="str" cm="1">
        <f t="array" ref="S92">INDEX('Results-ConceptMap-3'!$I$15:$N$124,Q92+1,R92)</f>
        <v>* group[=].element[=].target.display = ##34###34#</v>
      </c>
    </row>
    <row r="93" spans="16:19" x14ac:dyDescent="0.75">
      <c r="P93" s="9">
        <v>77</v>
      </c>
      <c r="Q93" s="9">
        <f t="shared" si="34"/>
        <v>12</v>
      </c>
      <c r="R93" s="9">
        <f t="shared" si="35"/>
        <v>5</v>
      </c>
      <c r="S93" s="14" t="str" cm="1">
        <f t="array" ref="S93">INDEX('Results-ConceptMap-3'!$I$15:$N$124,Q93+1,R93)</f>
        <v>* group[=].element[=].target.equivalence = #equivalent</v>
      </c>
    </row>
    <row r="94" spans="16:19" x14ac:dyDescent="0.75">
      <c r="P94" s="9">
        <v>78</v>
      </c>
      <c r="Q94" s="9">
        <f t="shared" si="34"/>
        <v>12</v>
      </c>
      <c r="R94" s="9">
        <f t="shared" si="35"/>
        <v>6</v>
      </c>
      <c r="S94" s="14" t="str" cm="1">
        <f t="array" ref="S94">INDEX('Results-ConceptMap-3'!$I$15:$N$124,Q94+1,R94)</f>
        <v/>
      </c>
    </row>
    <row r="95" spans="16:19" x14ac:dyDescent="0.75">
      <c r="P95" s="9">
        <v>79</v>
      </c>
      <c r="Q95" s="9">
        <f t="shared" si="34"/>
        <v>13</v>
      </c>
      <c r="R95" s="9">
        <f t="shared" si="35"/>
        <v>1</v>
      </c>
      <c r="S95" s="14" t="str" cm="1">
        <f t="array" ref="S95">INDEX('Results-ConceptMap-3'!$I$15:$N$124,Q95+1,R95)</f>
        <v>* group[=].element[+].code = #Result.observation.device</v>
      </c>
    </row>
    <row r="96" spans="16:19" x14ac:dyDescent="0.75">
      <c r="P96" s="9">
        <v>80</v>
      </c>
      <c r="Q96" s="9">
        <f t="shared" si="34"/>
        <v>13</v>
      </c>
      <c r="R96" s="9">
        <f t="shared" si="35"/>
        <v>2</v>
      </c>
      <c r="S96" s="14" t="str" cm="1">
        <f t="array" ref="S96">INDEX('Results-ConceptMap-3'!$I$15:$N$124,Q96+1,R96)</f>
        <v>* group[=].element[=].display = ##34#A.5.2.5 Observation device##34#</v>
      </c>
    </row>
    <row r="97" spans="16:19" x14ac:dyDescent="0.75">
      <c r="P97" s="9">
        <v>81</v>
      </c>
      <c r="Q97" s="9">
        <f t="shared" si="34"/>
        <v>13</v>
      </c>
      <c r="R97" s="9">
        <f t="shared" si="35"/>
        <v>3</v>
      </c>
      <c r="S97" s="14" t="str" cm="1">
        <f t="array" ref="S97">INDEX('Results-ConceptMap-3'!$I$15:$N$124,Q97+1,R97)</f>
        <v>* group[=].element[=].target.code = #Observation.device</v>
      </c>
    </row>
    <row r="98" spans="16:19" x14ac:dyDescent="0.75">
      <c r="P98" s="9">
        <v>82</v>
      </c>
      <c r="Q98" s="9">
        <f t="shared" si="34"/>
        <v>13</v>
      </c>
      <c r="R98" s="9">
        <f t="shared" si="35"/>
        <v>4</v>
      </c>
      <c r="S98" s="14" t="str" cm="1">
        <f t="array" ref="S98">INDEX('Results-ConceptMap-3'!$I$15:$N$124,Q98+1,R98)</f>
        <v>* group[=].element[=].target.display = ##34###34#</v>
      </c>
    </row>
    <row r="99" spans="16:19" x14ac:dyDescent="0.75">
      <c r="P99" s="9">
        <v>83</v>
      </c>
      <c r="Q99" s="9">
        <f t="shared" si="34"/>
        <v>13</v>
      </c>
      <c r="R99" s="9">
        <f t="shared" si="35"/>
        <v>5</v>
      </c>
      <c r="S99" s="14" t="str" cm="1">
        <f t="array" ref="S99">INDEX('Results-ConceptMap-3'!$I$15:$N$124,Q99+1,R99)</f>
        <v>* group[=].element[=].target.equivalence = #relatedto</v>
      </c>
    </row>
    <row r="100" spans="16:19" x14ac:dyDescent="0.75">
      <c r="P100" s="9">
        <v>84</v>
      </c>
      <c r="Q100" s="9">
        <f t="shared" si="34"/>
        <v>13</v>
      </c>
      <c r="R100" s="9">
        <f t="shared" si="35"/>
        <v>6</v>
      </c>
      <c r="S100" s="14" t="str" cm="1">
        <f t="array" ref="S100">INDEX('Results-ConceptMap-3'!$I$15:$N$124,Q100+1,R100)</f>
        <v>* group[=].element[=].target.comment = ##34#if the measuring device##34#</v>
      </c>
    </row>
    <row r="101" spans="16:19" x14ac:dyDescent="0.75">
      <c r="P101" s="9">
        <v>85</v>
      </c>
      <c r="Q101" s="9">
        <f t="shared" si="34"/>
        <v>14</v>
      </c>
      <c r="R101" s="9">
        <f t="shared" si="35"/>
        <v>1</v>
      </c>
      <c r="S101" s="14" t="str" cm="1">
        <f t="array" ref="S101">INDEX('Results-ConceptMap-3'!$I$15:$N$124,Q101+1,R101)</f>
        <v>* group[=].element[+].code = #Result.observation.order</v>
      </c>
    </row>
    <row r="102" spans="16:19" x14ac:dyDescent="0.75">
      <c r="P102" s="9">
        <v>86</v>
      </c>
      <c r="Q102" s="9">
        <f t="shared" si="34"/>
        <v>14</v>
      </c>
      <c r="R102" s="9">
        <f t="shared" si="35"/>
        <v>2</v>
      </c>
      <c r="S102" s="14" t="str" cm="1">
        <f t="array" ref="S102">INDEX('Results-ConceptMap-3'!$I$15:$N$124,Q102+1,R102)</f>
        <v>* group[=].element[=].display = ##34#A.5.2.8 Order##34#</v>
      </c>
    </row>
    <row r="103" spans="16:19" x14ac:dyDescent="0.75">
      <c r="P103" s="9">
        <v>87</v>
      </c>
      <c r="Q103" s="9">
        <f t="shared" si="34"/>
        <v>14</v>
      </c>
      <c r="R103" s="9">
        <f t="shared" si="35"/>
        <v>3</v>
      </c>
      <c r="S103" s="14" t="str" cm="1">
        <f t="array" ref="S103">INDEX('Results-ConceptMap-3'!$I$15:$N$124,Q103+1,R103)</f>
        <v>* group[=].element[=].target.code = #Observation.basedOn</v>
      </c>
    </row>
    <row r="104" spans="16:19" x14ac:dyDescent="0.75">
      <c r="P104" s="9">
        <v>88</v>
      </c>
      <c r="Q104" s="9">
        <f t="shared" si="34"/>
        <v>14</v>
      </c>
      <c r="R104" s="9">
        <f t="shared" si="35"/>
        <v>4</v>
      </c>
      <c r="S104" s="14" t="str" cm="1">
        <f t="array" ref="S104">INDEX('Results-ConceptMap-3'!$I$15:$N$124,Q104+1,R104)</f>
        <v>* group[=].element[=].target.display = ##34###34#</v>
      </c>
    </row>
    <row r="105" spans="16:19" x14ac:dyDescent="0.75">
      <c r="P105" s="9">
        <v>89</v>
      </c>
      <c r="Q105" s="9">
        <f t="shared" si="34"/>
        <v>14</v>
      </c>
      <c r="R105" s="9">
        <f t="shared" si="35"/>
        <v>5</v>
      </c>
      <c r="S105" s="14" t="str" cm="1">
        <f t="array" ref="S105">INDEX('Results-ConceptMap-3'!$I$15:$N$124,Q105+1,R105)</f>
        <v>* group[=].element[=].target.equivalence = #equivalent</v>
      </c>
    </row>
    <row r="106" spans="16:19" x14ac:dyDescent="0.75">
      <c r="P106" s="9">
        <v>90</v>
      </c>
      <c r="Q106" s="9">
        <f t="shared" si="34"/>
        <v>14</v>
      </c>
      <c r="R106" s="9">
        <f t="shared" si="35"/>
        <v>6</v>
      </c>
      <c r="S106" s="14" t="str" cm="1">
        <f t="array" ref="S106">INDEX('Results-ConceptMap-3'!$I$15:$N$124,Q106+1,R106)</f>
        <v/>
      </c>
    </row>
    <row r="107" spans="16:19" x14ac:dyDescent="0.75">
      <c r="P107" s="9">
        <v>91</v>
      </c>
      <c r="Q107" s="9">
        <f t="shared" si="34"/>
        <v>15</v>
      </c>
      <c r="R107" s="9">
        <f t="shared" si="35"/>
        <v>1</v>
      </c>
      <c r="S107" s="14" t="str" cm="1">
        <f t="array" ref="S107">INDEX('Results-ConceptMap-3'!$I$15:$N$124,Q107+1,R107)</f>
        <v>* group[=].element[+].code = #Result.observation.performer</v>
      </c>
    </row>
    <row r="108" spans="16:19" x14ac:dyDescent="0.75">
      <c r="P108" s="9">
        <v>92</v>
      </c>
      <c r="Q108" s="9">
        <f>IF(MOD(P108,$Q$8)=0,P108/$Q$8-1,INT(P108/$Q$8))</f>
        <v>15</v>
      </c>
      <c r="R108" s="9">
        <f>IF(MOD(P108,$Q$8)=0,$Q$8,MOD(P108,$Q$8))</f>
        <v>2</v>
      </c>
      <c r="S108" s="14" t="str" cm="1">
        <f t="array" ref="S108">INDEX('Results-ConceptMap-3'!$I$15:$N$124,Q108+1,R108)</f>
        <v>* group[=].element[=].display = ##34#A.5.2.9 Performer##34#</v>
      </c>
    </row>
    <row r="109" spans="16:19" x14ac:dyDescent="0.75">
      <c r="P109" s="9">
        <v>93</v>
      </c>
      <c r="Q109" s="9">
        <f t="shared" ref="Q109:Q122" si="36">IF(MOD(P109,$Q$8)=0,P109/$Q$8-1,INT(P109/$Q$8))</f>
        <v>15</v>
      </c>
      <c r="R109" s="9">
        <f t="shared" ref="R109:R122" si="37">IF(MOD(P109,$Q$8)=0,$Q$8,MOD(P109,$Q$8))</f>
        <v>3</v>
      </c>
      <c r="S109" s="14" t="str" cm="1">
        <f t="array" ref="S109">INDEX('Results-ConceptMap-3'!$I$15:$N$124,Q109+1,R109)</f>
        <v>* group[=].element[=].target.code = #Observation.performer</v>
      </c>
    </row>
    <row r="110" spans="16:19" x14ac:dyDescent="0.75">
      <c r="P110" s="9">
        <v>94</v>
      </c>
      <c r="Q110" s="9">
        <f t="shared" si="36"/>
        <v>15</v>
      </c>
      <c r="R110" s="9">
        <f t="shared" si="37"/>
        <v>4</v>
      </c>
      <c r="S110" s="14" t="str" cm="1">
        <f t="array" ref="S110">INDEX('Results-ConceptMap-3'!$I$15:$N$124,Q110+1,R110)</f>
        <v>* group[=].element[=].target.display = ##34###34#</v>
      </c>
    </row>
    <row r="111" spans="16:19" x14ac:dyDescent="0.75">
      <c r="P111" s="9">
        <v>95</v>
      </c>
      <c r="Q111" s="9">
        <f t="shared" si="36"/>
        <v>15</v>
      </c>
      <c r="R111" s="9">
        <f t="shared" si="37"/>
        <v>5</v>
      </c>
      <c r="S111" s="14" t="str" cm="1">
        <f t="array" ref="S111">INDEX('Results-ConceptMap-3'!$I$15:$N$124,Q111+1,R111)</f>
        <v>* group[=].element[=].target.equivalence = #equivalent</v>
      </c>
    </row>
    <row r="112" spans="16:19" x14ac:dyDescent="0.75">
      <c r="P112" s="9">
        <v>96</v>
      </c>
      <c r="Q112" s="9">
        <f t="shared" si="36"/>
        <v>15</v>
      </c>
      <c r="R112" s="9">
        <f t="shared" si="37"/>
        <v>6</v>
      </c>
      <c r="S112" s="14" t="str" cm="1">
        <f t="array" ref="S112">INDEX('Results-ConceptMap-3'!$I$15:$N$124,Q112+1,R112)</f>
        <v/>
      </c>
    </row>
    <row r="113" spans="16:19" x14ac:dyDescent="0.75">
      <c r="P113" s="9">
        <v>97</v>
      </c>
      <c r="Q113" s="9">
        <f t="shared" si="36"/>
        <v>16</v>
      </c>
      <c r="R113" s="9">
        <f t="shared" si="37"/>
        <v>1</v>
      </c>
      <c r="S113" s="14" t="str" cm="1">
        <f t="array" ref="S113">INDEX('Results-ConceptMap-3'!$I$15:$N$124,Q113+1,R113)</f>
        <v>* group[=].element[+].code = #Result.observation.reporter</v>
      </c>
    </row>
    <row r="114" spans="16:19" x14ac:dyDescent="0.75">
      <c r="P114" s="9">
        <v>98</v>
      </c>
      <c r="Q114" s="9">
        <f t="shared" si="36"/>
        <v>16</v>
      </c>
      <c r="R114" s="9">
        <f t="shared" si="37"/>
        <v>2</v>
      </c>
      <c r="S114" s="14" t="str" cm="1">
        <f t="array" ref="S114">INDEX('Results-ConceptMap-3'!$I$15:$N$124,Q114+1,R114)</f>
        <v>* group[=].element[=].display = ##34#A.5.2.10 Reporter##34#</v>
      </c>
    </row>
    <row r="115" spans="16:19" x14ac:dyDescent="0.75">
      <c r="P115" s="9">
        <v>99</v>
      </c>
      <c r="Q115" s="9">
        <f t="shared" si="36"/>
        <v>16</v>
      </c>
      <c r="R115" s="9">
        <f t="shared" si="37"/>
        <v>3</v>
      </c>
      <c r="S115" s="14" t="str" cm="1">
        <f t="array" ref="S115">INDEX('Results-ConceptMap-3'!$I$15:$N$124,Q115+1,R115)</f>
        <v>* group[=].element[=].target.code = #Observation.performer</v>
      </c>
    </row>
    <row r="116" spans="16:19" x14ac:dyDescent="0.75">
      <c r="P116" s="9">
        <v>100</v>
      </c>
      <c r="Q116" s="9">
        <f t="shared" si="36"/>
        <v>16</v>
      </c>
      <c r="R116" s="9">
        <f t="shared" si="37"/>
        <v>4</v>
      </c>
      <c r="S116" s="14" t="str" cm="1">
        <f t="array" ref="S116">INDEX('Results-ConceptMap-3'!$I$15:$N$124,Q116+1,R116)</f>
        <v>* group[=].element[=].target.display = ##34###34#</v>
      </c>
    </row>
    <row r="117" spans="16:19" x14ac:dyDescent="0.75">
      <c r="P117" s="9">
        <v>101</v>
      </c>
      <c r="Q117" s="9">
        <f t="shared" si="36"/>
        <v>16</v>
      </c>
      <c r="R117" s="9">
        <f t="shared" si="37"/>
        <v>5</v>
      </c>
      <c r="S117" s="14" t="str" cm="1">
        <f t="array" ref="S117">INDEX('Results-ConceptMap-3'!$I$15:$N$124,Q117+1,R117)</f>
        <v>* group[=].element[=].target.equivalence = #relatedto</v>
      </c>
    </row>
    <row r="118" spans="16:19" ht="59" x14ac:dyDescent="0.75">
      <c r="P118" s="9">
        <v>102</v>
      </c>
      <c r="Q118" s="9">
        <f t="shared" si="36"/>
        <v>16</v>
      </c>
      <c r="R118" s="9">
        <f t="shared" si="37"/>
        <v>6</v>
      </c>
      <c r="S118" s="14" t="str" cm="1">
        <f t="array" ref="S118">INDEX('Results-ConceptMap-3'!$I$15:$N$124,Q118+1,R118)</f>
        <v>* group[=].element[=].target.comment = ##34#For interpreter: performer.extension:performerFunction = AUT (author)
If the person responsible for validation:  performer.extension:performerFunction = AUTHEN or LA##34#</v>
      </c>
    </row>
    <row r="119" spans="16:19" x14ac:dyDescent="0.75">
      <c r="P119" s="9">
        <v>103</v>
      </c>
      <c r="Q119" s="9">
        <f t="shared" si="36"/>
        <v>17</v>
      </c>
      <c r="R119" s="9">
        <f t="shared" si="37"/>
        <v>1</v>
      </c>
      <c r="S119" s="14" t="str" cm="1">
        <f t="array" ref="S119">INDEX('Results-ConceptMap-3'!$I$15:$N$124,Q119+1,R119)</f>
        <v>* group[=].element[+].code = #Result.observation.result</v>
      </c>
    </row>
    <row r="120" spans="16:19" x14ac:dyDescent="0.75">
      <c r="P120" s="9">
        <v>104</v>
      </c>
      <c r="Q120" s="9">
        <f t="shared" si="36"/>
        <v>17</v>
      </c>
      <c r="R120" s="9">
        <f t="shared" si="37"/>
        <v>2</v>
      </c>
      <c r="S120" s="14" t="str" cm="1">
        <f t="array" ref="S120">INDEX('Results-ConceptMap-3'!$I$15:$N$124,Q120+1,R120)</f>
        <v>* group[=].element[=].display = ##34#A.5.2.11 Observation result##34#</v>
      </c>
    </row>
    <row r="121" spans="16:19" x14ac:dyDescent="0.75">
      <c r="P121" s="9">
        <v>105</v>
      </c>
      <c r="Q121" s="9">
        <f t="shared" si="36"/>
        <v>17</v>
      </c>
      <c r="R121" s="9">
        <f t="shared" si="37"/>
        <v>3</v>
      </c>
      <c r="S121" s="14" t="str" cm="1">
        <f t="array" ref="S121">INDEX('Results-ConceptMap-3'!$I$15:$N$124,Q121+1,R121)</f>
        <v>* group[=].element[=].target.code = #Observation.value[x]</v>
      </c>
    </row>
    <row r="122" spans="16:19" x14ac:dyDescent="0.75">
      <c r="P122" s="9">
        <v>106</v>
      </c>
      <c r="Q122" s="9">
        <f t="shared" si="36"/>
        <v>17</v>
      </c>
      <c r="R122" s="9">
        <f t="shared" si="37"/>
        <v>4</v>
      </c>
      <c r="S122" s="14" t="str" cm="1">
        <f t="array" ref="S122">INDEX('Results-ConceptMap-3'!$I$15:$N$124,Q122+1,R122)</f>
        <v>* group[=].element[=].target.display = ##34###34#</v>
      </c>
    </row>
    <row r="123" spans="16:19" x14ac:dyDescent="0.75">
      <c r="P123" s="9">
        <v>107</v>
      </c>
      <c r="Q123" s="9">
        <f>IF(MOD(P123,$Q$8)=0,P123/$Q$8-1,INT(P123/$Q$8))</f>
        <v>17</v>
      </c>
      <c r="R123" s="9">
        <f>IF(MOD(P123,$Q$8)=0,$Q$8,MOD(P123,$Q$8))</f>
        <v>5</v>
      </c>
      <c r="S123" s="14" t="str" cm="1">
        <f t="array" ref="S123">INDEX('Results-ConceptMap-3'!$I$15:$N$124,Q123+1,R123)</f>
        <v>* group[=].element[=].target.equivalence = #equivalent</v>
      </c>
    </row>
    <row r="124" spans="16:19" x14ac:dyDescent="0.75">
      <c r="P124" s="9">
        <v>108</v>
      </c>
      <c r="Q124" s="9">
        <f t="shared" ref="Q124:Q138" si="38">IF(MOD(P124,$Q$8)=0,P124/$Q$8-1,INT(P124/$Q$8))</f>
        <v>17</v>
      </c>
      <c r="R124" s="9">
        <f t="shared" ref="R124:R138" si="39">IF(MOD(P124,$Q$8)=0,$Q$8,MOD(P124,$Q$8))</f>
        <v>6</v>
      </c>
      <c r="S124" s="14" t="str" cm="1">
        <f t="array" ref="S124">INDEX('Results-ConceptMap-3'!$I$15:$N$124,Q124+1,R124)</f>
        <v>* group[=].element[=].target.comment = ##34#depends on the type of test##34#</v>
      </c>
    </row>
    <row r="125" spans="16:19" x14ac:dyDescent="0.75">
      <c r="P125" s="9">
        <v>109</v>
      </c>
      <c r="Q125" s="9">
        <f t="shared" si="38"/>
        <v>18</v>
      </c>
      <c r="R125" s="9">
        <f t="shared" si="39"/>
        <v>1</v>
      </c>
      <c r="S125" s="14" t="str" cm="1">
        <f t="array" ref="S125">INDEX('Results-ConceptMap-3'!$I$15:$N$124,Q125+1,R125)</f>
        <v>* group[=].element[+].code = #Result.observation.result</v>
      </c>
    </row>
    <row r="126" spans="16:19" x14ac:dyDescent="0.75">
      <c r="P126" s="9">
        <v>110</v>
      </c>
      <c r="Q126" s="9">
        <f t="shared" si="38"/>
        <v>18</v>
      </c>
      <c r="R126" s="9">
        <f t="shared" si="39"/>
        <v>2</v>
      </c>
      <c r="S126" s="14" t="str" cm="1">
        <f t="array" ref="S126">INDEX('Results-ConceptMap-3'!$I$15:$N$124,Q126+1,R126)</f>
        <v>* group[=].element[=].display = ##34#A.5.2.11 Observation result##34#</v>
      </c>
    </row>
    <row r="127" spans="16:19" x14ac:dyDescent="0.75">
      <c r="P127" s="9">
        <v>111</v>
      </c>
      <c r="Q127" s="9">
        <f t="shared" si="38"/>
        <v>18</v>
      </c>
      <c r="R127" s="9">
        <f t="shared" si="39"/>
        <v>3</v>
      </c>
      <c r="S127" s="14" t="str" cm="1">
        <f t="array" ref="S127">INDEX('Results-ConceptMap-3'!$I$15:$N$124,Q127+1,R127)</f>
        <v>* group[=].element[=].target.code = #Observation.component.value[x]</v>
      </c>
    </row>
    <row r="128" spans="16:19" x14ac:dyDescent="0.75">
      <c r="P128" s="9">
        <v>112</v>
      </c>
      <c r="Q128" s="9">
        <f t="shared" si="38"/>
        <v>18</v>
      </c>
      <c r="R128" s="9">
        <f t="shared" si="39"/>
        <v>4</v>
      </c>
      <c r="S128" s="14" t="str" cm="1">
        <f t="array" ref="S128">INDEX('Results-ConceptMap-3'!$I$15:$N$124,Q128+1,R128)</f>
        <v>* group[=].element[=].target.display = ##34###34#</v>
      </c>
    </row>
    <row r="129" spans="16:19" x14ac:dyDescent="0.75">
      <c r="P129" s="9">
        <v>113</v>
      </c>
      <c r="Q129" s="9">
        <f t="shared" si="38"/>
        <v>18</v>
      </c>
      <c r="R129" s="9">
        <f t="shared" si="39"/>
        <v>5</v>
      </c>
      <c r="S129" s="14" t="str" cm="1">
        <f t="array" ref="S129">INDEX('Results-ConceptMap-3'!$I$15:$N$124,Q129+1,R129)</f>
        <v>* group[=].element[=].target.equivalence = #equivalent</v>
      </c>
    </row>
    <row r="130" spans="16:19" x14ac:dyDescent="0.75">
      <c r="P130" s="9">
        <v>114</v>
      </c>
      <c r="Q130" s="9">
        <f t="shared" si="38"/>
        <v>18</v>
      </c>
      <c r="R130" s="9">
        <f t="shared" si="39"/>
        <v>6</v>
      </c>
      <c r="S130" s="14" t="str" cm="1">
        <f t="array" ref="S130">INDEX('Results-ConceptMap-3'!$I$15:$N$124,Q130+1,R130)</f>
        <v>* group[=].element[=].target.comment = ##34#depends on the type of test##34#</v>
      </c>
    </row>
    <row r="131" spans="16:19" x14ac:dyDescent="0.75">
      <c r="P131" s="9">
        <v>115</v>
      </c>
      <c r="Q131" s="9">
        <f t="shared" si="38"/>
        <v>19</v>
      </c>
      <c r="R131" s="9">
        <f t="shared" si="39"/>
        <v>1</v>
      </c>
      <c r="S131" s="14" t="str" cm="1">
        <f t="array" ref="S131">INDEX('Results-ConceptMap-3'!$I$15:$N$124,Q131+1,R131)</f>
        <v>* group[=].element[+].code = #Result.observation.interpretation</v>
      </c>
    </row>
    <row r="132" spans="16:19" x14ac:dyDescent="0.75">
      <c r="P132" s="9">
        <v>116</v>
      </c>
      <c r="Q132" s="9">
        <f t="shared" si="38"/>
        <v>19</v>
      </c>
      <c r="R132" s="9">
        <f t="shared" si="39"/>
        <v>2</v>
      </c>
      <c r="S132" s="14" t="str" cm="1">
        <f t="array" ref="S132">INDEX('Results-ConceptMap-3'!$I$15:$N$124,Q132+1,R132)</f>
        <v>* group[=].element[=].display = ##34#A.5.2.12 Observation interpretation##34#</v>
      </c>
    </row>
    <row r="133" spans="16:19" x14ac:dyDescent="0.75">
      <c r="P133" s="9">
        <v>117</v>
      </c>
      <c r="Q133" s="9">
        <f t="shared" si="38"/>
        <v>19</v>
      </c>
      <c r="R133" s="9">
        <f t="shared" si="39"/>
        <v>3</v>
      </c>
      <c r="S133" s="14" t="str" cm="1">
        <f t="array" ref="S133">INDEX('Results-ConceptMap-3'!$I$15:$N$124,Q133+1,R133)</f>
        <v>* group[=].element[=].target.code = #Observation.interpretation</v>
      </c>
    </row>
    <row r="134" spans="16:19" x14ac:dyDescent="0.75">
      <c r="P134" s="9">
        <v>118</v>
      </c>
      <c r="Q134" s="9">
        <f t="shared" si="38"/>
        <v>19</v>
      </c>
      <c r="R134" s="9">
        <f t="shared" si="39"/>
        <v>4</v>
      </c>
      <c r="S134" s="14" t="str" cm="1">
        <f t="array" ref="S134">INDEX('Results-ConceptMap-3'!$I$15:$N$124,Q134+1,R134)</f>
        <v>* group[=].element[=].target.display = ##34###34#</v>
      </c>
    </row>
    <row r="135" spans="16:19" x14ac:dyDescent="0.75">
      <c r="P135" s="9">
        <v>119</v>
      </c>
      <c r="Q135" s="9">
        <f t="shared" si="38"/>
        <v>19</v>
      </c>
      <c r="R135" s="9">
        <f t="shared" si="39"/>
        <v>5</v>
      </c>
      <c r="S135" s="14" t="str" cm="1">
        <f t="array" ref="S135">INDEX('Results-ConceptMap-3'!$I$15:$N$124,Q135+1,R135)</f>
        <v>* group[=].element[=].target.equivalence = #equivalent</v>
      </c>
    </row>
    <row r="136" spans="16:19" x14ac:dyDescent="0.75">
      <c r="P136" s="9">
        <v>120</v>
      </c>
      <c r="Q136" s="9">
        <f t="shared" si="38"/>
        <v>19</v>
      </c>
      <c r="R136" s="9">
        <f t="shared" si="39"/>
        <v>6</v>
      </c>
      <c r="S136" s="14" t="str" cm="1">
        <f t="array" ref="S136">INDEX('Results-ConceptMap-3'!$I$15:$N$124,Q136+1,R136)</f>
        <v>* group[=].element[=].target.comment = ##34#depends on the type of test##34#</v>
      </c>
    </row>
    <row r="137" spans="16:19" x14ac:dyDescent="0.75">
      <c r="P137" s="9">
        <v>121</v>
      </c>
      <c r="Q137" s="9">
        <f t="shared" si="38"/>
        <v>20</v>
      </c>
      <c r="R137" s="9">
        <f t="shared" si="39"/>
        <v>1</v>
      </c>
      <c r="S137" s="14" t="str" cm="1">
        <f t="array" ref="S137">INDEX('Results-ConceptMap-3'!$I$15:$N$124,Q137+1,R137)</f>
        <v>* group[=].element[+].code = #Result.observation.interpretation</v>
      </c>
    </row>
    <row r="138" spans="16:19" x14ac:dyDescent="0.75">
      <c r="P138" s="9">
        <v>122</v>
      </c>
      <c r="Q138" s="9">
        <f t="shared" si="38"/>
        <v>20</v>
      </c>
      <c r="R138" s="9">
        <f t="shared" si="39"/>
        <v>2</v>
      </c>
      <c r="S138" s="14" t="str" cm="1">
        <f t="array" ref="S138">INDEX('Results-ConceptMap-3'!$I$15:$N$124,Q138+1,R138)</f>
        <v>* group[=].element[=].display = ##34#A.5.2.12 Observation interpretation##34#</v>
      </c>
    </row>
    <row r="139" spans="16:19" x14ac:dyDescent="0.75">
      <c r="P139" s="9">
        <v>123</v>
      </c>
      <c r="Q139" s="9">
        <f>IF(MOD(P139,$Q$8)=0,P139/$Q$8-1,INT(P139/$Q$8))</f>
        <v>20</v>
      </c>
      <c r="R139" s="9">
        <f>IF(MOD(P139,$Q$8)=0,$Q$8,MOD(P139,$Q$8))</f>
        <v>3</v>
      </c>
      <c r="S139" s="14" t="str" cm="1">
        <f t="array" ref="S139">INDEX('Results-ConceptMap-3'!$I$15:$N$124,Q139+1,R139)</f>
        <v>* group[=].element[=].target.code = #Observation.component.interpretation</v>
      </c>
    </row>
    <row r="140" spans="16:19" x14ac:dyDescent="0.75">
      <c r="P140" s="9">
        <v>124</v>
      </c>
      <c r="Q140" s="9">
        <f t="shared" ref="Q140:Q144" si="40">IF(MOD(P140,$Q$8)=0,P140/$Q$8-1,INT(P140/$Q$8))</f>
        <v>20</v>
      </c>
      <c r="R140" s="9">
        <f t="shared" ref="R140:R144" si="41">IF(MOD(P140,$Q$8)=0,$Q$8,MOD(P140,$Q$8))</f>
        <v>4</v>
      </c>
      <c r="S140" s="14" t="str" cm="1">
        <f t="array" ref="S140">INDEX('Results-ConceptMap-3'!$I$15:$N$124,Q140+1,R140)</f>
        <v>* group[=].element[=].target.display = ##34###34#</v>
      </c>
    </row>
    <row r="141" spans="16:19" x14ac:dyDescent="0.75">
      <c r="P141" s="9">
        <v>125</v>
      </c>
      <c r="Q141" s="9">
        <f t="shared" si="40"/>
        <v>20</v>
      </c>
      <c r="R141" s="9">
        <f t="shared" si="41"/>
        <v>5</v>
      </c>
      <c r="S141" s="14" t="str" cm="1">
        <f t="array" ref="S141">INDEX('Results-ConceptMap-3'!$I$15:$N$124,Q141+1,R141)</f>
        <v>* group[=].element[=].target.equivalence = #equivalent</v>
      </c>
    </row>
    <row r="142" spans="16:19" x14ac:dyDescent="0.75">
      <c r="P142" s="9">
        <v>126</v>
      </c>
      <c r="Q142" s="9">
        <f t="shared" si="40"/>
        <v>20</v>
      </c>
      <c r="R142" s="9">
        <f t="shared" si="41"/>
        <v>6</v>
      </c>
      <c r="S142" s="14" t="str" cm="1">
        <f t="array" ref="S142">INDEX('Results-ConceptMap-3'!$I$15:$N$124,Q142+1,R142)</f>
        <v>* group[=].element[=].target.comment = ##34#depends on the type of test##34#</v>
      </c>
    </row>
    <row r="143" spans="16:19" x14ac:dyDescent="0.75">
      <c r="P143" s="9">
        <v>127</v>
      </c>
      <c r="Q143" s="9">
        <f t="shared" si="40"/>
        <v>21</v>
      </c>
      <c r="R143" s="9">
        <f t="shared" si="41"/>
        <v>1</v>
      </c>
      <c r="S143" s="14" t="str" cm="1">
        <f t="array" ref="S143">INDEX('Results-ConceptMap-3'!$I$15:$N$124,Q143+1,R143)</f>
        <v>* group[=].element[+].code = #Result.observation.description</v>
      </c>
    </row>
    <row r="144" spans="16:19" x14ac:dyDescent="0.75">
      <c r="P144" s="9">
        <v>128</v>
      </c>
      <c r="Q144" s="9">
        <f t="shared" si="40"/>
        <v>21</v>
      </c>
      <c r="R144" s="9">
        <f t="shared" si="41"/>
        <v>2</v>
      </c>
      <c r="S144" s="14" t="str" cm="1">
        <f t="array" ref="S144">INDEX('Results-ConceptMap-3'!$I$15:$N$124,Q144+1,R144)</f>
        <v>* group[=].element[=].display = ##34#A.5.2.13 Result description##34#</v>
      </c>
    </row>
    <row r="145" spans="16:19" x14ac:dyDescent="0.75">
      <c r="P145" s="9">
        <v>129</v>
      </c>
      <c r="Q145" s="9">
        <f>IF(MOD(P145,$Q$8)=0,P145/$Q$8-1,INT(P145/$Q$8))</f>
        <v>21</v>
      </c>
      <c r="R145" s="9">
        <f>IF(MOD(P145,$Q$8)=0,$Q$8,MOD(P145,$Q$8))</f>
        <v>3</v>
      </c>
      <c r="S145" s="14" t="str" cm="1">
        <f t="array" ref="S145">INDEX('Results-ConceptMap-3'!$I$15:$N$124,Q145+1,R145)</f>
        <v>* group[=].element[=].target.code = #Observation.text</v>
      </c>
    </row>
    <row r="146" spans="16:19" x14ac:dyDescent="0.75">
      <c r="P146" s="9">
        <v>130</v>
      </c>
      <c r="Q146" s="9">
        <f t="shared" ref="Q146:Q155" si="42">IF(MOD(P146,$Q$8)=0,P146/$Q$8-1,INT(P146/$Q$8))</f>
        <v>21</v>
      </c>
      <c r="R146" s="9">
        <f t="shared" ref="R146:R155" si="43">IF(MOD(P146,$Q$8)=0,$Q$8,MOD(P146,$Q$8))</f>
        <v>4</v>
      </c>
      <c r="S146" s="14" t="str" cm="1">
        <f t="array" ref="S146">INDEX('Results-ConceptMap-3'!$I$15:$N$124,Q146+1,R146)</f>
        <v>* group[=].element[=].target.display = ##34###34#</v>
      </c>
    </row>
    <row r="147" spans="16:19" x14ac:dyDescent="0.75">
      <c r="P147" s="9">
        <v>131</v>
      </c>
      <c r="Q147" s="9">
        <f t="shared" si="42"/>
        <v>21</v>
      </c>
      <c r="R147" s="9">
        <f t="shared" si="43"/>
        <v>5</v>
      </c>
      <c r="S147" s="14" t="str" cm="1">
        <f t="array" ref="S147">INDEX('Results-ConceptMap-3'!$I$15:$N$124,Q147+1,R147)</f>
        <v>* group[=].element[=].target.equivalence = #relatedto</v>
      </c>
    </row>
    <row r="148" spans="16:19" x14ac:dyDescent="0.75">
      <c r="P148" s="9">
        <v>132</v>
      </c>
      <c r="Q148" s="9">
        <f t="shared" si="42"/>
        <v>21</v>
      </c>
      <c r="R148" s="9">
        <f t="shared" si="43"/>
        <v>6</v>
      </c>
      <c r="S148" s="14" t="str" cm="1">
        <f t="array" ref="S148">INDEX('Results-ConceptMap-3'!$I$15:$N$124,Q148+1,R148)</f>
        <v>* group[=].element[=].target.comment = ##34#to be checked##34#</v>
      </c>
    </row>
    <row r="149" spans="16:19" x14ac:dyDescent="0.75">
      <c r="P149" s="9">
        <v>133</v>
      </c>
      <c r="Q149" s="9">
        <f t="shared" si="42"/>
        <v>22</v>
      </c>
      <c r="R149" s="9">
        <f t="shared" si="43"/>
        <v>1</v>
      </c>
      <c r="S149" s="14" t="str" cm="1">
        <f t="array" ref="S149">INDEX('Results-ConceptMap-3'!$I$15:$N$124,Q149+1,R149)</f>
        <v>* group[=].element[+].code = #Result.observation.accreditationStatus</v>
      </c>
    </row>
    <row r="150" spans="16:19" x14ac:dyDescent="0.75">
      <c r="P150" s="9">
        <v>134</v>
      </c>
      <c r="Q150" s="9">
        <f t="shared" si="42"/>
        <v>22</v>
      </c>
      <c r="R150" s="9">
        <f t="shared" si="43"/>
        <v>2</v>
      </c>
      <c r="S150" s="14" t="str" cm="1">
        <f t="array" ref="S150">INDEX('Results-ConceptMap-3'!$I$15:$N$124,Q150+1,R150)</f>
        <v>* group[=].element[=].display = ##34#A.5.2.14 Accreditation status##34#</v>
      </c>
    </row>
    <row r="151" spans="16:19" x14ac:dyDescent="0.75">
      <c r="P151" s="9">
        <v>135</v>
      </c>
      <c r="Q151" s="9">
        <f t="shared" si="42"/>
        <v>22</v>
      </c>
      <c r="R151" s="9">
        <f t="shared" si="43"/>
        <v>3</v>
      </c>
      <c r="S151" s="14" t="str" cm="1">
        <f t="array" ref="S151">INDEX('Results-ConceptMap-3'!$I$15:$N$124,Q151+1,R151)</f>
        <v>* group[=].element[=].target.code = #Observation.performer.qualification</v>
      </c>
    </row>
    <row r="152" spans="16:19" x14ac:dyDescent="0.75">
      <c r="P152" s="9">
        <v>136</v>
      </c>
      <c r="Q152" s="9">
        <f t="shared" si="42"/>
        <v>22</v>
      </c>
      <c r="R152" s="9">
        <f t="shared" si="43"/>
        <v>4</v>
      </c>
      <c r="S152" s="14" t="str" cm="1">
        <f t="array" ref="S152">INDEX('Results-ConceptMap-3'!$I$15:$N$124,Q152+1,R152)</f>
        <v>* group[=].element[=].target.display = ##34###34#</v>
      </c>
    </row>
    <row r="153" spans="16:19" x14ac:dyDescent="0.75">
      <c r="P153" s="9">
        <v>137</v>
      </c>
      <c r="Q153" s="9">
        <f t="shared" si="42"/>
        <v>22</v>
      </c>
      <c r="R153" s="9">
        <f t="shared" si="43"/>
        <v>5</v>
      </c>
      <c r="S153" s="14" t="str" cm="1">
        <f t="array" ref="S153">INDEX('Results-ConceptMap-3'!$I$15:$N$124,Q153+1,R153)</f>
        <v>* group[=].element[=].target.equivalence = #relatedto</v>
      </c>
    </row>
    <row r="154" spans="16:19" ht="29.5" x14ac:dyDescent="0.75">
      <c r="P154" s="9">
        <v>138</v>
      </c>
      <c r="Q154" s="9">
        <f t="shared" si="42"/>
        <v>22</v>
      </c>
      <c r="R154" s="9">
        <f t="shared" si="43"/>
        <v>6</v>
      </c>
      <c r="S154" s="14" t="str" cm="1">
        <f t="array" ref="S154">INDEX('Results-ConceptMap-3'!$I$15:$N$124,Q154+1,R154)</f>
        <v>* group[=].element[=].target.comment = ##34#performer ofType PractictionerRole##34#</v>
      </c>
    </row>
    <row r="155" spans="16:19" x14ac:dyDescent="0.75">
      <c r="P155" s="9">
        <v>139</v>
      </c>
      <c r="Q155" s="9">
        <f t="shared" si="42"/>
        <v>23</v>
      </c>
      <c r="R155" s="9">
        <f t="shared" si="43"/>
        <v>1</v>
      </c>
      <c r="S155" s="14" t="str" cm="1">
        <f t="array" ref="S155">INDEX('Results-ConceptMap-3'!$I$15:$N$124,Q155+1,R155)</f>
        <v>* group[=].element[+].code = #Result.observation.accreditationStatus</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23"/>
  <sheetViews>
    <sheetView topLeftCell="B1" workbookViewId="0">
      <selection activeCell="B147" sqref="B147:B16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819</v>
      </c>
    </row>
    <row r="3" spans="2:7" x14ac:dyDescent="0.75">
      <c r="B3" s="33" t="s">
        <v>37</v>
      </c>
    </row>
    <row r="4" spans="2:7" x14ac:dyDescent="0.75">
      <c r="B4" s="77" t="str">
        <f>"Instance: "&amp;'Results-ConceptMap-1'!C4</f>
        <v>Instance: result2FHIR-eu-lab</v>
      </c>
    </row>
    <row r="5" spans="2:7" x14ac:dyDescent="0.75">
      <c r="B5" s="77" t="s">
        <v>662</v>
      </c>
    </row>
    <row r="6" spans="2:7" x14ac:dyDescent="0.75">
      <c r="B6" s="77" t="s">
        <v>663</v>
      </c>
    </row>
    <row r="7" spans="2:7" x14ac:dyDescent="0.75">
      <c r="B7" s="77" t="s">
        <v>673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664</v>
      </c>
    </row>
    <row r="11" spans="2:7" x14ac:dyDescent="0.75">
      <c r="B11" s="77" t="s">
        <v>665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//---END</v>
      </c>
    </row>
    <row r="29" spans="2:2" x14ac:dyDescent="0.75">
      <c r="B29" s="14" t="str">
        <f>IF('Results-ConceptMap-3'!S23=0,"//---END",'Results-ConceptMap-3'!S23)</f>
        <v>* group[=].element[=].display = ##34#A.5.1.1 Narrative report##34#</v>
      </c>
    </row>
    <row r="30" spans="2:2" x14ac:dyDescent="0.75">
      <c r="B30" s="14" t="str">
        <f>IF('Results-ConceptMap-3'!S24=0,"//---END",'Results-ConceptMap-3'!S24)</f>
        <v>//-- unmatched</v>
      </c>
    </row>
    <row r="31" spans="2:2" x14ac:dyDescent="0.75">
      <c r="B31" s="14" t="str">
        <f>IF('Results-ConceptMap-3'!S25=0,"//---END",'Results-ConceptMap-3'!S25)</f>
        <v>//-- unmatched</v>
      </c>
    </row>
    <row r="32" spans="2:2" x14ac:dyDescent="0.75">
      <c r="B32" s="14" t="str">
        <f>IF('Results-ConceptMap-3'!S26=0,"//---END",'Results-ConceptMap-3'!S26)</f>
        <v>//---END</v>
      </c>
    </row>
    <row r="33" spans="2:2" x14ac:dyDescent="0.75">
      <c r="B33" s="14" t="str">
        <f>IF('Results-ConceptMap-3'!S27=0,"//---END",'Results-ConceptMap-3'!S27)</f>
        <v>* group[=].element[=].target.equivalence = #unmatched</v>
      </c>
    </row>
    <row r="34" spans="2:2" x14ac:dyDescent="0.75">
      <c r="B34" s="14" t="str">
        <f>IF('Results-ConceptMap-3'!S28=0,"//---END",'Results-ConceptMap-3'!S28)</f>
        <v/>
      </c>
    </row>
    <row r="35" spans="2:2" x14ac:dyDescent="0.75">
      <c r="B35" s="14" t="str">
        <f>IF('Results-ConceptMap-3'!S29=0,"//---END",'Results-ConceptMap-3'!S29)</f>
        <v>* group[=].element[+].code = #Result.narrative.notes</v>
      </c>
    </row>
    <row r="36" spans="2:2" x14ac:dyDescent="0.75">
      <c r="B36" s="14" t="str">
        <f>IF('Results-ConceptMap-3'!S30=0,"//---END",'Results-ConceptMap-3'!S30)</f>
        <v>* group[=].element[=].display = ##34#A.5.1.2 Comments, interpretation and recommendations##34#</v>
      </c>
    </row>
    <row r="37" spans="2:2" x14ac:dyDescent="0.75">
      <c r="B37" s="14" t="str">
        <f>IF('Results-ConceptMap-3'!S31=0,"//---END",'Results-ConceptMap-3'!S31)</f>
        <v>//-- unmatched</v>
      </c>
    </row>
    <row r="38" spans="2:2" x14ac:dyDescent="0.75">
      <c r="B38" s="14" t="str">
        <f>IF('Results-ConceptMap-3'!S32=0,"//---END",'Results-ConceptMap-3'!S32)</f>
        <v>//-- unmatched</v>
      </c>
    </row>
    <row r="39" spans="2:2" x14ac:dyDescent="0.75">
      <c r="B39" s="14" t="str">
        <f>IF('Results-ConceptMap-3'!S33=0,"//---END",'Results-ConceptMap-3'!S33)</f>
        <v>* group[=].element[=].target.equivalence = #unmatched</v>
      </c>
    </row>
    <row r="40" spans="2:2" x14ac:dyDescent="0.75">
      <c r="B40" s="14" t="str">
        <f>IF('Results-ConceptMap-3'!S34=0,"//---END",'Results-ConceptMap-3'!S34)</f>
        <v/>
      </c>
    </row>
    <row r="41" spans="2:2" x14ac:dyDescent="0.75">
      <c r="B41" s="14" t="str">
        <f>IF('Results-ConceptMap-3'!S35=0,"//---END",'Results-ConceptMap-3'!S35)</f>
        <v>* group[=].element[+].code = #Result.observation</v>
      </c>
    </row>
    <row r="42" spans="2:2" x14ac:dyDescent="0.75">
      <c r="B42" s="14" t="str">
        <f>IF('Results-ConceptMap-3'!S36=0,"//---END",'Results-ConceptMap-3'!S36)</f>
        <v>* group[=].element[=].display = ##34#A.5.2 Observation details##34#</v>
      </c>
    </row>
    <row r="43" spans="2:2" x14ac:dyDescent="0.75">
      <c r="B43" s="14" t="str">
        <f>IF('Results-ConceptMap-3'!S37=0,"//---END",'Results-ConceptMap-3'!S37)</f>
        <v>* group[=].element[=].target.code = #Observation</v>
      </c>
    </row>
    <row r="44" spans="2:2" x14ac:dyDescent="0.75">
      <c r="B44" s="14" t="str">
        <f>IF('Results-ConceptMap-3'!S38=0,"//---END",'Results-ConceptMap-3'!S38)</f>
        <v>* group[=].element[=].target.display = ##34###34#</v>
      </c>
    </row>
    <row r="45" spans="2:2" x14ac:dyDescent="0.75">
      <c r="B45" s="14" t="str">
        <f>IF('Results-ConceptMap-3'!S39=0,"//---END",'Results-ConceptMap-3'!S39)</f>
        <v>* group[=].element[=].target.equivalence = #equivalent</v>
      </c>
    </row>
    <row r="46" spans="2:2" x14ac:dyDescent="0.75">
      <c r="B46" s="14" t="str">
        <f>IF('Results-ConceptMap-3'!S40=0,"//---END",'Results-ConceptMap-3'!S40)</f>
        <v/>
      </c>
    </row>
    <row r="47" spans="2:2" x14ac:dyDescent="0.75">
      <c r="B47" s="14" t="str">
        <f>IF('Results-ConceptMap-3'!S41=0,"//---END",'Results-ConceptMap-3'!S41)</f>
        <v>* group[=].element[+].code = #Result.observation.dateTime</v>
      </c>
    </row>
    <row r="48" spans="2:2" x14ac:dyDescent="0.75">
      <c r="B48" s="14" t="str">
        <f>IF('Results-ConceptMap-3'!S42=0,"//---END",'Results-ConceptMap-3'!S42)</f>
        <v>* group[=].element[=].display = ##34#A.5.2.1 Observation date##34#</v>
      </c>
    </row>
    <row r="49" spans="2:2" x14ac:dyDescent="0.75">
      <c r="B49" s="14" t="str">
        <f>IF('Results-ConceptMap-3'!S43=0,"//---END",'Results-ConceptMap-3'!S43)</f>
        <v>* group[=].element[=].target.code = #Observation.effective[x]</v>
      </c>
    </row>
    <row r="50" spans="2:2" x14ac:dyDescent="0.75">
      <c r="B50" s="14" t="str">
        <f>IF('Results-ConceptMap-3'!S44=0,"//---END",'Results-ConceptMap-3'!S44)</f>
        <v>* group[=].element[=].target.display = ##34###34#</v>
      </c>
    </row>
    <row r="51" spans="2:2" x14ac:dyDescent="0.75">
      <c r="B51" s="14" t="str">
        <f>IF('Results-ConceptMap-3'!S45=0,"//---END",'Results-ConceptMap-3'!S45)</f>
        <v>* group[=].element[=].target.equivalence = #equivalent</v>
      </c>
    </row>
    <row r="52" spans="2:2" x14ac:dyDescent="0.75">
      <c r="B52" s="14" t="str">
        <f>IF('Results-ConceptMap-3'!S46=0,"//---END",'Results-ConceptMap-3'!S46)</f>
        <v/>
      </c>
    </row>
    <row r="53" spans="2:2" x14ac:dyDescent="0.75">
      <c r="B53" s="14" t="str">
        <f>IF('Results-ConceptMap-3'!S47=0,"//---END",'Results-ConceptMap-3'!S47)</f>
        <v>* group[=].element[+].code = #Result.observation.code</v>
      </c>
    </row>
    <row r="54" spans="2:2" x14ac:dyDescent="0.75">
      <c r="B54" s="14" t="str">
        <f>IF('Results-ConceptMap-3'!S48=0,"//---END",'Results-ConceptMap-3'!S48)</f>
        <v>* group[=].element[=].display = ##34#A.5.2.3 Observation code##34#</v>
      </c>
    </row>
    <row r="55" spans="2:2" x14ac:dyDescent="0.75">
      <c r="B55" s="14" t="str">
        <f>IF('Results-ConceptMap-3'!S49=0,"//---END",'Results-ConceptMap-3'!S49)</f>
        <v>* group[=].element[=].target.code = #Observation.code</v>
      </c>
    </row>
    <row r="56" spans="2:2" x14ac:dyDescent="0.75">
      <c r="B56" s="14" t="str">
        <f>IF('Results-ConceptMap-3'!S50=0,"//---END",'Results-ConceptMap-3'!S50)</f>
        <v>* group[=].element[=].target.display = ##34###34#</v>
      </c>
    </row>
    <row r="57" spans="2:2" x14ac:dyDescent="0.75">
      <c r="B57" s="14" t="str">
        <f>IF('Results-ConceptMap-3'!S51=0,"//---END",'Results-ConceptMap-3'!S51)</f>
        <v>* group[=].element[=].target.equivalence = #relatedto</v>
      </c>
    </row>
    <row r="58" spans="2:2" x14ac:dyDescent="0.75">
      <c r="B58" s="14" t="str">
        <f>IF('Results-ConceptMap-3'!S52=0,"//---END",'Results-ConceptMap-3'!S52)</f>
        <v>* group[=].element[=].target.comment = ##34#depends on the type of test##34#</v>
      </c>
    </row>
    <row r="59" spans="2:2" x14ac:dyDescent="0.75">
      <c r="B59" s="14" t="str">
        <f>IF('Results-ConceptMap-3'!S53=0,"//---END",'Results-ConceptMap-3'!S53)</f>
        <v>* group[=].element[+].code = #Result.observation.code</v>
      </c>
    </row>
    <row r="60" spans="2:2" x14ac:dyDescent="0.75">
      <c r="B60" s="14" t="str">
        <f>IF('Results-ConceptMap-3'!S54=0,"//---END",'Results-ConceptMap-3'!S54)</f>
        <v>* group[=].element[=].display = ##34#A.5.2.3 Observation code##34#</v>
      </c>
    </row>
    <row r="61" spans="2:2" x14ac:dyDescent="0.75">
      <c r="B61" s="14" t="str">
        <f>IF('Results-ConceptMap-3'!S55=0,"//---END",'Results-ConceptMap-3'!S55)</f>
        <v>* group[=].element[=].target.code = #Observation.hasMember.code</v>
      </c>
    </row>
    <row r="62" spans="2:2" x14ac:dyDescent="0.75">
      <c r="B62" s="14" t="str">
        <f>IF('Results-ConceptMap-3'!S56=0,"//---END",'Results-ConceptMap-3'!S56)</f>
        <v>* group[=].element[=].target.display = ##34###34#</v>
      </c>
    </row>
    <row r="63" spans="2:2" x14ac:dyDescent="0.75">
      <c r="B63" s="14" t="str">
        <f>IF('Results-ConceptMap-3'!S57=0,"//---END",'Results-ConceptMap-3'!S57)</f>
        <v>* group[=].element[=].target.equivalence = #relatedto</v>
      </c>
    </row>
    <row r="64" spans="2:2" x14ac:dyDescent="0.75">
      <c r="B64" s="14" t="str">
        <f>IF('Results-ConceptMap-3'!S58=0,"//---END",'Results-ConceptMap-3'!S58)</f>
        <v>* group[=].element[=].target.comment = ##34#depends on the type of test##34#</v>
      </c>
    </row>
    <row r="65" spans="2:2" x14ac:dyDescent="0.75">
      <c r="B65" s="14" t="str">
        <f>IF('Results-ConceptMap-3'!S59=0,"//---END",'Results-ConceptMap-3'!S59)</f>
        <v>* group[=].element[+].code = #Result.observation.code</v>
      </c>
    </row>
    <row r="66" spans="2:2" x14ac:dyDescent="0.75">
      <c r="B66" s="14" t="str">
        <f>IF('Results-ConceptMap-3'!S60=0,"//---END",'Results-ConceptMap-3'!S60)</f>
        <v>* group[=].element[=].display = ##34#A.5.2.3 Observation code##34#</v>
      </c>
    </row>
    <row r="67" spans="2:2" x14ac:dyDescent="0.75">
      <c r="B67" s="14" t="str">
        <f>IF('Results-ConceptMap-3'!S61=0,"//---END",'Results-ConceptMap-3'!S61)</f>
        <v>* group[=].element[=].target.code = #Observation.component.code</v>
      </c>
    </row>
    <row r="68" spans="2:2" x14ac:dyDescent="0.75">
      <c r="B68" s="14" t="str">
        <f>IF('Results-ConceptMap-3'!S62=0,"//---END",'Results-ConceptMap-3'!S62)</f>
        <v>* group[=].element[=].target.display = ##34###34#</v>
      </c>
    </row>
    <row r="69" spans="2:2" x14ac:dyDescent="0.75">
      <c r="B69" s="14" t="str">
        <f>IF('Results-ConceptMap-3'!S63=0,"//---END",'Results-ConceptMap-3'!S63)</f>
        <v>* group[=].element[=].target.equivalence = #relatedto</v>
      </c>
    </row>
    <row r="70" spans="2:2" x14ac:dyDescent="0.75">
      <c r="B70" s="14" t="str">
        <f>IF('Results-ConceptMap-3'!S64=0,"//---END",'Results-ConceptMap-3'!S64)</f>
        <v>* group[=].element[=].target.comment = ##34#depends on the type of test##34#</v>
      </c>
    </row>
    <row r="71" spans="2:2" x14ac:dyDescent="0.75">
      <c r="B71" s="14" t="str">
        <f>IF('Results-ConceptMap-3'!S65=0,"//---END",'Results-ConceptMap-3'!S65)</f>
        <v>* group[=].element[+].code = #Result.observation.code.name</v>
      </c>
    </row>
    <row r="72" spans="2:2" x14ac:dyDescent="0.75">
      <c r="B72" s="14" t="str">
        <f>IF('Results-ConceptMap-3'!S66=0,"//---END",'Results-ConceptMap-3'!S66)</f>
        <v>* group[=].element[=].display = ##34#A.5.2.3.1 Observation name##34#</v>
      </c>
    </row>
    <row r="73" spans="2:2" x14ac:dyDescent="0.75">
      <c r="B73" s="14" t="str">
        <f>IF('Results-ConceptMap-3'!S67=0,"//---END",'Results-ConceptMap-3'!S67)</f>
        <v>* group[=].element[=].target.code = #Observation.code.coding.display</v>
      </c>
    </row>
    <row r="74" spans="2:2" x14ac:dyDescent="0.75">
      <c r="B74" s="14" t="str">
        <f>IF('Results-ConceptMap-3'!S68=0,"//---END",'Results-ConceptMap-3'!S68)</f>
        <v>* group[=].element[=].target.display = ##34###34#</v>
      </c>
    </row>
    <row r="75" spans="2:2" x14ac:dyDescent="0.75">
      <c r="B75" s="14" t="str">
        <f>IF('Results-ConceptMap-3'!S69=0,"//---END",'Results-ConceptMap-3'!S69)</f>
        <v>* group[=].element[=].target.equivalence = #equivalent</v>
      </c>
    </row>
    <row r="76" spans="2:2" x14ac:dyDescent="0.75">
      <c r="B76" s="14" t="str">
        <f>IF('Results-ConceptMap-3'!S70=0,"//---END",'Results-ConceptMap-3'!S70)</f>
        <v>* group[=].element[=].target.comment = ##34#If the 'code' is the Observation.code. Similar mapping for the other cases.##34#</v>
      </c>
    </row>
    <row r="77" spans="2:2" x14ac:dyDescent="0.75">
      <c r="B77" s="14" t="str">
        <f>IF('Results-ConceptMap-3'!S71=0,"//---END",'Results-ConceptMap-3'!S71)</f>
        <v>* group[=].element[+].code = #Result.observation.code.originalName</v>
      </c>
    </row>
    <row r="78" spans="2:2" x14ac:dyDescent="0.75">
      <c r="B78" s="14" t="str">
        <f>IF('Results-ConceptMap-3'!S72=0,"//---END",'Results-ConceptMap-3'!S72)</f>
        <v>* group[=].element[=].display = ##34#A.5.2.3.2 Observation original name##34#</v>
      </c>
    </row>
    <row r="79" spans="2:2" x14ac:dyDescent="0.75">
      <c r="B79" s="14" t="str">
        <f>IF('Results-ConceptMap-3'!S73=0,"//---END",'Results-ConceptMap-3'!S73)</f>
        <v>* group[=].element[=].target.code = #Observation.code.text</v>
      </c>
    </row>
    <row r="80" spans="2:2" x14ac:dyDescent="0.75">
      <c r="B80" s="14" t="str">
        <f>IF('Results-ConceptMap-3'!S74=0,"//---END",'Results-ConceptMap-3'!S74)</f>
        <v>* group[=].element[=].target.display = ##34###34#</v>
      </c>
    </row>
    <row r="81" spans="2:2" x14ac:dyDescent="0.75">
      <c r="B81" s="14" t="str">
        <f>IF('Results-ConceptMap-3'!S75=0,"//---END",'Results-ConceptMap-3'!S75)</f>
        <v>* group[=].element[=].target.equivalence = #equivalent</v>
      </c>
    </row>
    <row r="82" spans="2:2" x14ac:dyDescent="0.75">
      <c r="B82" s="14" t="str">
        <f>IF('Results-ConceptMap-3'!S76=0,"//---END",'Results-ConceptMap-3'!S76)</f>
        <v>* group[=].element[=].target.comment = ##34#If the 'code' is the Observation.code. Similar mapping for the other cases.##34#</v>
      </c>
    </row>
    <row r="83" spans="2:2" x14ac:dyDescent="0.75">
      <c r="B83" s="14" t="str">
        <f>IF('Results-ConceptMap-3'!S77=0,"//---END",'Results-ConceptMap-3'!S77)</f>
        <v>* group[=].element[+].code = #Result.observation.code.displayName</v>
      </c>
    </row>
    <row r="84" spans="2:2" x14ac:dyDescent="0.75">
      <c r="B84" s="14" t="str">
        <f>IF('Results-ConceptMap-3'!S78=0,"//---END",'Results-ConceptMap-3'!S78)</f>
        <v>* group[=].element[=].display = ##34#A.5.2.3.3 Observation display name##34#</v>
      </c>
    </row>
    <row r="85" spans="2:2" x14ac:dyDescent="0.75">
      <c r="B85" s="14" t="str">
        <f>IF('Results-ConceptMap-3'!S79=0,"//---END",'Results-ConceptMap-3'!S79)</f>
        <v>* group[=].element[=].target.code = #Observation.code.coding.display</v>
      </c>
    </row>
    <row r="86" spans="2:2" x14ac:dyDescent="0.75">
      <c r="B86" s="14" t="str">
        <f>IF('Results-ConceptMap-3'!S80=0,"//---END",'Results-ConceptMap-3'!S80)</f>
        <v>* group[=].element[=].target.display = ##34###34#</v>
      </c>
    </row>
    <row r="87" spans="2:2" x14ac:dyDescent="0.75">
      <c r="B87" s="14" t="str">
        <f>IF('Results-ConceptMap-3'!S81=0,"//---END",'Results-ConceptMap-3'!S81)</f>
        <v>* group[=].element[=].target.equivalence = #equivalent</v>
      </c>
    </row>
    <row r="88" spans="2:2" ht="29.5" x14ac:dyDescent="0.75">
      <c r="B88" s="14" t="str">
        <f>IF('Results-ConceptMap-3'!S82=0,"//---END",'Results-ConceptMap-3'!S82)</f>
        <v>* group[=].element[=].target.comment = ##34#The coding refers to a coded concept different from that used for A.5.2.3.1.
If the 'code' is the Observation.code. Similar mapping for the other cases.##34#</v>
      </c>
    </row>
    <row r="89" spans="2:2" x14ac:dyDescent="0.75">
      <c r="B89" s="14" t="str">
        <f>IF('Results-ConceptMap-3'!S83=0,"//---END",'Results-ConceptMap-3'!S83)</f>
        <v>* group[=].element[+].code = #Result.observation.code.displayName</v>
      </c>
    </row>
    <row r="90" spans="2:2" x14ac:dyDescent="0.75">
      <c r="B90" s="14" t="str">
        <f>IF('Results-ConceptMap-3'!S84=0,"//---END",'Results-ConceptMap-3'!S84)</f>
        <v>* group[=].element[=].display = ##34#A.5.2.3.3 Observation display name##34#</v>
      </c>
    </row>
    <row r="91" spans="2:2" x14ac:dyDescent="0.75">
      <c r="B91" s="14" t="str">
        <f>IF('Results-ConceptMap-3'!S85=0,"//---END",'Results-ConceptMap-3'!S85)</f>
        <v>* group[=].element[=].target.code = #Observation.code.coding.display.extension:translation</v>
      </c>
    </row>
    <row r="92" spans="2:2" x14ac:dyDescent="0.75">
      <c r="B92" s="14" t="str">
        <f>IF('Results-ConceptMap-3'!S86=0,"//---END",'Results-ConceptMap-3'!S86)</f>
        <v>* group[=].element[=].target.display = ##34###34#</v>
      </c>
    </row>
    <row r="93" spans="2:2" x14ac:dyDescent="0.75">
      <c r="B93" s="14" t="str">
        <f>IF('Results-ConceptMap-3'!S87=0,"//---END",'Results-ConceptMap-3'!S87)</f>
        <v>* group[=].element[=].target.equivalence = #equivalent</v>
      </c>
    </row>
    <row r="94" spans="2:2" ht="29.5" x14ac:dyDescent="0.75">
      <c r="B94" s="14" t="str">
        <f>IF('Results-ConceptMap-3'!S88=0,"//---END",'Results-ConceptMap-3'!S88)</f>
        <v>* group[=].element[=].target.comment = ##34#The coding refers to the same coded concept used for A.5.2.3.1.
If the 'code' is the Observation.code. Similar mapping for the other cases.##34#</v>
      </c>
    </row>
    <row r="95" spans="2:2" x14ac:dyDescent="0.75">
      <c r="B95" s="14" t="str">
        <f>IF('Results-ConceptMap-3'!S89=0,"//---END",'Results-ConceptMap-3'!S89)</f>
        <v>* group[=].element[+].code = #Result.observation.method</v>
      </c>
    </row>
    <row r="96" spans="2:2" x14ac:dyDescent="0.75">
      <c r="B96" s="14" t="str">
        <f>IF('Results-ConceptMap-3'!S90=0,"//---END",'Results-ConceptMap-3'!S90)</f>
        <v>* group[=].element[=].display = ##34#A.5.2.4 Observation method##34#</v>
      </c>
    </row>
    <row r="97" spans="2:2" x14ac:dyDescent="0.75">
      <c r="B97" s="14" t="str">
        <f>IF('Results-ConceptMap-3'!S91=0,"//---END",'Results-ConceptMap-3'!S91)</f>
        <v>* group[=].element[=].target.code = #Observation.method</v>
      </c>
    </row>
    <row r="98" spans="2:2" x14ac:dyDescent="0.75">
      <c r="B98" s="14" t="str">
        <f>IF('Results-ConceptMap-3'!S92=0,"//---END",'Results-ConceptMap-3'!S92)</f>
        <v>* group[=].element[=].target.display = ##34###34#</v>
      </c>
    </row>
    <row r="99" spans="2:2" x14ac:dyDescent="0.75">
      <c r="B99" s="14" t="str">
        <f>IF('Results-ConceptMap-3'!S93=0,"//---END",'Results-ConceptMap-3'!S93)</f>
        <v>* group[=].element[=].target.equivalence = #equivalent</v>
      </c>
    </row>
    <row r="100" spans="2:2" x14ac:dyDescent="0.75">
      <c r="B100" s="14" t="str">
        <f>IF('Results-ConceptMap-3'!S94=0,"//---END",'Results-ConceptMap-3'!S94)</f>
        <v/>
      </c>
    </row>
    <row r="101" spans="2:2" x14ac:dyDescent="0.75">
      <c r="B101" s="14" t="str">
        <f>IF('Results-ConceptMap-3'!S95=0,"//---END",'Results-ConceptMap-3'!S95)</f>
        <v>* group[=].element[+].code = #Result.observation.device</v>
      </c>
    </row>
    <row r="102" spans="2:2" x14ac:dyDescent="0.75">
      <c r="B102" s="14" t="str">
        <f>IF('Results-ConceptMap-3'!S96=0,"//---END",'Results-ConceptMap-3'!S96)</f>
        <v>* group[=].element[=].display = ##34#A.5.2.5 Observation device##34#</v>
      </c>
    </row>
    <row r="103" spans="2:2" x14ac:dyDescent="0.75">
      <c r="B103" s="14" t="str">
        <f>IF('Results-ConceptMap-3'!S97=0,"//---END",'Results-ConceptMap-3'!S97)</f>
        <v>* group[=].element[=].target.code = #Observation.device</v>
      </c>
    </row>
    <row r="104" spans="2:2" x14ac:dyDescent="0.75">
      <c r="B104" s="14" t="str">
        <f>IF('Results-ConceptMap-3'!S98=0,"//---END",'Results-ConceptMap-3'!S98)</f>
        <v>* group[=].element[=].target.display = ##34###34#</v>
      </c>
    </row>
    <row r="105" spans="2:2" x14ac:dyDescent="0.75">
      <c r="B105" s="14" t="str">
        <f>IF('Results-ConceptMap-3'!S99=0,"//---END",'Results-ConceptMap-3'!S99)</f>
        <v>* group[=].element[=].target.equivalence = #relatedto</v>
      </c>
    </row>
    <row r="106" spans="2:2" x14ac:dyDescent="0.75">
      <c r="B106" s="14" t="str">
        <f>IF('Results-ConceptMap-3'!S100=0,"//---END",'Results-ConceptMap-3'!S100)</f>
        <v>* group[=].element[=].target.comment = ##34#if the measuring device##34#</v>
      </c>
    </row>
    <row r="107" spans="2:2" x14ac:dyDescent="0.75">
      <c r="B107" s="14" t="str">
        <f>IF('Results-ConceptMap-3'!S101=0,"//---END",'Results-ConceptMap-3'!S101)</f>
        <v>* group[=].element[+].code = #Result.observation.order</v>
      </c>
    </row>
    <row r="108" spans="2:2" x14ac:dyDescent="0.75">
      <c r="B108" s="14" t="str">
        <f>IF('Results-ConceptMap-3'!S102=0,"//---END",'Results-ConceptMap-3'!S102)</f>
        <v>* group[=].element[=].display = ##34#A.5.2.8 Order##34#</v>
      </c>
    </row>
    <row r="109" spans="2:2" x14ac:dyDescent="0.75">
      <c r="B109" s="14" t="str">
        <f>IF('Results-ConceptMap-3'!S103=0,"//---END",'Results-ConceptMap-3'!S103)</f>
        <v>* group[=].element[=].target.code = #Observation.basedOn</v>
      </c>
    </row>
    <row r="110" spans="2:2" x14ac:dyDescent="0.75">
      <c r="B110" s="14" t="str">
        <f>IF('Results-ConceptMap-3'!S104=0,"//---END",'Results-ConceptMap-3'!S104)</f>
        <v>* group[=].element[=].target.display = ##34###34#</v>
      </c>
    </row>
    <row r="111" spans="2:2" x14ac:dyDescent="0.75">
      <c r="B111" s="14" t="str">
        <f>IF('Results-ConceptMap-3'!S105=0,"//---END",'Results-ConceptMap-3'!S105)</f>
        <v>* group[=].element[=].target.equivalence = #equivalent</v>
      </c>
    </row>
    <row r="112" spans="2:2" x14ac:dyDescent="0.75">
      <c r="B112" s="14" t="str">
        <f>IF('Results-ConceptMap-3'!S106=0,"//---END",'Results-ConceptMap-3'!S106)</f>
        <v/>
      </c>
    </row>
    <row r="113" spans="2:2" x14ac:dyDescent="0.75">
      <c r="B113" s="14" t="str">
        <f>IF('Results-ConceptMap-3'!S107=0,"//---END",'Results-ConceptMap-3'!S107)</f>
        <v>* group[=].element[+].code = #Result.observation.performer</v>
      </c>
    </row>
    <row r="114" spans="2:2" x14ac:dyDescent="0.75">
      <c r="B114" s="14" t="str">
        <f>IF('Results-ConceptMap-3'!S108=0,"//---END",'Results-ConceptMap-3'!S108)</f>
        <v>* group[=].element[=].display = ##34#A.5.2.9 Performer##34#</v>
      </c>
    </row>
    <row r="115" spans="2:2" x14ac:dyDescent="0.75">
      <c r="B115" s="14" t="str">
        <f>IF('Results-ConceptMap-3'!S109=0,"//---END",'Results-ConceptMap-3'!S109)</f>
        <v>* group[=].element[=].target.code = #Observation.performer</v>
      </c>
    </row>
    <row r="116" spans="2:2" x14ac:dyDescent="0.75">
      <c r="B116" s="14" t="str">
        <f>IF('Results-ConceptMap-3'!S110=0,"//---END",'Results-ConceptMap-3'!S110)</f>
        <v>* group[=].element[=].target.display = ##34###34#</v>
      </c>
    </row>
    <row r="117" spans="2:2" x14ac:dyDescent="0.75">
      <c r="B117" s="14" t="str">
        <f>IF('Results-ConceptMap-3'!S111=0,"//---END",'Results-ConceptMap-3'!S111)</f>
        <v>* group[=].element[=].target.equivalence = #equivalent</v>
      </c>
    </row>
    <row r="118" spans="2:2" x14ac:dyDescent="0.75">
      <c r="B118" s="14" t="str">
        <f>IF('Results-ConceptMap-3'!S112=0,"//---END",'Results-ConceptMap-3'!S112)</f>
        <v/>
      </c>
    </row>
    <row r="119" spans="2:2" x14ac:dyDescent="0.75">
      <c r="B119" s="14" t="str">
        <f>IF('Results-ConceptMap-3'!S113=0,"//---END",'Results-ConceptMap-3'!S113)</f>
        <v>* group[=].element[+].code = #Result.observation.reporter</v>
      </c>
    </row>
    <row r="120" spans="2:2" x14ac:dyDescent="0.75">
      <c r="B120" s="14" t="str">
        <f>IF('Results-ConceptMap-3'!S114=0,"//---END",'Results-ConceptMap-3'!S114)</f>
        <v>* group[=].element[=].display = ##34#A.5.2.10 Reporter##34#</v>
      </c>
    </row>
    <row r="121" spans="2:2" x14ac:dyDescent="0.75">
      <c r="B121" s="14" t="str">
        <f>IF('Results-ConceptMap-3'!S115=0,"//---END",'Results-ConceptMap-3'!S115)</f>
        <v>* group[=].element[=].target.code = #Observation.performer</v>
      </c>
    </row>
    <row r="122" spans="2:2" x14ac:dyDescent="0.75">
      <c r="B122" s="14" t="str">
        <f>IF('Results-ConceptMap-3'!S116=0,"//---END",'Results-ConceptMap-3'!S116)</f>
        <v>* group[=].element[=].target.display = ##34###34#</v>
      </c>
    </row>
    <row r="123" spans="2:2" x14ac:dyDescent="0.75">
      <c r="B123" s="14" t="str">
        <f>IF('Results-ConceptMap-3'!S117=0,"//---END",'Results-ConceptMap-3'!S117)</f>
        <v>* group[=].element[=].target.equivalence = #relatedto</v>
      </c>
    </row>
    <row r="124" spans="2:2" ht="29.5" x14ac:dyDescent="0.75">
      <c r="B124" s="14" t="str">
        <f>IF('Results-ConceptMap-3'!S118=0,"//---END",'Results-ConceptMap-3'!S118)</f>
        <v>* group[=].element[=].target.comment = ##34#For interpreter: performer.extension:performerFunction = AUT (author)
If the person responsible for validation:  performer.extension:performerFunction = AUTHEN or LA##34#</v>
      </c>
    </row>
    <row r="125" spans="2:2" x14ac:dyDescent="0.75">
      <c r="B125" s="14" t="str">
        <f>IF('Results-ConceptMap-3'!S119=0,"//---END",'Results-ConceptMap-3'!S119)</f>
        <v>* group[=].element[+].code = #Result.observation.result</v>
      </c>
    </row>
    <row r="126" spans="2:2" x14ac:dyDescent="0.75">
      <c r="B126" s="14" t="str">
        <f>IF('Results-ConceptMap-3'!S120=0,"//---END",'Results-ConceptMap-3'!S120)</f>
        <v>* group[=].element[=].display = ##34#A.5.2.11 Observation result##34#</v>
      </c>
    </row>
    <row r="127" spans="2:2" x14ac:dyDescent="0.75">
      <c r="B127" s="14" t="str">
        <f>IF('Results-ConceptMap-3'!S121=0,"//---END",'Results-ConceptMap-3'!S121)</f>
        <v>* group[=].element[=].target.code = #Observation.value[x]</v>
      </c>
    </row>
    <row r="128" spans="2:2" x14ac:dyDescent="0.75">
      <c r="B128" s="14" t="str">
        <f>IF('Results-ConceptMap-3'!S122=0,"//---END",'Results-ConceptMap-3'!S122)</f>
        <v>* group[=].element[=].target.display = ##34###34#</v>
      </c>
    </row>
    <row r="129" spans="2:2" x14ac:dyDescent="0.75">
      <c r="B129" s="14" t="str">
        <f>IF('Results-ConceptMap-3'!S123=0,"//---END",'Results-ConceptMap-3'!S123)</f>
        <v>* group[=].element[=].target.equivalence = #equivalent</v>
      </c>
    </row>
    <row r="130" spans="2:2" x14ac:dyDescent="0.75">
      <c r="B130" s="14" t="str">
        <f>IF('Results-ConceptMap-3'!S124=0,"//---END",'Results-ConceptMap-3'!S124)</f>
        <v>* group[=].element[=].target.comment = ##34#depends on the type of test##34#</v>
      </c>
    </row>
    <row r="131" spans="2:2" x14ac:dyDescent="0.75">
      <c r="B131" s="14" t="str">
        <f>IF('Results-ConceptMap-3'!S125=0,"//---END",'Results-ConceptMap-3'!S125)</f>
        <v>* group[=].element[+].code = #Result.observation.result</v>
      </c>
    </row>
    <row r="132" spans="2:2" x14ac:dyDescent="0.75">
      <c r="B132" s="14" t="str">
        <f>IF('Results-ConceptMap-3'!S126=0,"//---END",'Results-ConceptMap-3'!S126)</f>
        <v>* group[=].element[=].display = ##34#A.5.2.11 Observation result##34#</v>
      </c>
    </row>
    <row r="133" spans="2:2" x14ac:dyDescent="0.75">
      <c r="B133" s="14" t="str">
        <f>IF('Results-ConceptMap-3'!S127=0,"//---END",'Results-ConceptMap-3'!S127)</f>
        <v>* group[=].element[=].target.code = #Observation.component.value[x]</v>
      </c>
    </row>
    <row r="134" spans="2:2" x14ac:dyDescent="0.75">
      <c r="B134" s="14" t="str">
        <f>IF('Results-ConceptMap-3'!S128=0,"//---END",'Results-ConceptMap-3'!S128)</f>
        <v>* group[=].element[=].target.display = ##34###34#</v>
      </c>
    </row>
    <row r="135" spans="2:2" x14ac:dyDescent="0.75">
      <c r="B135" s="14" t="str">
        <f>IF('Results-ConceptMap-3'!S129=0,"//---END",'Results-ConceptMap-3'!S129)</f>
        <v>* group[=].element[=].target.equivalence = #equivalent</v>
      </c>
    </row>
    <row r="136" spans="2:2" x14ac:dyDescent="0.75">
      <c r="B136" s="14" t="str">
        <f>IF('Results-ConceptMap-3'!S130=0,"//---END",'Results-ConceptMap-3'!S130)</f>
        <v>* group[=].element[=].target.comment = ##34#depends on the type of test##34#</v>
      </c>
    </row>
    <row r="137" spans="2:2" x14ac:dyDescent="0.75">
      <c r="B137" s="14" t="str">
        <f>IF('Results-ConceptMap-3'!S131=0,"//---END",'Results-ConceptMap-3'!S131)</f>
        <v>* group[=].element[+].code = #Result.observation.interpretation</v>
      </c>
    </row>
    <row r="138" spans="2:2" x14ac:dyDescent="0.75">
      <c r="B138" s="14" t="str">
        <f>IF('Results-ConceptMap-3'!S132=0,"//---END",'Results-ConceptMap-3'!S132)</f>
        <v>* group[=].element[=].display = ##34#A.5.2.12 Observation interpretation##34#</v>
      </c>
    </row>
    <row r="139" spans="2:2" x14ac:dyDescent="0.75">
      <c r="B139" s="14" t="str">
        <f>IF('Results-ConceptMap-3'!S133=0,"//---END",'Results-ConceptMap-3'!S133)</f>
        <v>* group[=].element[=].target.code = #Observation.interpretation</v>
      </c>
    </row>
    <row r="140" spans="2:2" x14ac:dyDescent="0.75">
      <c r="B140" s="14" t="str">
        <f>IF('Results-ConceptMap-3'!S134=0,"//---END",'Results-ConceptMap-3'!S134)</f>
        <v>* group[=].element[=].target.display = ##34###34#</v>
      </c>
    </row>
    <row r="141" spans="2:2" x14ac:dyDescent="0.75">
      <c r="B141" s="14" t="str">
        <f>IF('Results-ConceptMap-3'!S135=0,"//---END",'Results-ConceptMap-3'!S135)</f>
        <v>* group[=].element[=].target.equivalence = #equivalent</v>
      </c>
    </row>
    <row r="142" spans="2:2" x14ac:dyDescent="0.75">
      <c r="B142" s="14" t="str">
        <f>IF('Results-ConceptMap-3'!S136=0,"//---END",'Results-ConceptMap-3'!S136)</f>
        <v>* group[=].element[=].target.comment = ##34#depends on the type of test##34#</v>
      </c>
    </row>
    <row r="143" spans="2:2" x14ac:dyDescent="0.75">
      <c r="B143" s="14" t="str">
        <f>IF('Results-ConceptMap-3'!S137=0,"//---END",'Results-ConceptMap-3'!S137)</f>
        <v>* group[=].element[+].code = #Result.observation.interpretation</v>
      </c>
    </row>
    <row r="144" spans="2:2" x14ac:dyDescent="0.75">
      <c r="B144" s="14" t="str">
        <f>IF('Results-ConceptMap-3'!S138=0,"//---END",'Results-ConceptMap-3'!S138)</f>
        <v>* group[=].element[=].display = ##34#A.5.2.12 Observation interpretation##34#</v>
      </c>
    </row>
    <row r="145" spans="2:2" x14ac:dyDescent="0.75">
      <c r="B145" s="14" t="str">
        <f>IF('Results-ConceptMap-3'!S139=0,"//---END",'Results-ConceptMap-3'!S139)</f>
        <v>* group[=].element[=].target.code = #Observation.component.interpretation</v>
      </c>
    </row>
    <row r="146" spans="2:2" x14ac:dyDescent="0.75">
      <c r="B146" s="14" t="str">
        <f>IF('Results-ConceptMap-3'!S140=0,"//---END",'Results-ConceptMap-3'!S140)</f>
        <v>* group[=].element[=].target.display = ##34###34#</v>
      </c>
    </row>
    <row r="147" spans="2:2" x14ac:dyDescent="0.75">
      <c r="B147" s="14" t="str">
        <f>IF('Results-ConceptMap-3'!S141=0,"//---END",'Results-ConceptMap-3'!S141)</f>
        <v>* group[=].element[=].target.equivalence = #equivalent</v>
      </c>
    </row>
    <row r="148" spans="2:2" x14ac:dyDescent="0.75">
      <c r="B148" s="14" t="str">
        <f>IF('Results-ConceptMap-3'!S142=0,"//---END",'Results-ConceptMap-3'!S142)</f>
        <v>* group[=].element[=].target.comment = ##34#depends on the type of test##34#</v>
      </c>
    </row>
    <row r="149" spans="2:2" x14ac:dyDescent="0.75">
      <c r="B149" s="14" t="str">
        <f>IF('Results-ConceptMap-3'!S143=0,"//---END",'Results-ConceptMap-3'!S143)</f>
        <v>* group[=].element[+].code = #Result.observation.description</v>
      </c>
    </row>
    <row r="150" spans="2:2" x14ac:dyDescent="0.75">
      <c r="B150" s="14" t="str">
        <f>IF('Results-ConceptMap-3'!S144=0,"//---END",'Results-ConceptMap-3'!S144)</f>
        <v>* group[=].element[=].display = ##34#A.5.2.13 Result description##34#</v>
      </c>
    </row>
    <row r="151" spans="2:2" x14ac:dyDescent="0.75">
      <c r="B151" s="14" t="str">
        <f>IF('Results-ConceptMap-3'!S145=0,"//---END",'Results-ConceptMap-3'!S145)</f>
        <v>* group[=].element[=].target.code = #Observation.text</v>
      </c>
    </row>
    <row r="152" spans="2:2" x14ac:dyDescent="0.75">
      <c r="B152" s="14" t="str">
        <f>IF('Results-ConceptMap-3'!S146=0,"//---END",'Results-ConceptMap-3'!S146)</f>
        <v>* group[=].element[=].target.display = ##34###34#</v>
      </c>
    </row>
    <row r="153" spans="2:2" x14ac:dyDescent="0.75">
      <c r="B153" s="14" t="str">
        <f>IF('Results-ConceptMap-3'!S147=0,"//---END",'Results-ConceptMap-3'!S147)</f>
        <v>* group[=].element[=].target.equivalence = #relatedto</v>
      </c>
    </row>
    <row r="154" spans="2:2" x14ac:dyDescent="0.75">
      <c r="B154" s="14" t="str">
        <f>IF('Results-ConceptMap-3'!S148=0,"//---END",'Results-ConceptMap-3'!S148)</f>
        <v>* group[=].element[=].target.comment = ##34#to be checked##34#</v>
      </c>
    </row>
    <row r="155" spans="2:2" x14ac:dyDescent="0.75">
      <c r="B155" s="14" t="str">
        <f>IF('Results-ConceptMap-3'!S149=0,"//---END",'Results-ConceptMap-3'!S149)</f>
        <v>* group[=].element[+].code = #Result.observation.accreditationStatus</v>
      </c>
    </row>
    <row r="156" spans="2:2" x14ac:dyDescent="0.75">
      <c r="B156" s="14" t="str">
        <f>IF('Results-ConceptMap-3'!S150=0,"//---END",'Results-ConceptMap-3'!S150)</f>
        <v>* group[=].element[=].display = ##34#A.5.2.14 Accreditation status##34#</v>
      </c>
    </row>
    <row r="157" spans="2:2" x14ac:dyDescent="0.75">
      <c r="B157" s="14" t="str">
        <f>IF('Results-ConceptMap-3'!S151=0,"//---END",'Results-ConceptMap-3'!S151)</f>
        <v>* group[=].element[=].target.code = #Observation.performer.qualification</v>
      </c>
    </row>
    <row r="158" spans="2:2" x14ac:dyDescent="0.75">
      <c r="B158" s="14" t="str">
        <f>IF('Results-ConceptMap-3'!S152=0,"//---END",'Results-ConceptMap-3'!S152)</f>
        <v>* group[=].element[=].target.display = ##34###34#</v>
      </c>
    </row>
    <row r="159" spans="2:2" x14ac:dyDescent="0.75">
      <c r="B159" s="14" t="str">
        <f>IF('Results-ConceptMap-3'!S153=0,"//---END",'Results-ConceptMap-3'!S153)</f>
        <v>* group[=].element[=].target.equivalence = #relatedto</v>
      </c>
    </row>
    <row r="160" spans="2:2" x14ac:dyDescent="0.75">
      <c r="B160" s="14" t="str">
        <f>IF('Results-ConceptMap-3'!S154=0,"//---END",'Results-ConceptMap-3'!S154)</f>
        <v>* group[=].element[=].target.comment = ##34#performer ofType PractictionerRole##34#</v>
      </c>
    </row>
    <row r="161" spans="2:7" x14ac:dyDescent="0.75">
      <c r="B161" s="14" t="str">
        <f>IF('Results-ConceptMap-3'!S155=0,"//---END",'Results-ConceptMap-3'!S155)</f>
        <v>* group[=].element[+].code = #Result.observation.accreditationStatus</v>
      </c>
    </row>
    <row r="162" spans="2:7" x14ac:dyDescent="0.75">
      <c r="B162" s="14" t="str">
        <f>IF('Results-ConceptMap-3'!S156=0,"//---END",'Results-ConceptMap-3'!S156)</f>
        <v>//---END</v>
      </c>
    </row>
    <row r="163" spans="2:7" x14ac:dyDescent="0.75">
      <c r="B163" s="14" t="str">
        <f>IF('Results-ConceptMap-3'!S157=0,"//---END",'Results-ConceptMap-3'!S157)</f>
        <v>//---END</v>
      </c>
    </row>
    <row r="164" spans="2:7" x14ac:dyDescent="0.75">
      <c r="B164" s="14" t="str">
        <f>IF('Results-ConceptMap-3'!S158=0,"//---END",'Results-ConceptMap-3'!S158)</f>
        <v>//---END</v>
      </c>
    </row>
    <row r="165" spans="2:7" x14ac:dyDescent="0.75">
      <c r="B165" s="1"/>
    </row>
    <row r="166" spans="2:7" x14ac:dyDescent="0.75">
      <c r="B166" s="79" t="str">
        <f>"* group[+].source = ##34#"&amp;'Results-ConceptMap-1'!E6&amp;"##34#"</f>
        <v>* group[+].source = ##34#http://hl7.eu/fhir/laboratory/StructureDefinition/Result##34#</v>
      </c>
    </row>
    <row r="167" spans="2:7" x14ac:dyDescent="0.75">
      <c r="B167" s="79" t="str">
        <f>"* group[=].target = ##34#"&amp;'Results-ConceptMap-1'!E7&amp;"##34#"</f>
        <v>* group[=].target = ##34#http://hl7.eu/fhir/laboratory/StructureDefinition/DiagnosticReport-eu-lab##34#</v>
      </c>
    </row>
    <row r="168" spans="2:7" x14ac:dyDescent="0.75">
      <c r="B168" s="81"/>
    </row>
    <row r="169" spans="2:7" x14ac:dyDescent="0.75">
      <c r="B169" s="14" t="str">
        <f>IF('Results-ConceptMap-1'!S15=0,"//---END",'Results-ConceptMap-1'!S15)</f>
        <v>* group[=].element[+].code = #Result.narrative</v>
      </c>
    </row>
    <row r="170" spans="2:7" x14ac:dyDescent="0.75">
      <c r="B170" s="14" t="str">
        <f>IF('Results-ConceptMap-1'!S16=0,"//---END",'Results-ConceptMap-1'!S16)</f>
        <v>* group[=].element[=].display = ##34#A.5.1 Laboratory report narrative##34#</v>
      </c>
    </row>
    <row r="171" spans="2:7" x14ac:dyDescent="0.75">
      <c r="B171" s="14" t="str">
        <f>IF('Results-ConceptMap-1'!S17=0,"//---END",'Results-ConceptMap-1'!S17)</f>
        <v>* group[=].element[=].target.code = #DiagnosticReport</v>
      </c>
    </row>
    <row r="172" spans="2:7" x14ac:dyDescent="0.75">
      <c r="B172" s="14" t="str">
        <f>IF('Results-ConceptMap-1'!S18=0,"//---END",'Results-ConceptMap-1'!S18)</f>
        <v>* group[=].element[=].target.display = ##34###34#</v>
      </c>
    </row>
    <row r="173" spans="2:7" x14ac:dyDescent="0.75">
      <c r="B173" s="14" t="str">
        <f>IF('Results-ConceptMap-1'!S19=0,"//---END",'Results-ConceptMap-1'!S19)</f>
        <v>* group[=].element[=].target.equivalence = #relatedto</v>
      </c>
    </row>
    <row r="174" spans="2:7" x14ac:dyDescent="0.75">
      <c r="B174" s="14" t="str">
        <f>IF('Results-ConceptMap-1'!S20=0,"//---END",'Results-ConceptMap-1'!S20)</f>
        <v/>
      </c>
      <c r="G174" s="10"/>
    </row>
    <row r="175" spans="2:7" x14ac:dyDescent="0.75">
      <c r="B175" s="14" t="str">
        <f>IF('Results-ConceptMap-1'!S21=0,"//---END",'Results-ConceptMap-1'!S21)</f>
        <v>* group[=].element[+].code = #Result.narrative.report</v>
      </c>
    </row>
    <row r="176" spans="2:7" x14ac:dyDescent="0.75">
      <c r="B176" s="14" t="str">
        <f>IF('Results-ConceptMap-1'!S22=0,"//---END",'Results-ConceptMap-1'!S22)</f>
        <v>* group[=].element[=].display = ##34#A.5.1.1 Narrative report##34#</v>
      </c>
    </row>
    <row r="177" spans="2:2" x14ac:dyDescent="0.75">
      <c r="B177" s="14" t="str">
        <f>IF('Results-ConceptMap-1'!S23=0,"//---END",'Results-ConceptMap-1'!S23)</f>
        <v>* group[=].element[=].target.code = #DiagnosticReport.text</v>
      </c>
    </row>
    <row r="178" spans="2:2" x14ac:dyDescent="0.75">
      <c r="B178" s="14" t="str">
        <f>IF('Results-ConceptMap-1'!S24=0,"//---END",'Results-ConceptMap-1'!S24)</f>
        <v>* group[=].element[=].target.display = ##34###34#</v>
      </c>
    </row>
    <row r="179" spans="2:2" x14ac:dyDescent="0.75">
      <c r="B179" s="14" t="str">
        <f>IF('Results-ConceptMap-1'!S25=0,"//---END",'Results-ConceptMap-1'!S25)</f>
        <v>* group[=].element[=].target.equivalence = #relatedto</v>
      </c>
    </row>
    <row r="180" spans="2:2" x14ac:dyDescent="0.75">
      <c r="B180" s="14" t="str">
        <f>IF('Results-ConceptMap-1'!S26=0,"//---END",'Results-ConceptMap-1'!S26)</f>
        <v/>
      </c>
    </row>
    <row r="181" spans="2:2" x14ac:dyDescent="0.75">
      <c r="B181" s="14" t="str">
        <f>IF('Results-ConceptMap-1'!S27=0,"//---END",'Results-ConceptMap-1'!S27)</f>
        <v>* group[=].element[+].code = #Result.narrative.notes</v>
      </c>
    </row>
    <row r="182" spans="2:2" x14ac:dyDescent="0.75">
      <c r="B182" s="14" t="str">
        <f>IF('Results-ConceptMap-1'!S28=0,"//---END",'Results-ConceptMap-1'!S28)</f>
        <v>* group[=].element[=].display = ##34#A.5.1.2 Comments, interpretation and recommendations##34#</v>
      </c>
    </row>
    <row r="183" spans="2:2" x14ac:dyDescent="0.75">
      <c r="B183" s="14" t="str">
        <f>IF('Results-ConceptMap-1'!S29=0,"//---END",'Results-ConceptMap-1'!S29)</f>
        <v>* group[=].element[=].target.code = #DiagnosticReport.conclusion</v>
      </c>
    </row>
    <row r="184" spans="2:2" x14ac:dyDescent="0.75">
      <c r="B184" s="14" t="str">
        <f>IF('Results-ConceptMap-1'!S30=0,"//---END",'Results-ConceptMap-1'!S30)</f>
        <v>* group[=].element[=].target.display = ##34###34#</v>
      </c>
    </row>
    <row r="185" spans="2:2" x14ac:dyDescent="0.75">
      <c r="B185" s="14" t="str">
        <f>IF('Results-ConceptMap-1'!S31=0,"//---END",'Results-ConceptMap-1'!S31)</f>
        <v>* group[=].element[=].target.equivalence = #relatedto</v>
      </c>
    </row>
    <row r="186" spans="2:2" x14ac:dyDescent="0.75">
      <c r="B186" s="14" t="str">
        <f>IF('Results-ConceptMap-1'!S32=0,"//---END",'Results-ConceptMap-1'!S32)</f>
        <v>* group[=].element[=].target.comment = ##34#if related to the overall report conclusions##34#</v>
      </c>
    </row>
    <row r="187" spans="2:2" x14ac:dyDescent="0.75">
      <c r="B187" s="14" t="str">
        <f>IF('Results-ConceptMap-1'!S33=0,"//---END",'Results-ConceptMap-1'!S33)</f>
        <v>* group[=].element[+].code = #Result.observation</v>
      </c>
    </row>
    <row r="188" spans="2:2" x14ac:dyDescent="0.75">
      <c r="B188" s="14" t="str">
        <f>IF('Results-ConceptMap-1'!S34=0,"//---END",'Results-ConceptMap-1'!S34)</f>
        <v>* group[=].element[=].display = ##34#A.5.2 Observation details##34#</v>
      </c>
    </row>
    <row r="189" spans="2:2" x14ac:dyDescent="0.75">
      <c r="B189" s="14" t="str">
        <f>IF('Results-ConceptMap-1'!S35=0,"//---END",'Results-ConceptMap-1'!S35)</f>
        <v>* group[=].element[=].target.code = #DiagnosticReport.result</v>
      </c>
    </row>
    <row r="190" spans="2:2" x14ac:dyDescent="0.75">
      <c r="B190" s="14" t="str">
        <f>IF('Results-ConceptMap-1'!S36=0,"//---END",'Results-ConceptMap-1'!S36)</f>
        <v>* group[=].element[=].target.display = ##34###34#</v>
      </c>
    </row>
    <row r="191" spans="2:2" x14ac:dyDescent="0.75">
      <c r="B191" s="14" t="str">
        <f>IF('Results-ConceptMap-1'!S37=0,"//---END",'Results-ConceptMap-1'!S37)</f>
        <v>* group[=].element[=].target.equivalence = #relatedto</v>
      </c>
    </row>
    <row r="192" spans="2:2" x14ac:dyDescent="0.75">
      <c r="B192" s="14" t="str">
        <f>IF('Results-ConceptMap-1'!S38=0,"//---END",'Results-ConceptMap-1'!S38)</f>
        <v>* group[=].element[=].target.comment = ##34#see details in the Observation group##34#</v>
      </c>
    </row>
    <row r="193" spans="2:2" x14ac:dyDescent="0.75">
      <c r="B193" s="14" t="str">
        <f>IF('Results-ConceptMap-1'!S39=0,"//---END",'Results-ConceptMap-1'!S39)</f>
        <v>* group[=].element[+].code = #Result.observation.dateTime</v>
      </c>
    </row>
    <row r="194" spans="2:2" x14ac:dyDescent="0.75">
      <c r="B194" s="14" t="str">
        <f>IF('Results-ConceptMap-1'!S40=0,"//---END",'Results-ConceptMap-1'!S40)</f>
        <v>* group[=].element[=].display = ##34#A.5.2.1 Observation date##34#</v>
      </c>
    </row>
    <row r="195" spans="2:2" x14ac:dyDescent="0.75">
      <c r="B195" s="14" t="str">
        <f>IF('Results-ConceptMap-1'!S41=0,"//---END",'Results-ConceptMap-1'!S41)</f>
        <v>* group[=].element[=].target.code = #DiagnosticReport.result</v>
      </c>
    </row>
    <row r="196" spans="2:2" x14ac:dyDescent="0.75">
      <c r="B196" s="14" t="str">
        <f>IF('Results-ConceptMap-1'!S42=0,"//---END",'Results-ConceptMap-1'!S42)</f>
        <v>* group[=].element[=].target.display = ##34###34#</v>
      </c>
    </row>
    <row r="197" spans="2:2" x14ac:dyDescent="0.75">
      <c r="B197" s="14" t="str">
        <f>IF('Results-ConceptMap-1'!S43=0,"//---END",'Results-ConceptMap-1'!S43)</f>
        <v>* group[=].element[=].target.equivalence = #relatedto</v>
      </c>
    </row>
    <row r="198" spans="2:2" x14ac:dyDescent="0.75">
      <c r="B198" s="14" t="str">
        <f>IF('Results-ConceptMap-1'!S44=0,"//---END",'Results-ConceptMap-1'!S44)</f>
        <v>* group[=].element[=].target.comment = ##34#see details in the Observation group##34#</v>
      </c>
    </row>
    <row r="199" spans="2:2" x14ac:dyDescent="0.75">
      <c r="B199" s="14" t="str">
        <f>IF('Results-ConceptMap-1'!S45=0,"//---END",'Results-ConceptMap-1'!S45)</f>
        <v>* group[=].element[+].code = #Result.observation.code</v>
      </c>
    </row>
    <row r="200" spans="2:2" x14ac:dyDescent="0.75">
      <c r="B200" s="14" t="str">
        <f>IF('Results-ConceptMap-1'!S46=0,"//---END",'Results-ConceptMap-1'!S46)</f>
        <v>* group[=].element[=].display = ##34#A.5.2.3 Observation code##34#</v>
      </c>
    </row>
    <row r="201" spans="2:2" x14ac:dyDescent="0.75">
      <c r="B201" s="14" t="str">
        <f>IF('Results-ConceptMap-1'!S47=0,"//---END",'Results-ConceptMap-1'!S47)</f>
        <v>* group[=].element[=].target.code = #DiagnosticReport.result</v>
      </c>
    </row>
    <row r="202" spans="2:2" x14ac:dyDescent="0.75">
      <c r="B202" s="14" t="str">
        <f>IF('Results-ConceptMap-1'!S48=0,"//---END",'Results-ConceptMap-1'!S48)</f>
        <v>* group[=].element[=].target.display = ##34###34#</v>
      </c>
    </row>
    <row r="203" spans="2:2" x14ac:dyDescent="0.75">
      <c r="B203" s="14" t="str">
        <f>IF('Results-ConceptMap-1'!S49=0,"//---END",'Results-ConceptMap-1'!S49)</f>
        <v>* group[=].element[=].target.equivalence = #relatedto</v>
      </c>
    </row>
    <row r="204" spans="2:2" x14ac:dyDescent="0.75">
      <c r="B204" s="14" t="str">
        <f>IF('Results-ConceptMap-1'!S50=0,"//---END",'Results-ConceptMap-1'!S50)</f>
        <v>* group[=].element[=].target.comment = ##34#see details in the Observation group##34#</v>
      </c>
    </row>
    <row r="205" spans="2:2" x14ac:dyDescent="0.75">
      <c r="B205" s="14" t="str">
        <f>IF('Results-ConceptMap-1'!S51=0,"//---END",'Results-ConceptMap-1'!S51)</f>
        <v>* group[=].element[+].code = #Result.observation.code.name</v>
      </c>
    </row>
    <row r="206" spans="2:2" x14ac:dyDescent="0.75">
      <c r="B206" s="14" t="str">
        <f>IF('Results-ConceptMap-1'!S52=0,"//---END",'Results-ConceptMap-1'!S52)</f>
        <v>* group[=].element[=].display = ##34#A.5.2.3.1 Observation name##34#</v>
      </c>
    </row>
    <row r="207" spans="2:2" x14ac:dyDescent="0.75">
      <c r="B207" s="14" t="str">
        <f>IF('Results-ConceptMap-1'!S53=0,"//---END",'Results-ConceptMap-1'!S53)</f>
        <v>* group[=].element[=].target.code = #DiagnosticReport.result</v>
      </c>
    </row>
    <row r="208" spans="2:2" x14ac:dyDescent="0.75">
      <c r="B208" s="14" t="str">
        <f>IF('Results-ConceptMap-1'!S54=0,"//---END",'Results-ConceptMap-1'!S54)</f>
        <v>* group[=].element[=].target.display = ##34###34#</v>
      </c>
    </row>
    <row r="209" spans="2:2" x14ac:dyDescent="0.75">
      <c r="B209" s="14" t="str">
        <f>IF('Results-ConceptMap-1'!S55=0,"//---END",'Results-ConceptMap-1'!S55)</f>
        <v>* group[=].element[=].target.equivalence = #relatedto</v>
      </c>
    </row>
    <row r="210" spans="2:2" x14ac:dyDescent="0.75">
      <c r="B210" s="14" t="str">
        <f>IF('Results-ConceptMap-1'!S56=0,"//---END",'Results-ConceptMap-1'!S56)</f>
        <v>* group[=].element[=].target.comment = ##34#see details in the Observation group##34#</v>
      </c>
    </row>
    <row r="211" spans="2:2" x14ac:dyDescent="0.75">
      <c r="B211" s="14" t="str">
        <f>IF('Results-ConceptMap-1'!S57=0,"//---END",'Results-ConceptMap-1'!S57)</f>
        <v>* group[=].element[+].code = #Result.observation.code.originalName</v>
      </c>
    </row>
    <row r="212" spans="2:2" x14ac:dyDescent="0.75">
      <c r="B212" s="14" t="str">
        <f>IF('Results-ConceptMap-1'!S58=0,"//---END",'Results-ConceptMap-1'!S58)</f>
        <v>* group[=].element[=].display = ##34#A.5.2.3.2 Observation original name##34#</v>
      </c>
    </row>
    <row r="213" spans="2:2" x14ac:dyDescent="0.75">
      <c r="B213" s="14" t="str">
        <f>IF('Results-ConceptMap-1'!S59=0,"//---END",'Results-ConceptMap-1'!S59)</f>
        <v>* group[=].element[=].target.code = #DiagnosticReport.result</v>
      </c>
    </row>
    <row r="214" spans="2:2" x14ac:dyDescent="0.75">
      <c r="B214" s="14" t="str">
        <f>IF('Results-ConceptMap-1'!S60=0,"//---END",'Results-ConceptMap-1'!S60)</f>
        <v>* group[=].element[=].target.display = ##34###34#</v>
      </c>
    </row>
    <row r="215" spans="2:2" x14ac:dyDescent="0.75">
      <c r="B215" s="14" t="str">
        <f>IF('Results-ConceptMap-1'!S61=0,"//---END",'Results-ConceptMap-1'!S61)</f>
        <v>* group[=].element[=].target.equivalence = #relatedto</v>
      </c>
    </row>
    <row r="216" spans="2:2" x14ac:dyDescent="0.75">
      <c r="B216" s="14" t="str">
        <f>IF('Results-ConceptMap-1'!S62=0,"//---END",'Results-ConceptMap-1'!S62)</f>
        <v>* group[=].element[=].target.comment = ##34#see details in the Observation group##34#</v>
      </c>
    </row>
    <row r="217" spans="2:2" x14ac:dyDescent="0.75">
      <c r="B217" s="14" t="str">
        <f>IF('Results-ConceptMap-1'!S63=0,"//---END",'Results-ConceptMap-1'!S63)</f>
        <v>* group[=].element[+].code = #Result.observation.code.displayName</v>
      </c>
    </row>
    <row r="218" spans="2:2" x14ac:dyDescent="0.75">
      <c r="B218" s="14" t="str">
        <f>IF('Results-ConceptMap-1'!S64=0,"//---END",'Results-ConceptMap-1'!S64)</f>
        <v>* group[=].element[=].display = ##34#A.5.2.3.3 Observation display name##34#</v>
      </c>
    </row>
    <row r="219" spans="2:2" x14ac:dyDescent="0.75">
      <c r="B219" s="14" t="str">
        <f>IF('Results-ConceptMap-1'!S65=0,"//---END",'Results-ConceptMap-1'!S65)</f>
        <v>* group[=].element[=].target.code = #DiagnosticReport.result</v>
      </c>
    </row>
    <row r="220" spans="2:2" x14ac:dyDescent="0.75">
      <c r="B220" s="14" t="str">
        <f>IF('Results-ConceptMap-1'!S66=0,"//---END",'Results-ConceptMap-1'!S66)</f>
        <v>* group[=].element[=].target.display = ##34###34#</v>
      </c>
    </row>
    <row r="221" spans="2:2" x14ac:dyDescent="0.75">
      <c r="B221" s="14" t="str">
        <f>IF('Results-ConceptMap-1'!S67=0,"//---END",'Results-ConceptMap-1'!S67)</f>
        <v>* group[=].element[=].target.equivalence = #relatedto</v>
      </c>
    </row>
    <row r="222" spans="2:2" x14ac:dyDescent="0.75">
      <c r="B222" s="14" t="str">
        <f>IF('Results-ConceptMap-1'!S68=0,"//---END",'Results-ConceptMap-1'!S68)</f>
        <v>* group[=].element[=].target.comment = ##34#see details in the Observation group##34#</v>
      </c>
    </row>
    <row r="223" spans="2:2" x14ac:dyDescent="0.75">
      <c r="B223" s="14" t="str">
        <f>IF('Results-ConceptMap-1'!S69=0,"//---END",'Results-ConceptMap-1'!S69)</f>
        <v>* group[=].element[+].code = #Result.observation.method</v>
      </c>
    </row>
    <row r="224" spans="2:2" x14ac:dyDescent="0.75">
      <c r="B224" s="14" t="str">
        <f>IF('Results-ConceptMap-1'!S70=0,"//---END",'Results-ConceptMap-1'!S70)</f>
        <v>* group[=].element[=].display = ##34#A.5.2.4 Observation method##34#</v>
      </c>
    </row>
    <row r="225" spans="2:2" x14ac:dyDescent="0.75">
      <c r="B225" s="14" t="str">
        <f>IF('Results-ConceptMap-1'!S71=0,"//---END",'Results-ConceptMap-1'!S71)</f>
        <v>* group[=].element[=].target.code = #DiagnosticReport.result</v>
      </c>
    </row>
    <row r="226" spans="2:2" x14ac:dyDescent="0.75">
      <c r="B226" s="14" t="str">
        <f>IF('Results-ConceptMap-1'!S72=0,"//---END",'Results-ConceptMap-1'!S72)</f>
        <v>* group[=].element[=].target.display = ##34###34#</v>
      </c>
    </row>
    <row r="227" spans="2:2" x14ac:dyDescent="0.75">
      <c r="B227" s="14" t="str">
        <f>IF('Results-ConceptMap-1'!S73=0,"//---END",'Results-ConceptMap-1'!S73)</f>
        <v>* group[=].element[=].target.equivalence = #relatedto</v>
      </c>
    </row>
    <row r="228" spans="2:2" x14ac:dyDescent="0.75">
      <c r="B228" s="14" t="str">
        <f>IF('Results-ConceptMap-1'!S74=0,"//---END",'Results-ConceptMap-1'!S74)</f>
        <v>* group[=].element[=].target.comment = ##34#see details in the Observation group##34#</v>
      </c>
    </row>
    <row r="229" spans="2:2" x14ac:dyDescent="0.75">
      <c r="B229" s="14" t="str">
        <f>IF('Results-ConceptMap-1'!S75=0,"//---END",'Results-ConceptMap-1'!S75)</f>
        <v>* group[=].element[+].code = #Result.observation.device</v>
      </c>
    </row>
    <row r="230" spans="2:2" x14ac:dyDescent="0.75">
      <c r="B230" s="14" t="str">
        <f>IF('Results-ConceptMap-1'!S76=0,"//---END",'Results-ConceptMap-1'!S76)</f>
        <v>* group[=].element[=].display = ##34#A.5.2.5 Observation device##34#</v>
      </c>
    </row>
    <row r="231" spans="2:2" x14ac:dyDescent="0.75">
      <c r="B231" s="14" t="str">
        <f>IF('Results-ConceptMap-1'!S77=0,"//---END",'Results-ConceptMap-1'!S77)</f>
        <v>* group[=].element[=].target.code = #DiagnosticReport.result</v>
      </c>
    </row>
    <row r="232" spans="2:2" x14ac:dyDescent="0.75">
      <c r="B232" s="14" t="str">
        <f>IF('Results-ConceptMap-1'!S78=0,"//---END",'Results-ConceptMap-1'!S78)</f>
        <v>* group[=].element[=].target.display = ##34###34#</v>
      </c>
    </row>
    <row r="233" spans="2:2" x14ac:dyDescent="0.75">
      <c r="B233" s="14" t="str">
        <f>IF('Results-ConceptMap-1'!S79=0,"//---END",'Results-ConceptMap-1'!S79)</f>
        <v>* group[=].element[=].target.equivalence = #relatedto</v>
      </c>
    </row>
    <row r="234" spans="2:2" x14ac:dyDescent="0.75">
      <c r="B234" s="14" t="str">
        <f>IF('Results-ConceptMap-1'!S80=0,"//---END",'Results-ConceptMap-1'!S80)</f>
        <v>* group[=].element[=].target.comment = ##34#see details in the Observation group##34#</v>
      </c>
    </row>
    <row r="235" spans="2:2" x14ac:dyDescent="0.75">
      <c r="B235" s="14" t="str">
        <f>IF('Results-ConceptMap-1'!S81=0,"//---END",'Results-ConceptMap-1'!S81)</f>
        <v>* group[=].element[+].code = #Result.observation.order</v>
      </c>
    </row>
    <row r="236" spans="2:2" x14ac:dyDescent="0.75">
      <c r="B236" s="14" t="str">
        <f>IF('Results-ConceptMap-1'!S82=0,"//---END",'Results-ConceptMap-1'!S82)</f>
        <v>* group[=].element[=].display = ##34#A.5.2.8 Order##34#</v>
      </c>
    </row>
    <row r="237" spans="2:2" x14ac:dyDescent="0.75">
      <c r="B237" s="14" t="str">
        <f>IF('Results-ConceptMap-1'!S83=0,"//---END",'Results-ConceptMap-1'!S83)</f>
        <v>* group[=].element[=].target.code = #DiagnosticReport.result</v>
      </c>
    </row>
    <row r="238" spans="2:2" x14ac:dyDescent="0.75">
      <c r="B238" s="14" t="str">
        <f>IF('Results-ConceptMap-1'!S84=0,"//---END",'Results-ConceptMap-1'!S84)</f>
        <v>* group[=].element[=].target.display = ##34###34#</v>
      </c>
    </row>
    <row r="239" spans="2:2" x14ac:dyDescent="0.75">
      <c r="B239" s="14" t="str">
        <f>IF('Results-ConceptMap-1'!S85=0,"//---END",'Results-ConceptMap-1'!S85)</f>
        <v>* group[=].element[=].target.equivalence = #relatedto</v>
      </c>
    </row>
    <row r="240" spans="2:2" x14ac:dyDescent="0.75">
      <c r="B240" s="14" t="str">
        <f>IF('Results-ConceptMap-1'!S86=0,"//---END",'Results-ConceptMap-1'!S86)</f>
        <v>* group[=].element[=].target.comment = ##34#see details in the Observation group##34#</v>
      </c>
    </row>
    <row r="241" spans="2:2" x14ac:dyDescent="0.75">
      <c r="B241" s="14" t="str">
        <f>IF('Results-ConceptMap-1'!S87=0,"//---END",'Results-ConceptMap-1'!S87)</f>
        <v>* group[=].element[+].code = #Result.observation.performer</v>
      </c>
    </row>
    <row r="242" spans="2:2" x14ac:dyDescent="0.75">
      <c r="B242" s="14" t="str">
        <f>IF('Results-ConceptMap-1'!S88=0,"//---END",'Results-ConceptMap-1'!S88)</f>
        <v>* group[=].element[=].display = ##34#A.5.2.9 Performer##34#</v>
      </c>
    </row>
    <row r="243" spans="2:2" x14ac:dyDescent="0.75">
      <c r="B243" s="14" t="str">
        <f>IF('Results-ConceptMap-1'!S89=0,"//---END",'Results-ConceptMap-1'!S89)</f>
        <v>* group[=].element[=].target.code = #DiagnosticReport.result</v>
      </c>
    </row>
    <row r="244" spans="2:2" x14ac:dyDescent="0.75">
      <c r="B244" s="14" t="str">
        <f>IF('Results-ConceptMap-1'!S90=0,"//---END",'Results-ConceptMap-1'!S90)</f>
        <v>* group[=].element[=].target.display = ##34###34#</v>
      </c>
    </row>
    <row r="245" spans="2:2" x14ac:dyDescent="0.75">
      <c r="B245" s="14" t="str">
        <f>IF('Results-ConceptMap-1'!S91=0,"//---END",'Results-ConceptMap-1'!S91)</f>
        <v>* group[=].element[=].target.equivalence = #relatedto</v>
      </c>
    </row>
    <row r="246" spans="2:2" x14ac:dyDescent="0.75">
      <c r="B246" s="14" t="str">
        <f>IF('Results-ConceptMap-1'!S92=0,"//---END",'Results-ConceptMap-1'!S92)</f>
        <v>* group[=].element[=].target.comment = ##34#see details in the Observation group##34#</v>
      </c>
    </row>
    <row r="247" spans="2:2" x14ac:dyDescent="0.75">
      <c r="B247" s="14" t="str">
        <f>IF('Results-ConceptMap-1'!S93=0,"//---END",'Results-ConceptMap-1'!S93)</f>
        <v>* group[=].element[+].code = #Result.observation.reporter</v>
      </c>
    </row>
    <row r="248" spans="2:2" x14ac:dyDescent="0.75">
      <c r="B248" s="14" t="str">
        <f>IF('Results-ConceptMap-1'!S94=0,"//---END",'Results-ConceptMap-1'!S94)</f>
        <v>* group[=].element[=].display = ##34#A.5.2.10 Reporter##34#</v>
      </c>
    </row>
    <row r="249" spans="2:2" x14ac:dyDescent="0.75">
      <c r="B249" s="14" t="str">
        <f>IF('Results-ConceptMap-1'!S95=0,"//---END",'Results-ConceptMap-1'!S95)</f>
        <v>* group[=].element[=].target.code = #DiagnosticReport.result</v>
      </c>
    </row>
    <row r="250" spans="2:2" x14ac:dyDescent="0.75">
      <c r="B250" s="14" t="str">
        <f>IF('Results-ConceptMap-1'!S96=0,"//---END",'Results-ConceptMap-1'!S96)</f>
        <v>* group[=].element[=].target.display = ##34###34#</v>
      </c>
    </row>
    <row r="251" spans="2:2" x14ac:dyDescent="0.75">
      <c r="B251" s="14" t="str">
        <f>IF('Results-ConceptMap-1'!S97=0,"//---END",'Results-ConceptMap-1'!S97)</f>
        <v>* group[=].element[=].target.equivalence = #relatedto</v>
      </c>
    </row>
    <row r="252" spans="2:2" x14ac:dyDescent="0.75">
      <c r="B252" s="14" t="str">
        <f>IF('Results-ConceptMap-1'!S98=0,"//---END",'Results-ConceptMap-1'!S98)</f>
        <v>* group[=].element[=].target.comment = ##34#see details in the Observation group##34#</v>
      </c>
    </row>
    <row r="253" spans="2:2" x14ac:dyDescent="0.75">
      <c r="B253" s="14" t="str">
        <f>IF('Results-ConceptMap-1'!S99=0,"//---END",'Results-ConceptMap-1'!S99)</f>
        <v>* group[=].element[+].code = #Result.observation.result</v>
      </c>
    </row>
    <row r="254" spans="2:2" x14ac:dyDescent="0.75">
      <c r="B254" s="14" t="str">
        <f>IF('Results-ConceptMap-1'!S100=0,"//---END",'Results-ConceptMap-1'!S100)</f>
        <v>* group[=].element[=].display = ##34#A.5.2.11 Observation result##34#</v>
      </c>
    </row>
    <row r="255" spans="2:2" x14ac:dyDescent="0.75">
      <c r="B255" s="14" t="str">
        <f>IF('Results-ConceptMap-1'!S101=0,"//---END",'Results-ConceptMap-1'!S101)</f>
        <v>* group[=].element[=].target.code = #DiagnosticReport.result</v>
      </c>
    </row>
    <row r="256" spans="2:2" x14ac:dyDescent="0.75">
      <c r="B256" s="14" t="str">
        <f>IF('Results-ConceptMap-1'!S102=0,"//---END",'Results-ConceptMap-1'!S102)</f>
        <v>* group[=].element[=].target.display = ##34###34#</v>
      </c>
    </row>
    <row r="257" spans="2:2" x14ac:dyDescent="0.75">
      <c r="B257" s="14" t="str">
        <f>IF('Results-ConceptMap-1'!S103=0,"//---END",'Results-ConceptMap-1'!S103)</f>
        <v>* group[=].element[=].target.equivalence = #relatedto</v>
      </c>
    </row>
    <row r="258" spans="2:2" x14ac:dyDescent="0.75">
      <c r="B258" s="14" t="str">
        <f>IF('Results-ConceptMap-1'!S104=0,"//---END",'Results-ConceptMap-1'!S104)</f>
        <v>* group[=].element[=].target.comment = ##34#see details in the Observation group##34#</v>
      </c>
    </row>
    <row r="259" spans="2:2" x14ac:dyDescent="0.75">
      <c r="B259" s="14" t="str">
        <f>IF('Results-ConceptMap-1'!S105=0,"//---END",'Results-ConceptMap-1'!S105)</f>
        <v>* group[=].element[+].code = #Result.observation.interpretation</v>
      </c>
    </row>
    <row r="260" spans="2:2" x14ac:dyDescent="0.75">
      <c r="B260" s="14" t="str">
        <f>IF('Results-ConceptMap-1'!S106=0,"//---END",'Results-ConceptMap-1'!S106)</f>
        <v>* group[=].element[=].display = ##34#A.5.2.12 Observation interpretation##34#</v>
      </c>
    </row>
    <row r="261" spans="2:2" x14ac:dyDescent="0.75">
      <c r="B261" s="14" t="str">
        <f>IF('Results-ConceptMap-1'!S107=0,"//---END",'Results-ConceptMap-1'!S107)</f>
        <v>* group[=].element[=].target.code = #DiagnosticReport.result</v>
      </c>
    </row>
    <row r="262" spans="2:2" x14ac:dyDescent="0.75">
      <c r="B262" s="14" t="str">
        <f>IF('Results-ConceptMap-1'!S108=0,"//---END",'Results-ConceptMap-1'!S108)</f>
        <v>* group[=].element[=].target.display = ##34###34#</v>
      </c>
    </row>
    <row r="263" spans="2:2" x14ac:dyDescent="0.75">
      <c r="B263" s="14" t="str">
        <f>IF('Results-ConceptMap-1'!S109=0,"//---END",'Results-ConceptMap-1'!S109)</f>
        <v>* group[=].element[=].target.equivalence = #relatedto</v>
      </c>
    </row>
    <row r="264" spans="2:2" x14ac:dyDescent="0.75">
      <c r="B264" s="14" t="str">
        <f>IF('Results-ConceptMap-1'!S110=0,"//---END",'Results-ConceptMap-1'!S110)</f>
        <v>* group[=].element[=].target.comment = ##34#see details in the Observation group##34#</v>
      </c>
    </row>
    <row r="265" spans="2:2" x14ac:dyDescent="0.75">
      <c r="B265" s="14" t="str">
        <f>IF('Results-ConceptMap-1'!S111=0,"//---END",'Results-ConceptMap-1'!S111)</f>
        <v>* group[=].element[+].code = #Result.observation.description</v>
      </c>
    </row>
    <row r="266" spans="2:2" x14ac:dyDescent="0.75">
      <c r="B266" s="14" t="str">
        <f>IF('Results-ConceptMap-1'!S112=0,"//---END",'Results-ConceptMap-1'!S112)</f>
        <v>* group[=].element[=].display = ##34#A.5.2.13 Result description##34#</v>
      </c>
    </row>
    <row r="267" spans="2:2" x14ac:dyDescent="0.75">
      <c r="B267" s="14" t="str">
        <f>IF('Results-ConceptMap-1'!S113=0,"//---END",'Results-ConceptMap-1'!S113)</f>
        <v>* group[=].element[=].target.code = #DiagnosticReport.result</v>
      </c>
    </row>
    <row r="268" spans="2:2" x14ac:dyDescent="0.75">
      <c r="B268" s="14" t="str">
        <f>IF('Results-ConceptMap-1'!S114=0,"//---END",'Results-ConceptMap-1'!S114)</f>
        <v>* group[=].element[=].target.display = ##34###34#</v>
      </c>
    </row>
    <row r="269" spans="2:2" x14ac:dyDescent="0.75">
      <c r="B269" s="14" t="str">
        <f>IF('Results-ConceptMap-1'!S115=0,"//---END",'Results-ConceptMap-1'!S115)</f>
        <v>* group[=].element[=].target.equivalence = #relatedto</v>
      </c>
    </row>
    <row r="270" spans="2:2" x14ac:dyDescent="0.75">
      <c r="B270" s="14" t="str">
        <f>IF('Results-ConceptMap-1'!S116=0,"//---END",'Results-ConceptMap-1'!S116)</f>
        <v>* group[=].element[=].target.comment = ##34#see details in the Observation group##34#</v>
      </c>
    </row>
    <row r="271" spans="2:2" x14ac:dyDescent="0.75">
      <c r="B271" s="14" t="str">
        <f>IF('Results-ConceptMap-1'!S117=0,"//---END",'Results-ConceptMap-1'!S117)</f>
        <v>* group[=].element[+].code = #Result.observation.accreditationStatus</v>
      </c>
    </row>
    <row r="272" spans="2:2" x14ac:dyDescent="0.75">
      <c r="B272" s="14" t="str">
        <f>IF('Results-ConceptMap-1'!S118=0,"//---END",'Results-ConceptMap-1'!S118)</f>
        <v>* group[=].element[=].display = ##34#A.5.2.14 Accreditation status##34#</v>
      </c>
    </row>
    <row r="273" spans="2:2" x14ac:dyDescent="0.75">
      <c r="B273" s="14" t="str">
        <f>IF('Results-ConceptMap-1'!S119=0,"//---END",'Results-ConceptMap-1'!S119)</f>
        <v>* group[=].element[=].target.code = #DiagnosticReport.result</v>
      </c>
    </row>
    <row r="274" spans="2:2" x14ac:dyDescent="0.75">
      <c r="B274" s="14" t="str">
        <f>IF('Results-ConceptMap-1'!S120=0,"//---END",'Results-ConceptMap-1'!S120)</f>
        <v>* group[=].element[=].target.display = ##34###34#</v>
      </c>
    </row>
    <row r="275" spans="2:2" x14ac:dyDescent="0.75">
      <c r="B275" s="14" t="str">
        <f>IF('Results-ConceptMap-1'!S121=0,"//---END",'Results-ConceptMap-1'!S121)</f>
        <v>* group[=].element[=].target.equivalence = #relatedto</v>
      </c>
    </row>
    <row r="276" spans="2:2" x14ac:dyDescent="0.75">
      <c r="B276" s="14" t="str">
        <f>IF('Results-ConceptMap-1'!S122=0,"//---END",'Results-ConceptMap-1'!S122)</f>
        <v>* group[=].element[=].target.comment = ##34#see details in the Observation group##34#</v>
      </c>
    </row>
    <row r="277" spans="2:2" x14ac:dyDescent="0.75">
      <c r="B277" s="14" t="str">
        <f>IF('Results-ConceptMap-1'!S123=0,"//---END",'Results-ConceptMap-1'!S123)</f>
        <v>//---END</v>
      </c>
    </row>
    <row r="278" spans="2:2" x14ac:dyDescent="0.75">
      <c r="B278" s="14" t="str">
        <f>IF('Results-ConceptMap-1'!S124=0,"//---END",'Results-ConceptMap-1'!S124)</f>
        <v>//---END</v>
      </c>
    </row>
    <row r="279" spans="2:2" x14ac:dyDescent="0.75">
      <c r="B279" s="14" t="str">
        <f>IF('Results-ConceptMap-1'!S125=0,"//---END",'Results-ConceptMap-1'!S125)</f>
        <v>//---END</v>
      </c>
    </row>
    <row r="280" spans="2:2" x14ac:dyDescent="0.75">
      <c r="B280" s="14" t="str">
        <f>IF('Results-ConceptMap-1'!S126=0,"//---END",'Results-ConceptMap-1'!S126)</f>
        <v>//---END</v>
      </c>
    </row>
    <row r="283" spans="2:2" x14ac:dyDescent="0.75">
      <c r="B283" s="77"/>
    </row>
    <row r="284" spans="2:2" x14ac:dyDescent="0.75">
      <c r="B284" s="79" t="str">
        <f>"* group[+].source = ##34#"&amp;'Results-ConceptMap-2'!E6&amp;"##34#"</f>
        <v>* group[+].source = ##34#http://hl7.eu/fhir/laboratory/StructureDefinition/Result##34#</v>
      </c>
    </row>
    <row r="285" spans="2:2" x14ac:dyDescent="0.75">
      <c r="B285" s="79" t="str">
        <f>"* group[=].target = ##34#"&amp;'Results-ConceptMap-2'!E7&amp;"##34#"</f>
        <v>* group[=].target = ##34#http://hl7.eu/fhir/laboratory/StructureDefinition/Composition-eu-lab##34#</v>
      </c>
    </row>
    <row r="286" spans="2:2" x14ac:dyDescent="0.75">
      <c r="B286" s="81"/>
    </row>
    <row r="287" spans="2:2" x14ac:dyDescent="0.75">
      <c r="B287" s="14" t="str">
        <f>IF('Results-ConceptMap-2'!S15=0,"//---END",'Results-ConceptMap-2'!S15)</f>
        <v>* group[=].element[+].code = #Result.narrative</v>
      </c>
    </row>
    <row r="288" spans="2:2" x14ac:dyDescent="0.75">
      <c r="B288" s="14" t="str">
        <f>IF('Results-ConceptMap-2'!S16=0,"//---END",'Results-ConceptMap-2'!S16)</f>
        <v>* group[=].element[=].display = ##34#A.5.1 Laboratory report narrative##34#</v>
      </c>
    </row>
    <row r="289" spans="2:2" x14ac:dyDescent="0.75">
      <c r="B289" s="14" t="str">
        <f>IF('Results-ConceptMap-2'!S17=0,"//---END",'Results-ConceptMap-2'!S17)</f>
        <v>* group[=].element[=].target.code = #Composition</v>
      </c>
    </row>
    <row r="290" spans="2:2" x14ac:dyDescent="0.75">
      <c r="B290" s="14" t="str">
        <f>IF('Results-ConceptMap-2'!S18=0,"//---END",'Results-ConceptMap-2'!S18)</f>
        <v>* group[=].element[=].target.display = ##34###34#</v>
      </c>
    </row>
    <row r="291" spans="2:2" x14ac:dyDescent="0.75">
      <c r="B291" s="14" t="str">
        <f>IF('Results-ConceptMap-2'!S19=0,"//---END",'Results-ConceptMap-2'!S19)</f>
        <v>* group[=].element[=].target.equivalence = #relatedto</v>
      </c>
    </row>
    <row r="292" spans="2:2" x14ac:dyDescent="0.75">
      <c r="B292" s="14" t="str">
        <f>IF('Results-ConceptMap-2'!S20=0,"//---END",'Results-ConceptMap-2'!S20)</f>
        <v/>
      </c>
    </row>
    <row r="293" spans="2:2" x14ac:dyDescent="0.75">
      <c r="B293" s="14" t="str">
        <f>IF('Results-ConceptMap-2'!S21=0,"//---END",'Results-ConceptMap-2'!S21)</f>
        <v>* group[=].element[+].code = #Result.narrative.report</v>
      </c>
    </row>
    <row r="294" spans="2:2" x14ac:dyDescent="0.75">
      <c r="B294" s="14" t="str">
        <f>IF('Results-ConceptMap-2'!S22=0,"//---END",'Results-ConceptMap-2'!S22)</f>
        <v>* group[=].element[=].display = ##34#A.5.1.1 Narrative report##34#</v>
      </c>
    </row>
    <row r="295" spans="2:2" x14ac:dyDescent="0.75">
      <c r="B295" s="14" t="str">
        <f>IF('Results-ConceptMap-2'!S23=0,"//---END",'Results-ConceptMap-2'!S23)</f>
        <v>* group[=].element[=].target.code = #Composition.text</v>
      </c>
    </row>
    <row r="296" spans="2:2" x14ac:dyDescent="0.75">
      <c r="B296" s="14" t="str">
        <f>IF('Results-ConceptMap-2'!S24=0,"//---END",'Results-ConceptMap-2'!S24)</f>
        <v>* group[=].element[=].target.display = ##34###34#</v>
      </c>
    </row>
    <row r="297" spans="2:2" x14ac:dyDescent="0.75">
      <c r="B297" s="14" t="str">
        <f>IF('Results-ConceptMap-2'!S25=0,"//---END",'Results-ConceptMap-2'!S25)</f>
        <v>* group[=].element[=].target.equivalence = #relatedto</v>
      </c>
    </row>
    <row r="298" spans="2:2" x14ac:dyDescent="0.75">
      <c r="B298" s="14" t="str">
        <f>IF('Results-ConceptMap-2'!S26=0,"//---END",'Results-ConceptMap-2'!S26)</f>
        <v/>
      </c>
    </row>
    <row r="299" spans="2:2" x14ac:dyDescent="0.75">
      <c r="B299" s="14" t="str">
        <f>IF('Results-ConceptMap-2'!S27=0,"//---END",'Results-ConceptMap-2'!S27)</f>
        <v>* group[=].element[+].code = #Result.narrative.report</v>
      </c>
    </row>
    <row r="300" spans="2:2" x14ac:dyDescent="0.75">
      <c r="B300" s="14" t="str">
        <f>IF('Results-ConceptMap-2'!S28=0,"//---END",'Results-ConceptMap-2'!S28)</f>
        <v>* group[=].element[=].display = ##34#A.5.1.1 Narrative report##34#</v>
      </c>
    </row>
    <row r="301" spans="2:2" x14ac:dyDescent="0.75">
      <c r="B301" s="14" t="str">
        <f>IF('Results-ConceptMap-2'!S29=0,"//---END",'Results-ConceptMap-2'!S29)</f>
        <v>* group[=].element[=].target.code = #Composition.section:lab-no-subsections.text</v>
      </c>
    </row>
    <row r="302" spans="2:2" x14ac:dyDescent="0.75">
      <c r="B302" s="14" t="str">
        <f>IF('Results-ConceptMap-2'!S30=0,"//---END",'Results-ConceptMap-2'!S30)</f>
        <v>* group[=].element[=].target.display = ##34###34#</v>
      </c>
    </row>
    <row r="303" spans="2:2" x14ac:dyDescent="0.75">
      <c r="B303" s="14" t="str">
        <f>IF('Results-ConceptMap-2'!S31=0,"//---END",'Results-ConceptMap-2'!S31)</f>
        <v>* group[=].element[=].target.equivalence = #relatedto</v>
      </c>
    </row>
    <row r="304" spans="2:2" x14ac:dyDescent="0.75">
      <c r="B304" s="14" t="str">
        <f>IF('Results-ConceptMap-2'!S32=0,"//---END",'Results-ConceptMap-2'!S32)</f>
        <v>* group[=].element[=].target.comment = ##34#if single section##34#</v>
      </c>
    </row>
    <row r="305" spans="2:2" x14ac:dyDescent="0.75">
      <c r="B305" s="14" t="str">
        <f>IF('Results-ConceptMap-2'!S33=0,"//---END",'Results-ConceptMap-2'!S33)</f>
        <v>* group[=].element[+].code = #Result.narrative.report</v>
      </c>
    </row>
    <row r="306" spans="2:2" x14ac:dyDescent="0.75">
      <c r="B306" s="14" t="str">
        <f>IF('Results-ConceptMap-2'!S34=0,"//---END",'Results-ConceptMap-2'!S34)</f>
        <v>* group[=].element[=].display = ##34#A.5.1.1 Narrative report##34#</v>
      </c>
    </row>
    <row r="307" spans="2:2" x14ac:dyDescent="0.75">
      <c r="B307" s="14" t="str">
        <f>IF('Results-ConceptMap-2'!S35=0,"//---END",'Results-ConceptMap-2'!S35)</f>
        <v>* group[=].element[=].target.code = #Composition.section:lab-subsections.section.text</v>
      </c>
    </row>
    <row r="308" spans="2:2" x14ac:dyDescent="0.75">
      <c r="B308" s="14" t="str">
        <f>IF('Results-ConceptMap-2'!S36=0,"//---END",'Results-ConceptMap-2'!S36)</f>
        <v>* group[=].element[=].target.display = ##34###34#</v>
      </c>
    </row>
    <row r="309" spans="2:2" x14ac:dyDescent="0.75">
      <c r="B309" s="14" t="str">
        <f>IF('Results-ConceptMap-2'!S37=0,"//---END",'Results-ConceptMap-2'!S37)</f>
        <v>* group[=].element[=].target.equivalence = #relatedto</v>
      </c>
    </row>
    <row r="310" spans="2:2" x14ac:dyDescent="0.75">
      <c r="B310" s="14" t="str">
        <f>IF('Results-ConceptMap-2'!S38=0,"//---END",'Results-ConceptMap-2'!S38)</f>
        <v>* group[=].element[=].target.comment = ##34#if multiple sections##34#</v>
      </c>
    </row>
    <row r="311" spans="2:2" x14ac:dyDescent="0.75">
      <c r="B311" s="14" t="str">
        <f>IF('Results-ConceptMap-2'!S39=0,"//---END",'Results-ConceptMap-2'!S39)</f>
        <v>* group[=].element[+].code = #Result.narrative.notes</v>
      </c>
    </row>
    <row r="312" spans="2:2" x14ac:dyDescent="0.75">
      <c r="B312" s="14" t="str">
        <f>IF('Results-ConceptMap-2'!S40=0,"//---END",'Results-ConceptMap-2'!S40)</f>
        <v>* group[=].element[=].display = ##34#A.5.1.2 Comments, interpretation and recommendations##34#</v>
      </c>
    </row>
    <row r="313" spans="2:2" x14ac:dyDescent="0.75">
      <c r="B313" s="14" t="str">
        <f>IF('Results-ConceptMap-2'!S41=0,"//---END",'Results-ConceptMap-2'!S41)</f>
        <v>* group[=].element[=].target.code = #Composition.section:lab-no-subsections.text</v>
      </c>
    </row>
    <row r="314" spans="2:2" x14ac:dyDescent="0.75">
      <c r="B314" s="14" t="str">
        <f>IF('Results-ConceptMap-2'!S42=0,"//---END",'Results-ConceptMap-2'!S42)</f>
        <v>* group[=].element[=].target.display = ##34###34#</v>
      </c>
    </row>
    <row r="315" spans="2:2" x14ac:dyDescent="0.75">
      <c r="B315" s="14" t="str">
        <f>IF('Results-ConceptMap-2'!S43=0,"//---END",'Results-ConceptMap-2'!S43)</f>
        <v>* group[=].element[=].target.equivalence = #relatedto</v>
      </c>
    </row>
    <row r="316" spans="2:2" x14ac:dyDescent="0.75">
      <c r="B316" s="14" t="str">
        <f>IF('Results-ConceptMap-2'!S44=0,"//---END",'Results-ConceptMap-2'!S44)</f>
        <v>* group[=].element[=].target.comment = ##34#if single section##34#</v>
      </c>
    </row>
    <row r="317" spans="2:2" x14ac:dyDescent="0.75">
      <c r="B317" s="14" t="str">
        <f>IF('Results-ConceptMap-2'!S45=0,"//---END",'Results-ConceptMap-2'!S45)</f>
        <v>* group[=].element[+].code = #Result.narrative.notes</v>
      </c>
    </row>
    <row r="318" spans="2:2" x14ac:dyDescent="0.75">
      <c r="B318" s="14" t="str">
        <f>IF('Results-ConceptMap-2'!S46=0,"//---END",'Results-ConceptMap-2'!S46)</f>
        <v>* group[=].element[=].display = ##34#A.5.1.2 Comments, interpretation and recommendations##34#</v>
      </c>
    </row>
    <row r="319" spans="2:2" x14ac:dyDescent="0.75">
      <c r="B319" s="14" t="str">
        <f>IF('Results-ConceptMap-2'!S47=0,"//---END",'Results-ConceptMap-2'!S47)</f>
        <v>* group[=].element[=].target.code = #Composition.section:lab-subsections.section.text</v>
      </c>
    </row>
    <row r="320" spans="2:2" x14ac:dyDescent="0.75">
      <c r="B320" s="14" t="str">
        <f>IF('Results-ConceptMap-2'!S48=0,"//---END",'Results-ConceptMap-2'!S48)</f>
        <v>* group[=].element[=].target.display = ##34###34#</v>
      </c>
    </row>
    <row r="321" spans="2:2" x14ac:dyDescent="0.75">
      <c r="B321" s="14" t="str">
        <f>IF('Results-ConceptMap-2'!S49=0,"//---END",'Results-ConceptMap-2'!S49)</f>
        <v>* group[=].element[=].target.equivalence = #relatedto</v>
      </c>
    </row>
    <row r="322" spans="2:2" x14ac:dyDescent="0.75">
      <c r="B322" s="14" t="str">
        <f>IF('Results-ConceptMap-2'!S50=0,"//---END",'Results-ConceptMap-2'!S50)</f>
        <v>* group[=].element[=].target.comment = ##34#if multiple sections##34#</v>
      </c>
    </row>
    <row r="323" spans="2:2" x14ac:dyDescent="0.75">
      <c r="B323" s="14" t="str">
        <f>IF('Results-ConceptMap-2'!S51=0,"//---END",'Results-ConceptMap-2'!S51)</f>
        <v>* group[=].element[+].code = #Result.observation</v>
      </c>
    </row>
    <row r="324" spans="2:2" x14ac:dyDescent="0.75">
      <c r="B324" s="14" t="str">
        <f>IF('Results-ConceptMap-2'!S52=0,"//---END",'Results-ConceptMap-2'!S52)</f>
        <v>* group[=].element[=].display = ##34#A.5.2 Observation details##34#</v>
      </c>
    </row>
    <row r="325" spans="2:2" x14ac:dyDescent="0.75">
      <c r="B325" s="14" t="str">
        <f>IF('Results-ConceptMap-2'!S53=0,"//---END",'Results-ConceptMap-2'!S53)</f>
        <v>* group[=].element[=].target.code = #Composition.section:lab-no-subsections.entry</v>
      </c>
    </row>
    <row r="326" spans="2:2" x14ac:dyDescent="0.75">
      <c r="B326" s="14" t="str">
        <f>IF('Results-ConceptMap-2'!S54=0,"//---END",'Results-ConceptMap-2'!S54)</f>
        <v>* group[=].element[=].target.display = ##34###34#</v>
      </c>
    </row>
    <row r="327" spans="2:2" x14ac:dyDescent="0.75">
      <c r="B327" s="14" t="str">
        <f>IF('Results-ConceptMap-2'!S55=0,"//---END",'Results-ConceptMap-2'!S55)</f>
        <v>* group[=].element[=].target.equivalence = #relatedto</v>
      </c>
    </row>
    <row r="328" spans="2:2" x14ac:dyDescent="0.75">
      <c r="B328" s="14" t="str">
        <f>IF('Results-ConceptMap-2'!S56=0,"//---END",'Results-ConceptMap-2'!S56)</f>
        <v>* group[=].element[=].target.comment = ##34#if single section##34#</v>
      </c>
    </row>
    <row r="329" spans="2:2" x14ac:dyDescent="0.75">
      <c r="B329" s="14" t="str">
        <f>IF('Results-ConceptMap-2'!S57=0,"//---END",'Results-ConceptMap-2'!S57)</f>
        <v>* group[=].element[+].code = #Result.observation</v>
      </c>
    </row>
    <row r="330" spans="2:2" x14ac:dyDescent="0.75">
      <c r="B330" s="14" t="str">
        <f>IF('Results-ConceptMap-2'!S58=0,"//---END",'Results-ConceptMap-2'!S58)</f>
        <v>* group[=].element[=].display = ##34#A.5.2 Observation details##34#</v>
      </c>
    </row>
    <row r="331" spans="2:2" x14ac:dyDescent="0.75">
      <c r="B331" s="14" t="str">
        <f>IF('Results-ConceptMap-2'!S59=0,"//---END",'Results-ConceptMap-2'!S59)</f>
        <v>* group[=].element[=].target.code = #Composition.section:lab-subsections.section.entry</v>
      </c>
    </row>
    <row r="332" spans="2:2" x14ac:dyDescent="0.75">
      <c r="B332" s="14" t="str">
        <f>IF('Results-ConceptMap-2'!S60=0,"//---END",'Results-ConceptMap-2'!S60)</f>
        <v>* group[=].element[=].target.display = ##34###34#</v>
      </c>
    </row>
    <row r="333" spans="2:2" x14ac:dyDescent="0.75">
      <c r="B333" s="14" t="str">
        <f>IF('Results-ConceptMap-2'!S61=0,"//---END",'Results-ConceptMap-2'!S61)</f>
        <v>* group[=].element[=].target.equivalence = #relatedto</v>
      </c>
    </row>
    <row r="334" spans="2:2" x14ac:dyDescent="0.75">
      <c r="B334" s="14" t="str">
        <f>IF('Results-ConceptMap-2'!S62=0,"//---END",'Results-ConceptMap-2'!S62)</f>
        <v>* group[=].element[=].target.comment = ##34#if multiple sections##34#</v>
      </c>
    </row>
    <row r="335" spans="2:2" x14ac:dyDescent="0.75">
      <c r="B335" s="14" t="str">
        <f>IF('Results-ConceptMap-2'!S63=0,"//---END",'Results-ConceptMap-2'!S63)</f>
        <v>* group[=].element[+].code = #Result.observation.dateTime</v>
      </c>
    </row>
    <row r="336" spans="2:2" x14ac:dyDescent="0.75">
      <c r="B336" s="14" t="str">
        <f>IF('Results-ConceptMap-2'!S64=0,"//---END",'Results-ConceptMap-2'!S64)</f>
        <v>* group[=].element[=].display = ##34#A.5.2.1 Observation date##34#</v>
      </c>
    </row>
    <row r="337" spans="2:2" x14ac:dyDescent="0.75">
      <c r="B337" s="14" t="str">
        <f>IF('Results-ConceptMap-2'!S65=0,"//---END",'Results-ConceptMap-2'!S65)</f>
        <v>* group[=].element[=].target.code = #Composition.section:lab-no-subsections.entry</v>
      </c>
    </row>
    <row r="338" spans="2:2" x14ac:dyDescent="0.75">
      <c r="B338" s="14" t="str">
        <f>IF('Results-ConceptMap-2'!S66=0,"//---END",'Results-ConceptMap-2'!S66)</f>
        <v>* group[=].element[=].target.display = ##34###34#</v>
      </c>
    </row>
    <row r="339" spans="2:2" x14ac:dyDescent="0.75">
      <c r="B339" s="14" t="str">
        <f>IF('Results-ConceptMap-2'!S67=0,"//---END",'Results-ConceptMap-2'!S67)</f>
        <v>* group[=].element[=].target.equivalence = #relatedto</v>
      </c>
    </row>
    <row r="340" spans="2:2" x14ac:dyDescent="0.75">
      <c r="B340" s="14" t="str">
        <f>IF('Results-ConceptMap-2'!S68=0,"//---END",'Results-ConceptMap-2'!S68)</f>
        <v>* group[=].element[=].target.comment = ##34#see details in the Observation group##34#</v>
      </c>
    </row>
    <row r="341" spans="2:2" x14ac:dyDescent="0.75">
      <c r="B341" s="14" t="str">
        <f>IF('Results-ConceptMap-2'!S69=0,"//---END",'Results-ConceptMap-2'!S69)</f>
        <v>* group[=].element[+].code = #Result.observation.code</v>
      </c>
    </row>
    <row r="342" spans="2:2" x14ac:dyDescent="0.75">
      <c r="B342" s="14" t="str">
        <f>IF('Results-ConceptMap-2'!S70=0,"//---END",'Results-ConceptMap-2'!S70)</f>
        <v>* group[=].element[=].display = ##34#A.5.2.3 Observation code##34#</v>
      </c>
    </row>
    <row r="343" spans="2:2" x14ac:dyDescent="0.75">
      <c r="B343" s="14" t="str">
        <f>IF('Results-ConceptMap-2'!S71=0,"//---END",'Results-ConceptMap-2'!S71)</f>
        <v>* group[=].element[=].target.code = #Composition.section:lab-no-subsections.entry</v>
      </c>
    </row>
    <row r="344" spans="2:2" x14ac:dyDescent="0.75">
      <c r="B344" s="14" t="str">
        <f>IF('Results-ConceptMap-2'!S72=0,"//---END",'Results-ConceptMap-2'!S72)</f>
        <v>* group[=].element[=].target.display = ##34###34#</v>
      </c>
    </row>
    <row r="345" spans="2:2" x14ac:dyDescent="0.75">
      <c r="B345" s="14" t="str">
        <f>IF('Results-ConceptMap-2'!S73=0,"//---END",'Results-ConceptMap-2'!S73)</f>
        <v>* group[=].element[=].target.equivalence = #relatedto</v>
      </c>
    </row>
    <row r="346" spans="2:2" x14ac:dyDescent="0.75">
      <c r="B346" s="14" t="str">
        <f>IF('Results-ConceptMap-2'!S74=0,"//---END",'Results-ConceptMap-2'!S74)</f>
        <v>* group[=].element[=].target.comment = ##34#see details in the Observation group##34#</v>
      </c>
    </row>
    <row r="347" spans="2:2" x14ac:dyDescent="0.75">
      <c r="B347" s="14" t="str">
        <f>IF('Results-ConceptMap-2'!S75=0,"//---END",'Results-ConceptMap-2'!S75)</f>
        <v>* group[=].element[+].code = #Result.observation.code.name</v>
      </c>
    </row>
    <row r="348" spans="2:2" x14ac:dyDescent="0.75">
      <c r="B348" s="14" t="str">
        <f>IF('Results-ConceptMap-2'!S76=0,"//---END",'Results-ConceptMap-2'!S76)</f>
        <v>* group[=].element[=].display = ##34#A.5.2.3.1 Observation name##34#</v>
      </c>
    </row>
    <row r="349" spans="2:2" x14ac:dyDescent="0.75">
      <c r="B349" s="14" t="str">
        <f>IF('Results-ConceptMap-2'!S77=0,"//---END",'Results-ConceptMap-2'!S77)</f>
        <v>* group[=].element[=].target.code = #Composition.section:lab-no-subsections.entry</v>
      </c>
    </row>
    <row r="350" spans="2:2" x14ac:dyDescent="0.75">
      <c r="B350" s="14" t="str">
        <f>IF('Results-ConceptMap-2'!S78=0,"//---END",'Results-ConceptMap-2'!S78)</f>
        <v>* group[=].element[=].target.display = ##34###34#</v>
      </c>
    </row>
    <row r="351" spans="2:2" x14ac:dyDescent="0.75">
      <c r="B351" s="14" t="str">
        <f>IF('Results-ConceptMap-2'!S79=0,"//---END",'Results-ConceptMap-2'!S79)</f>
        <v>* group[=].element[=].target.equivalence = #relatedto</v>
      </c>
    </row>
    <row r="352" spans="2:2" x14ac:dyDescent="0.75">
      <c r="B352" s="14" t="str">
        <f>IF('Results-ConceptMap-2'!S80=0,"//---END",'Results-ConceptMap-2'!S80)</f>
        <v>* group[=].element[=].target.comment = ##34#see details in the Observation group##34#</v>
      </c>
    </row>
    <row r="353" spans="2:2" x14ac:dyDescent="0.75">
      <c r="B353" s="14" t="str">
        <f>IF('Results-ConceptMap-2'!S81=0,"//---END",'Results-ConceptMap-2'!S81)</f>
        <v>* group[=].element[+].code = #Result.observation.code.originalName</v>
      </c>
    </row>
    <row r="354" spans="2:2" x14ac:dyDescent="0.75">
      <c r="B354" s="14" t="str">
        <f>IF('Results-ConceptMap-2'!S82=0,"//---END",'Results-ConceptMap-2'!S82)</f>
        <v>* group[=].element[=].display = ##34#A.5.2.3.2 Observation original name##34#</v>
      </c>
    </row>
    <row r="355" spans="2:2" x14ac:dyDescent="0.75">
      <c r="B355" s="14" t="str">
        <f>IF('Results-ConceptMap-2'!S83=0,"//---END",'Results-ConceptMap-2'!S83)</f>
        <v>* group[=].element[=].target.code = #Composition.section:lab-no-subsections.entry</v>
      </c>
    </row>
    <row r="356" spans="2:2" x14ac:dyDescent="0.75">
      <c r="B356" s="14" t="str">
        <f>IF('Results-ConceptMap-2'!S84=0,"//---END",'Results-ConceptMap-2'!S84)</f>
        <v>* group[=].element[=].target.display = ##34###34#</v>
      </c>
    </row>
    <row r="357" spans="2:2" x14ac:dyDescent="0.75">
      <c r="B357" s="14" t="str">
        <f>IF('Results-ConceptMap-2'!S85=0,"//---END",'Results-ConceptMap-2'!S85)</f>
        <v>* group[=].element[=].target.equivalence = #relatedto</v>
      </c>
    </row>
    <row r="358" spans="2:2" x14ac:dyDescent="0.75">
      <c r="B358" s="14" t="str">
        <f>IF('Results-ConceptMap-2'!S86=0,"//---END",'Results-ConceptMap-2'!S86)</f>
        <v>* group[=].element[=].target.comment = ##34#see details in the Observation group##34#</v>
      </c>
    </row>
    <row r="359" spans="2:2" x14ac:dyDescent="0.75">
      <c r="B359" s="14" t="str">
        <f>IF('Results-ConceptMap-2'!S87=0,"//---END",'Results-ConceptMap-2'!S87)</f>
        <v>* group[=].element[+].code = #Result.observation.code.displayName</v>
      </c>
    </row>
    <row r="360" spans="2:2" x14ac:dyDescent="0.75">
      <c r="B360" s="14" t="str">
        <f>IF('Results-ConceptMap-2'!S88=0,"//---END",'Results-ConceptMap-2'!S88)</f>
        <v>* group[=].element[=].display = ##34#A.5.2.3.3 Observation display name##34#</v>
      </c>
    </row>
    <row r="361" spans="2:2" x14ac:dyDescent="0.75">
      <c r="B361" s="14" t="str">
        <f>IF('Results-ConceptMap-2'!S89=0,"//---END",'Results-ConceptMap-2'!S89)</f>
        <v>* group[=].element[=].target.code = #Composition.section:lab-no-subsections.entry</v>
      </c>
    </row>
    <row r="362" spans="2:2" x14ac:dyDescent="0.75">
      <c r="B362" s="14" t="str">
        <f>IF('Results-ConceptMap-2'!S90=0,"//---END",'Results-ConceptMap-2'!S90)</f>
        <v>* group[=].element[=].target.display = ##34###34#</v>
      </c>
    </row>
    <row r="363" spans="2:2" x14ac:dyDescent="0.75">
      <c r="B363" s="14" t="str">
        <f>IF('Results-ConceptMap-2'!S91=0,"//---END",'Results-ConceptMap-2'!S91)</f>
        <v>* group[=].element[=].target.equivalence = #relatedto</v>
      </c>
    </row>
    <row r="364" spans="2:2" x14ac:dyDescent="0.75">
      <c r="B364" s="14" t="str">
        <f>IF('Results-ConceptMap-2'!S92=0,"//---END",'Results-ConceptMap-2'!S92)</f>
        <v>* group[=].element[=].target.comment = ##34#see details in the Observation group##34#</v>
      </c>
    </row>
    <row r="365" spans="2:2" x14ac:dyDescent="0.75">
      <c r="B365" s="14" t="str">
        <f>IF('Results-ConceptMap-2'!S93=0,"//---END",'Results-ConceptMap-2'!S93)</f>
        <v>* group[=].element[+].code = #Result.observation.method</v>
      </c>
    </row>
    <row r="366" spans="2:2" x14ac:dyDescent="0.75">
      <c r="B366" s="14" t="str">
        <f>IF('Results-ConceptMap-2'!S94=0,"//---END",'Results-ConceptMap-2'!S94)</f>
        <v>* group[=].element[=].display = ##34#A.5.2.4 Observation method##34#</v>
      </c>
    </row>
    <row r="367" spans="2:2" x14ac:dyDescent="0.75">
      <c r="B367" s="14" t="str">
        <f>IF('Results-ConceptMap-2'!S95=0,"//---END",'Results-ConceptMap-2'!S95)</f>
        <v>* group[=].element[=].target.code = #Composition.section:lab-no-subsections.entry</v>
      </c>
    </row>
    <row r="368" spans="2:2" x14ac:dyDescent="0.75">
      <c r="B368" s="14" t="str">
        <f>IF('Results-ConceptMap-2'!S96=0,"//---END",'Results-ConceptMap-2'!S96)</f>
        <v>* group[=].element[=].target.display = ##34###34#</v>
      </c>
    </row>
    <row r="369" spans="2:2" x14ac:dyDescent="0.75">
      <c r="B369" s="14" t="str">
        <f>IF('Results-ConceptMap-2'!S97=0,"//---END",'Results-ConceptMap-2'!S97)</f>
        <v>* group[=].element[=].target.equivalence = #relatedto</v>
      </c>
    </row>
    <row r="370" spans="2:2" x14ac:dyDescent="0.75">
      <c r="B370" s="14" t="str">
        <f>IF('Results-ConceptMap-2'!S98=0,"//---END",'Results-ConceptMap-2'!S98)</f>
        <v>* group[=].element[=].target.comment = ##34#see details in the Observation group##34#</v>
      </c>
    </row>
    <row r="371" spans="2:2" x14ac:dyDescent="0.75">
      <c r="B371" s="14" t="str">
        <f>IF('Results-ConceptMap-2'!S99=0,"//---END",'Results-ConceptMap-2'!S99)</f>
        <v>* group[=].element[+].code = #Result.observation.device</v>
      </c>
    </row>
    <row r="372" spans="2:2" x14ac:dyDescent="0.75">
      <c r="B372" s="14" t="str">
        <f>IF('Results-ConceptMap-2'!S100=0,"//---END",'Results-ConceptMap-2'!S100)</f>
        <v>* group[=].element[=].display = ##34#A.5.2.5 Observation device##34#</v>
      </c>
    </row>
    <row r="373" spans="2:2" x14ac:dyDescent="0.75">
      <c r="B373" s="14" t="str">
        <f>IF('Results-ConceptMap-2'!S101=0,"//---END",'Results-ConceptMap-2'!S101)</f>
        <v>* group[=].element[=].target.code = #Composition.section:lab-no-subsections.entry</v>
      </c>
    </row>
    <row r="374" spans="2:2" x14ac:dyDescent="0.75">
      <c r="B374" s="14" t="str">
        <f>IF('Results-ConceptMap-2'!S102=0,"//---END",'Results-ConceptMap-2'!S102)</f>
        <v>* group[=].element[=].target.display = ##34###34#</v>
      </c>
    </row>
    <row r="375" spans="2:2" x14ac:dyDescent="0.75">
      <c r="B375" s="14" t="str">
        <f>IF('Results-ConceptMap-2'!S103=0,"//---END",'Results-ConceptMap-2'!S103)</f>
        <v>* group[=].element[=].target.equivalence = #relatedto</v>
      </c>
    </row>
    <row r="376" spans="2:2" x14ac:dyDescent="0.75">
      <c r="B376" s="14" t="str">
        <f>IF('Results-ConceptMap-2'!S104=0,"//---END",'Results-ConceptMap-2'!S104)</f>
        <v>* group[=].element[=].target.comment = ##34#see details in the Observation group##34#</v>
      </c>
    </row>
    <row r="377" spans="2:2" x14ac:dyDescent="0.75">
      <c r="B377" s="14" t="str">
        <f>IF('Results-ConceptMap-2'!S105=0,"//---END",'Results-ConceptMap-2'!S105)</f>
        <v>* group[=].element[+].code = #Result.observation.order</v>
      </c>
    </row>
    <row r="378" spans="2:2" x14ac:dyDescent="0.75">
      <c r="B378" s="14" t="str">
        <f>IF('Results-ConceptMap-2'!S106=0,"//---END",'Results-ConceptMap-2'!S106)</f>
        <v>* group[=].element[=].display = ##34#A.5.2.8 Order##34#</v>
      </c>
    </row>
    <row r="379" spans="2:2" x14ac:dyDescent="0.75">
      <c r="B379" s="14" t="str">
        <f>IF('Results-ConceptMap-2'!S107=0,"//---END",'Results-ConceptMap-2'!S107)</f>
        <v>* group[=].element[=].target.code = #Composition.section:lab-no-subsections.entry</v>
      </c>
    </row>
    <row r="380" spans="2:2" x14ac:dyDescent="0.75">
      <c r="B380" s="14" t="str">
        <f>IF('Results-ConceptMap-2'!S108=0,"//---END",'Results-ConceptMap-2'!S108)</f>
        <v>* group[=].element[=].target.display = ##34###34#</v>
      </c>
    </row>
    <row r="381" spans="2:2" x14ac:dyDescent="0.75">
      <c r="B381" s="14" t="str">
        <f>IF('Results-ConceptMap-2'!S109=0,"//---END",'Results-ConceptMap-2'!S109)</f>
        <v>* group[=].element[=].target.equivalence = #relatedto</v>
      </c>
    </row>
    <row r="382" spans="2:2" x14ac:dyDescent="0.75">
      <c r="B382" s="14" t="str">
        <f>IF('Results-ConceptMap-2'!S110=0,"//---END",'Results-ConceptMap-2'!S110)</f>
        <v>* group[=].element[=].target.comment = ##34#see details in the Observation group##34#</v>
      </c>
    </row>
    <row r="383" spans="2:2" x14ac:dyDescent="0.75">
      <c r="B383" s="14" t="str">
        <f>IF('Results-ConceptMap-2'!S111=0,"//---END",'Results-ConceptMap-2'!S111)</f>
        <v>* group[=].element[+].code = #Result.observation.performer</v>
      </c>
    </row>
    <row r="384" spans="2:2" x14ac:dyDescent="0.75">
      <c r="B384" s="14" t="str">
        <f>IF('Results-ConceptMap-2'!S112=0,"//---END",'Results-ConceptMap-2'!S112)</f>
        <v>* group[=].element[=].display = ##34#A.5.2.9 Performer##34#</v>
      </c>
    </row>
    <row r="385" spans="2:2" x14ac:dyDescent="0.75">
      <c r="B385" s="14" t="str">
        <f>IF('Results-ConceptMap-2'!S113=0,"//---END",'Results-ConceptMap-2'!S113)</f>
        <v>* group[=].element[=].target.code = #Composition.section:lab-no-subsections.entry</v>
      </c>
    </row>
    <row r="386" spans="2:2" x14ac:dyDescent="0.75">
      <c r="B386" s="14" t="str">
        <f>IF('Results-ConceptMap-2'!S114=0,"//---END",'Results-ConceptMap-2'!S114)</f>
        <v>* group[=].element[=].target.display = ##34###34#</v>
      </c>
    </row>
    <row r="387" spans="2:2" x14ac:dyDescent="0.75">
      <c r="B387" s="14" t="str">
        <f>IF('Results-ConceptMap-2'!S115=0,"//---END",'Results-ConceptMap-2'!S115)</f>
        <v>* group[=].element[=].target.equivalence = #relatedto</v>
      </c>
    </row>
    <row r="388" spans="2:2" x14ac:dyDescent="0.75">
      <c r="B388" s="14" t="str">
        <f>IF('Results-ConceptMap-2'!S116=0,"//---END",'Results-ConceptMap-2'!S116)</f>
        <v>* group[=].element[=].target.comment = ##34#see details in the Observation group##34#</v>
      </c>
    </row>
    <row r="389" spans="2:2" x14ac:dyDescent="0.75">
      <c r="B389" s="14" t="str">
        <f>IF('Results-ConceptMap-2'!S117=0,"//---END",'Results-ConceptMap-2'!S117)</f>
        <v>* group[=].element[+].code = #Result.observation.reporter</v>
      </c>
    </row>
    <row r="390" spans="2:2" x14ac:dyDescent="0.75">
      <c r="B390" s="14" t="str">
        <f>IF('Results-ConceptMap-2'!S118=0,"//---END",'Results-ConceptMap-2'!S118)</f>
        <v>* group[=].element[=].display = ##34#A.5.2.10 Reporter##34#</v>
      </c>
    </row>
    <row r="391" spans="2:2" x14ac:dyDescent="0.75">
      <c r="B391" s="14" t="str">
        <f>IF('Results-ConceptMap-2'!S119=0,"//---END",'Results-ConceptMap-2'!S119)</f>
        <v>* group[=].element[=].target.code = #Composition.section:lab-no-subsections.entry</v>
      </c>
    </row>
    <row r="392" spans="2:2" x14ac:dyDescent="0.75">
      <c r="B392" s="14" t="str">
        <f>IF('Results-ConceptMap-2'!S120=0,"//---END",'Results-ConceptMap-2'!S120)</f>
        <v>* group[=].element[=].target.display = ##34###34#</v>
      </c>
    </row>
    <row r="393" spans="2:2" x14ac:dyDescent="0.75">
      <c r="B393" s="14" t="str">
        <f>IF('Results-ConceptMap-2'!S121=0,"//---END",'Results-ConceptMap-2'!S121)</f>
        <v>* group[=].element[=].target.equivalence = #relatedto</v>
      </c>
    </row>
    <row r="394" spans="2:2" x14ac:dyDescent="0.75">
      <c r="B394" s="14" t="str">
        <f>IF('Results-ConceptMap-2'!S122=0,"//---END",'Results-ConceptMap-2'!S122)</f>
        <v>* group[=].element[=].target.comment = ##34#see details in the Observation group##34#</v>
      </c>
    </row>
    <row r="395" spans="2:2" x14ac:dyDescent="0.75">
      <c r="B395" s="14" t="str">
        <f>IF('Results-ConceptMap-2'!S123=0,"//---END",'Results-ConceptMap-2'!S123)</f>
        <v>* group[=].element[+].code = #Result.observation.result</v>
      </c>
    </row>
    <row r="396" spans="2:2" x14ac:dyDescent="0.75">
      <c r="B396" s="14" t="str">
        <f>IF('Results-ConceptMap-2'!S124=0,"//---END",'Results-ConceptMap-2'!S124)</f>
        <v>* group[=].element[=].display = ##34#A.5.2.11 Observation result##34#</v>
      </c>
    </row>
    <row r="397" spans="2:2" x14ac:dyDescent="0.75">
      <c r="B397" s="14" t="str">
        <f>IF('Results-ConceptMap-2'!S125=0,"//---END",'Results-ConceptMap-2'!S125)</f>
        <v>* group[=].element[=].target.code = #Composition.section:lab-no-subsections.entry</v>
      </c>
    </row>
    <row r="398" spans="2:2" x14ac:dyDescent="0.75">
      <c r="B398" s="14" t="str">
        <f>IF('Results-ConceptMap-2'!S126=0,"//---END",'Results-ConceptMap-2'!S126)</f>
        <v>* group[=].element[=].target.display = ##34###34#</v>
      </c>
    </row>
    <row r="399" spans="2:2" x14ac:dyDescent="0.75">
      <c r="B399" s="14" t="str">
        <f>IF('Results-ConceptMap-2'!S127=0,"//---END",'Results-ConceptMap-2'!S127)</f>
        <v>* group[=].element[=].target.equivalence = #relatedto</v>
      </c>
    </row>
    <row r="400" spans="2:2" x14ac:dyDescent="0.75">
      <c r="B400" s="14" t="str">
        <f>IF('Results-ConceptMap-2'!S128=0,"//---END",'Results-ConceptMap-2'!S128)</f>
        <v>* group[=].element[=].target.comment = ##34#see details in the Observation group##34#</v>
      </c>
    </row>
    <row r="401" spans="2:2" x14ac:dyDescent="0.75">
      <c r="B401" s="14" t="str">
        <f>IF('Results-ConceptMap-2'!S129=0,"//---END",'Results-ConceptMap-2'!S129)</f>
        <v>* group[=].element[+].code = #Result.observation.interpretation</v>
      </c>
    </row>
    <row r="402" spans="2:2" x14ac:dyDescent="0.75">
      <c r="B402" s="14" t="str">
        <f>IF('Results-ConceptMap-2'!S130=0,"//---END",'Results-ConceptMap-2'!S130)</f>
        <v>* group[=].element[=].display = ##34#A.5.2.12 Observation interpretation##34#</v>
      </c>
    </row>
    <row r="403" spans="2:2" x14ac:dyDescent="0.75">
      <c r="B403" s="14" t="str">
        <f>IF('Results-ConceptMap-2'!S131=0,"//---END",'Results-ConceptMap-2'!S131)</f>
        <v>* group[=].element[=].target.code = #Composition.section:lab-no-subsections.entry</v>
      </c>
    </row>
    <row r="404" spans="2:2" x14ac:dyDescent="0.75">
      <c r="B404" s="14" t="str">
        <f>IF('Results-ConceptMap-2'!S132=0,"//---END",'Results-ConceptMap-2'!S132)</f>
        <v>* group[=].element[=].target.display = ##34###34#</v>
      </c>
    </row>
    <row r="405" spans="2:2" x14ac:dyDescent="0.75">
      <c r="B405" s="14" t="str">
        <f>IF('Results-ConceptMap-2'!S133=0,"//---END",'Results-ConceptMap-2'!S133)</f>
        <v>* group[=].element[=].target.equivalence = #relatedto</v>
      </c>
    </row>
    <row r="406" spans="2:2" x14ac:dyDescent="0.75">
      <c r="B406" s="14" t="str">
        <f>IF('Results-ConceptMap-2'!S134=0,"//---END",'Results-ConceptMap-2'!S134)</f>
        <v>* group[=].element[=].target.comment = ##34#see details in the Observation group##34#</v>
      </c>
    </row>
    <row r="407" spans="2:2" x14ac:dyDescent="0.75">
      <c r="B407" s="14" t="str">
        <f>IF('Results-ConceptMap-2'!S135=0,"//---END",'Results-ConceptMap-2'!S135)</f>
        <v>* group[=].element[+].code = #Result.observation.description</v>
      </c>
    </row>
    <row r="408" spans="2:2" x14ac:dyDescent="0.75">
      <c r="B408" s="14" t="str">
        <f>IF('Results-ConceptMap-2'!S136=0,"//---END",'Results-ConceptMap-2'!S136)</f>
        <v>* group[=].element[=].display = ##34#A.5.2.13 Result description##34#</v>
      </c>
    </row>
    <row r="409" spans="2:2" x14ac:dyDescent="0.75">
      <c r="B409" s="14" t="str">
        <f>IF('Results-ConceptMap-2'!S137=0,"//---END",'Results-ConceptMap-2'!S137)</f>
        <v>* group[=].element[=].target.code = #Composition.section:lab-no-subsections.entry</v>
      </c>
    </row>
    <row r="410" spans="2:2" x14ac:dyDescent="0.75">
      <c r="B410" s="14" t="str">
        <f>IF('Results-ConceptMap-2'!S138=0,"//---END",'Results-ConceptMap-2'!S138)</f>
        <v>* group[=].element[=].target.display = ##34###34#</v>
      </c>
    </row>
    <row r="411" spans="2:2" x14ac:dyDescent="0.75">
      <c r="B411" s="14" t="str">
        <f>IF('Results-ConceptMap-2'!S139=0,"//---END",'Results-ConceptMap-2'!S139)</f>
        <v>* group[=].element[=].target.equivalence = #relatedto</v>
      </c>
    </row>
    <row r="412" spans="2:2" x14ac:dyDescent="0.75">
      <c r="B412" s="14" t="str">
        <f>IF('Results-ConceptMap-2'!S140=0,"//---END",'Results-ConceptMap-2'!S140)</f>
        <v>* group[=].element[=].target.comment = ##34#see details in the Observation group##34#</v>
      </c>
    </row>
    <row r="413" spans="2:2" x14ac:dyDescent="0.75">
      <c r="B413" s="14" t="str">
        <f>IF('Results-ConceptMap-2'!S141=0,"//---END",'Results-ConceptMap-2'!S141)</f>
        <v>* group[=].element[+].code = #Result.observation.accreditationStatus</v>
      </c>
    </row>
    <row r="414" spans="2:2" x14ac:dyDescent="0.75">
      <c r="B414" s="14" t="str">
        <f>IF('Results-ConceptMap-2'!S142=0,"//---END",'Results-ConceptMap-2'!S142)</f>
        <v>* group[=].element[=].display = ##34#A.5.2.14 Accreditation status##34#</v>
      </c>
    </row>
    <row r="415" spans="2:2" x14ac:dyDescent="0.75">
      <c r="B415" s="14" t="str">
        <f>IF('Results-ConceptMap-2'!S143=0,"//---END",'Results-ConceptMap-2'!S143)</f>
        <v>* group[=].element[=].target.code = #Composition.section:lab-no-subsections.entry</v>
      </c>
    </row>
    <row r="416" spans="2:2" x14ac:dyDescent="0.75">
      <c r="B416" s="14" t="str">
        <f>IF('Results-ConceptMap-2'!S144=0,"//---END",'Results-ConceptMap-2'!S144)</f>
        <v>* group[=].element[=].target.display = ##34###34#</v>
      </c>
    </row>
    <row r="417" spans="2:2" x14ac:dyDescent="0.75">
      <c r="B417" s="14" t="str">
        <f>IF('Results-ConceptMap-2'!S145=0,"//---END",'Results-ConceptMap-2'!S145)</f>
        <v>* group[=].element[=].target.equivalence = #relatedto</v>
      </c>
    </row>
    <row r="418" spans="2:2" x14ac:dyDescent="0.75">
      <c r="B418" s="14" t="str">
        <f>IF('Results-ConceptMap-2'!S146=0,"//---END",'Results-ConceptMap-2'!S146)</f>
        <v>* group[=].element[=].target.comment = ##34#see details in the Observation group##34#</v>
      </c>
    </row>
    <row r="419" spans="2:2" x14ac:dyDescent="0.75">
      <c r="B419" s="14" t="str">
        <f>IF('Results-ConceptMap-2'!S147=0,"//---END",'Results-ConceptMap-2'!S147)</f>
        <v>//---END</v>
      </c>
    </row>
    <row r="420" spans="2:2" x14ac:dyDescent="0.75">
      <c r="B420" s="14" t="str">
        <f>IF('Results-ConceptMap-2'!S148=0,"//---END",'Results-ConceptMap-2'!S148)</f>
        <v>//---END</v>
      </c>
    </row>
    <row r="421" spans="2:2" x14ac:dyDescent="0.75">
      <c r="B421" s="14" t="str">
        <f>IF('Results-ConceptMap-2'!S149=0,"//---END",'Results-ConceptMap-2'!S149)</f>
        <v>//---END</v>
      </c>
    </row>
    <row r="422" spans="2:2" x14ac:dyDescent="0.75">
      <c r="B422" s="14" t="str">
        <f>IF('Results-ConceptMap-2'!S150=0,"//---END",'Results-ConceptMap-2'!S150)</f>
        <v>//---END</v>
      </c>
    </row>
    <row r="423" spans="2:2" x14ac:dyDescent="0.75">
      <c r="B423"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2023-07-25T10:27:56Z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