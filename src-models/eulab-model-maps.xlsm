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DEB693FA-F7C8-4B0A-BA19-B590F854E056}" xr6:coauthVersionLast="47" xr6:coauthVersionMax="47" xr10:uidLastSave="{00000000-0000-0000-0000-000000000000}"/>
  <bookViews>
    <workbookView xWindow="-90" yWindow="-90" windowWidth="19380" windowHeight="10260" firstSheet="5"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73" i="162" l="1"/>
  <c r="S73" i="162" s="1" a="1"/>
  <c r="S73" i="162" s="1"/>
  <c r="B77" i="165" s="1"/>
  <c r="R73" i="162"/>
  <c r="Q74" i="162"/>
  <c r="R74" i="162"/>
  <c r="S74" i="162" a="1"/>
  <c r="S74" i="162"/>
  <c r="B78" i="165" s="1"/>
  <c r="Q75" i="162"/>
  <c r="S75" i="162" s="1" a="1"/>
  <c r="S75" i="162" s="1"/>
  <c r="B79" i="165" s="1"/>
  <c r="R75" i="162"/>
  <c r="Q76" i="162"/>
  <c r="R76" i="162"/>
  <c r="S76" i="162" a="1"/>
  <c r="S76" i="162"/>
  <c r="Q77" i="162"/>
  <c r="S77" i="162" s="1" a="1"/>
  <c r="S77" i="162" s="1"/>
  <c r="B81" i="165" s="1"/>
  <c r="R77" i="162"/>
  <c r="Q78" i="162"/>
  <c r="R78" i="162"/>
  <c r="S78" i="162" a="1"/>
  <c r="S78" i="162"/>
  <c r="B82" i="165" s="1"/>
  <c r="Q79" i="162"/>
  <c r="S79" i="162" s="1" a="1"/>
  <c r="S79" i="162" s="1"/>
  <c r="B83" i="165" s="1"/>
  <c r="R79" i="162"/>
  <c r="Q80" i="162"/>
  <c r="R80" i="162"/>
  <c r="S80" i="162" a="1"/>
  <c r="S80" i="162" s="1"/>
  <c r="B84" i="165" s="1"/>
  <c r="Q81" i="162"/>
  <c r="S81" i="162" s="1" a="1"/>
  <c r="S81" i="162" s="1"/>
  <c r="B85" i="165" s="1"/>
  <c r="R81" i="162"/>
  <c r="Q82" i="162"/>
  <c r="R82" i="162"/>
  <c r="S82" i="162" a="1"/>
  <c r="S82" i="162"/>
  <c r="B86" i="165" s="1"/>
  <c r="Q83" i="162"/>
  <c r="S83" i="162" s="1" a="1"/>
  <c r="S83" i="162" s="1"/>
  <c r="B87" i="165" s="1"/>
  <c r="R83" i="162"/>
  <c r="Q84" i="162"/>
  <c r="R84" i="162"/>
  <c r="S84" i="162" a="1"/>
  <c r="S84" i="162"/>
  <c r="Q85" i="162"/>
  <c r="S85" i="162" s="1" a="1"/>
  <c r="S85" i="162" s="1"/>
  <c r="R85" i="162"/>
  <c r="Q86" i="162"/>
  <c r="R86" i="162"/>
  <c r="S86" i="162" a="1"/>
  <c r="S86" i="162"/>
  <c r="Q25" i="162"/>
  <c r="S25" i="162" s="1" a="1"/>
  <c r="S25" i="162" s="1"/>
  <c r="B29" i="165" s="1"/>
  <c r="R25" i="162"/>
  <c r="Q26" i="162"/>
  <c r="S26" i="162" s="1" a="1"/>
  <c r="S26" i="162" s="1"/>
  <c r="B30" i="165" s="1"/>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B52" i="165" s="1"/>
  <c r="R48" i="162"/>
  <c r="Q49" i="162"/>
  <c r="S49" i="162" s="1" a="1"/>
  <c r="S49" i="162" s="1"/>
  <c r="B53" i="165" s="1"/>
  <c r="R49" i="162"/>
  <c r="Q50" i="162"/>
  <c r="S50" i="162" s="1" a="1"/>
  <c r="S50" i="162" s="1"/>
  <c r="B54" i="165" s="1"/>
  <c r="R50" i="162"/>
  <c r="Q51" i="162"/>
  <c r="S51" i="162" s="1" a="1"/>
  <c r="S51" i="162" s="1"/>
  <c r="B55" i="165" s="1"/>
  <c r="R51" i="162"/>
  <c r="Q52" i="162"/>
  <c r="S52" i="162" s="1" a="1"/>
  <c r="S52" i="162" s="1"/>
  <c r="B56" i="165" s="1"/>
  <c r="R52" i="162"/>
  <c r="Q53" i="162"/>
  <c r="S53" i="162" s="1" a="1"/>
  <c r="S53" i="162" s="1"/>
  <c r="B57" i="165" s="1"/>
  <c r="R53" i="162"/>
  <c r="Q54" i="162"/>
  <c r="S54" i="162" s="1" a="1"/>
  <c r="S54" i="162" s="1"/>
  <c r="B58" i="165" s="1"/>
  <c r="R54" i="162"/>
  <c r="Q55" i="162"/>
  <c r="S55" i="162" s="1" a="1"/>
  <c r="S55" i="162" s="1"/>
  <c r="B59" i="165" s="1"/>
  <c r="R55" i="162"/>
  <c r="Q56" i="162"/>
  <c r="S56" i="162" s="1" a="1"/>
  <c r="S56" i="162" s="1"/>
  <c r="B60" i="165" s="1"/>
  <c r="R56" i="162"/>
  <c r="Q57" i="162"/>
  <c r="S57" i="162" s="1" a="1"/>
  <c r="S57" i="162" s="1"/>
  <c r="B61" i="165" s="1"/>
  <c r="R57" i="162"/>
  <c r="Q58" i="162"/>
  <c r="S58" i="162" s="1" a="1"/>
  <c r="S58" i="162" s="1"/>
  <c r="B62" i="165" s="1"/>
  <c r="R58" i="162"/>
  <c r="Q59" i="162"/>
  <c r="S59" i="162" s="1" a="1"/>
  <c r="S59" i="162" s="1"/>
  <c r="B63" i="165" s="1"/>
  <c r="R59" i="162"/>
  <c r="Q60" i="162"/>
  <c r="S60" i="162" s="1" a="1"/>
  <c r="S60" i="162" s="1"/>
  <c r="B64" i="165" s="1"/>
  <c r="R60" i="162"/>
  <c r="Q61" i="162"/>
  <c r="S61" i="162" s="1" a="1"/>
  <c r="S61" i="162" s="1"/>
  <c r="B65" i="165" s="1"/>
  <c r="R61" i="162"/>
  <c r="Q62" i="162"/>
  <c r="S62" i="162" s="1" a="1"/>
  <c r="S62" i="162" s="1"/>
  <c r="B66" i="165" s="1"/>
  <c r="R62" i="162"/>
  <c r="Q63" i="162"/>
  <c r="S63" i="162" s="1" a="1"/>
  <c r="S63" i="162" s="1"/>
  <c r="B67" i="165" s="1"/>
  <c r="R63" i="162"/>
  <c r="Q64" i="162"/>
  <c r="S64" i="162" s="1" a="1"/>
  <c r="S64" i="162" s="1"/>
  <c r="B68" i="165" s="1"/>
  <c r="R64" i="162"/>
  <c r="Q65" i="162"/>
  <c r="S65" i="162" s="1" a="1"/>
  <c r="S65" i="162" s="1"/>
  <c r="B69" i="165" s="1"/>
  <c r="R65" i="162"/>
  <c r="Q66" i="162"/>
  <c r="S66" i="162" s="1" a="1"/>
  <c r="S66" i="162" s="1"/>
  <c r="B70" i="165" s="1"/>
  <c r="R66" i="162"/>
  <c r="Q67" i="162"/>
  <c r="S67" i="162" s="1" a="1"/>
  <c r="S67" i="162" s="1"/>
  <c r="B71" i="165" s="1"/>
  <c r="R67" i="162"/>
  <c r="Q68" i="162"/>
  <c r="S68" i="162" s="1" a="1"/>
  <c r="S68" i="162" s="1"/>
  <c r="B72" i="165" s="1"/>
  <c r="R68" i="162"/>
  <c r="Q69" i="162"/>
  <c r="S69" i="162" s="1" a="1"/>
  <c r="S69" i="162" s="1"/>
  <c r="B73" i="165" s="1"/>
  <c r="R69" i="162"/>
  <c r="Q70" i="162"/>
  <c r="S70" i="162" s="1" a="1"/>
  <c r="S70" i="162" s="1"/>
  <c r="B74" i="165" s="1"/>
  <c r="R70" i="162"/>
  <c r="Q71" i="162"/>
  <c r="S71" i="162" s="1" a="1"/>
  <c r="S71" i="162" s="1"/>
  <c r="B75" i="165" s="1"/>
  <c r="R71" i="162"/>
  <c r="Q72" i="162"/>
  <c r="S72" i="162" s="1" a="1"/>
  <c r="S72" i="162" s="1"/>
  <c r="B76" i="165" s="1"/>
  <c r="R72" i="162"/>
  <c r="Q22" i="162"/>
  <c r="R22" i="162"/>
  <c r="S22" i="162" a="1"/>
  <c r="S22" i="162" s="1"/>
  <c r="B26" i="165" s="1"/>
  <c r="Q23" i="162"/>
  <c r="S23" i="162" s="1" a="1"/>
  <c r="S23" i="162" s="1"/>
  <c r="B27" i="165" s="1"/>
  <c r="R23" i="162"/>
  <c r="Q24" i="162"/>
  <c r="R24" i="162"/>
  <c r="S24" i="162" a="1"/>
  <c r="S24" i="162" s="1"/>
  <c r="B28" i="165" s="1"/>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B80" i="165"/>
  <c r="N15"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B22" i="162"/>
  <c r="C22" i="162"/>
  <c r="B184" i="171"/>
  <c r="B185" i="171"/>
  <c r="B170" i="171"/>
  <c r="B171" i="171"/>
  <c r="B172" i="171"/>
  <c r="B173" i="171"/>
  <c r="B174" i="171"/>
  <c r="B175" i="171"/>
  <c r="B176" i="171"/>
  <c r="B177" i="171"/>
  <c r="B178" i="171"/>
  <c r="B179" i="171"/>
  <c r="B180" i="171"/>
  <c r="B181" i="171"/>
  <c r="B182" i="171"/>
  <c r="B183" i="171"/>
  <c r="B151" i="171"/>
  <c r="B152" i="171"/>
  <c r="B153" i="171"/>
  <c r="B154" i="171"/>
  <c r="B155" i="171"/>
  <c r="B156" i="171"/>
  <c r="B157" i="171"/>
  <c r="B158" i="171"/>
  <c r="B159" i="171"/>
  <c r="B160" i="171"/>
  <c r="B161" i="171"/>
  <c r="B162" i="171"/>
  <c r="B163" i="171"/>
  <c r="B164" i="171"/>
  <c r="B165" i="171"/>
  <c r="B166" i="171"/>
  <c r="B167" i="171"/>
  <c r="B168" i="171"/>
  <c r="B169"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Q173" i="170"/>
  <c r="S173" i="170" s="1" a="1"/>
  <c r="S173" i="170" s="1"/>
  <c r="R173" i="170"/>
  <c r="Q174" i="170"/>
  <c r="S174" i="170" s="1" a="1"/>
  <c r="S174" i="170" s="1"/>
  <c r="R174" i="170"/>
  <c r="Q175" i="170"/>
  <c r="S175" i="170" s="1" a="1"/>
  <c r="S175" i="170" s="1"/>
  <c r="R175" i="170"/>
  <c r="Q176" i="170"/>
  <c r="S176" i="170" s="1" a="1"/>
  <c r="S176" i="170" s="1"/>
  <c r="R176" i="170"/>
  <c r="Q177" i="170"/>
  <c r="S177" i="170" s="1" a="1"/>
  <c r="S177" i="170" s="1"/>
  <c r="R177" i="170"/>
  <c r="Q178" i="170"/>
  <c r="S178" i="170" s="1" a="1"/>
  <c r="S178" i="170" s="1"/>
  <c r="R178" i="170"/>
  <c r="Q179" i="170"/>
  <c r="S179" i="170" s="1" a="1"/>
  <c r="S179" i="170"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R164" i="170"/>
  <c r="Q165" i="170"/>
  <c r="S165" i="170" s="1" a="1"/>
  <c r="S165" i="170" s="1"/>
  <c r="R165" i="170"/>
  <c r="Q166" i="170"/>
  <c r="S166" i="170" s="1" a="1"/>
  <c r="S166" i="170" s="1"/>
  <c r="R166" i="170"/>
  <c r="Q167" i="170"/>
  <c r="S167" i="170" s="1" a="1"/>
  <c r="S167" i="170" s="1"/>
  <c r="R167" i="170"/>
  <c r="Q168" i="170"/>
  <c r="S168" i="170" s="1" a="1"/>
  <c r="S168" i="170" s="1"/>
  <c r="R168" i="170"/>
  <c r="Q169" i="170"/>
  <c r="S169" i="170" s="1" a="1"/>
  <c r="S169" i="170" s="1"/>
  <c r="R169" i="170"/>
  <c r="Q170" i="170"/>
  <c r="S170" i="170" s="1" a="1"/>
  <c r="S170" i="170" s="1"/>
  <c r="R170" i="170"/>
  <c r="Q171" i="170"/>
  <c r="S171" i="170" s="1" a="1"/>
  <c r="S171" i="170" s="1"/>
  <c r="R171" i="170"/>
  <c r="Q172" i="170"/>
  <c r="S172" i="170" s="1" a="1"/>
  <c r="S172" i="170" s="1"/>
  <c r="R172" i="170"/>
  <c r="Q22" i="170"/>
  <c r="S22" i="170" s="1" a="1"/>
  <c r="S22" i="170" s="1"/>
  <c r="R22" i="170"/>
  <c r="Q23" i="170"/>
  <c r="S23" i="170" s="1" a="1"/>
  <c r="S23" i="170" s="1"/>
  <c r="R23" i="170"/>
  <c r="Q24" i="170"/>
  <c r="S24" i="170" s="1" a="1"/>
  <c r="S24" i="170" s="1"/>
  <c r="R24" i="170"/>
  <c r="Q25" i="170"/>
  <c r="S25" i="170" s="1" a="1"/>
  <c r="S25" i="170" s="1"/>
  <c r="R25" i="170"/>
  <c r="Q26" i="170"/>
  <c r="S26" i="170" s="1" a="1"/>
  <c r="S26" i="170" s="1"/>
  <c r="R26" i="170"/>
  <c r="Q27" i="170"/>
  <c r="S27" i="170" s="1" a="1"/>
  <c r="S27" i="170" s="1"/>
  <c r="R27" i="170"/>
  <c r="Q28" i="170"/>
  <c r="S28" i="170" s="1" a="1"/>
  <c r="S28" i="170" s="1"/>
  <c r="R28" i="170"/>
  <c r="Q29" i="170"/>
  <c r="S29" i="170" s="1" a="1"/>
  <c r="S29" i="170" s="1"/>
  <c r="R29" i="170"/>
  <c r="Q30" i="170"/>
  <c r="S30" i="170" s="1" a="1"/>
  <c r="S30" i="170" s="1"/>
  <c r="R30" i="170"/>
  <c r="Q31" i="170"/>
  <c r="S31" i="170" s="1" a="1"/>
  <c r="S31" i="170" s="1"/>
  <c r="R31" i="170"/>
  <c r="Q32" i="170"/>
  <c r="S32" i="170" s="1" a="1"/>
  <c r="S32" i="170" s="1"/>
  <c r="R32" i="170"/>
  <c r="Q33" i="170"/>
  <c r="S33" i="170" s="1" a="1"/>
  <c r="S33" i="170" s="1"/>
  <c r="R33" i="170"/>
  <c r="Q34" i="170"/>
  <c r="S34" i="170" s="1" a="1"/>
  <c r="S34" i="170" s="1"/>
  <c r="R34" i="170"/>
  <c r="Q35" i="170"/>
  <c r="S35" i="170" s="1" a="1"/>
  <c r="S35" i="170" s="1"/>
  <c r="R35" i="170"/>
  <c r="Q36" i="170"/>
  <c r="S36" i="170" s="1" a="1"/>
  <c r="S36" i="170" s="1"/>
  <c r="R36" i="170"/>
  <c r="Q37" i="170"/>
  <c r="S37" i="170" s="1" a="1"/>
  <c r="S37" i="170" s="1"/>
  <c r="R37" i="170"/>
  <c r="Q38" i="170"/>
  <c r="S38" i="170" s="1" a="1"/>
  <c r="S38" i="170" s="1"/>
  <c r="R38" i="170"/>
  <c r="Q39" i="170"/>
  <c r="S39" i="170" s="1" a="1"/>
  <c r="S39" i="170" s="1"/>
  <c r="R39" i="170"/>
  <c r="Q40" i="170"/>
  <c r="S40" i="170" s="1" a="1"/>
  <c r="S40" i="170" s="1"/>
  <c r="R40" i="170"/>
  <c r="Q41" i="170"/>
  <c r="S41" i="170" s="1" a="1"/>
  <c r="S41" i="170" s="1"/>
  <c r="R41" i="170"/>
  <c r="Q42" i="170"/>
  <c r="S42" i="170" s="1" a="1"/>
  <c r="S42" i="170" s="1"/>
  <c r="R42" i="170"/>
  <c r="Q43" i="170"/>
  <c r="S43" i="170" s="1" a="1"/>
  <c r="S43" i="170" s="1"/>
  <c r="R43" i="170"/>
  <c r="Q44" i="170"/>
  <c r="S44" i="170" s="1" a="1"/>
  <c r="S44" i="170" s="1"/>
  <c r="R44" i="170"/>
  <c r="Q45" i="170"/>
  <c r="S45" i="170" s="1" a="1"/>
  <c r="S45" i="170" s="1"/>
  <c r="R45" i="170"/>
  <c r="Q46" i="170"/>
  <c r="S46" i="170" s="1" a="1"/>
  <c r="S46" i="170" s="1"/>
  <c r="R46" i="170"/>
  <c r="Q47" i="170"/>
  <c r="S47" i="170" s="1" a="1"/>
  <c r="S47" i="170" s="1"/>
  <c r="R47" i="170"/>
  <c r="Q48" i="170"/>
  <c r="S48" i="170" s="1" a="1"/>
  <c r="S48" i="170" s="1"/>
  <c r="R48" i="170"/>
  <c r="Q49" i="170"/>
  <c r="S49" i="170" s="1" a="1"/>
  <c r="S49" i="170" s="1"/>
  <c r="R49" i="170"/>
  <c r="Q50" i="170"/>
  <c r="S50" i="170" s="1" a="1"/>
  <c r="S50" i="170" s="1"/>
  <c r="R50" i="170"/>
  <c r="Q51" i="170"/>
  <c r="S51" i="170" s="1" a="1"/>
  <c r="S51" i="170" s="1"/>
  <c r="R51" i="170"/>
  <c r="Q52" i="170"/>
  <c r="S52" i="170" s="1" a="1"/>
  <c r="S52" i="170" s="1"/>
  <c r="R52" i="170"/>
  <c r="Q53" i="170"/>
  <c r="S53" i="170" s="1" a="1"/>
  <c r="S53" i="170" s="1"/>
  <c r="R53" i="170"/>
  <c r="Q54" i="170"/>
  <c r="S54" i="170" s="1" a="1"/>
  <c r="S54" i="170" s="1"/>
  <c r="R54" i="170"/>
  <c r="Q55" i="170"/>
  <c r="S55" i="170" s="1" a="1"/>
  <c r="S55" i="170" s="1"/>
  <c r="R55" i="170"/>
  <c r="Q56" i="170"/>
  <c r="S56" i="170" s="1" a="1"/>
  <c r="S56" i="170" s="1"/>
  <c r="R56" i="170"/>
  <c r="Q57" i="170"/>
  <c r="S57" i="170" s="1" a="1"/>
  <c r="S57" i="170" s="1"/>
  <c r="R57" i="170"/>
  <c r="Q58" i="170"/>
  <c r="S58" i="170" s="1" a="1"/>
  <c r="S58" i="170" s="1"/>
  <c r="R58" i="170"/>
  <c r="Q59" i="170"/>
  <c r="S59" i="170" s="1" a="1"/>
  <c r="S59" i="170" s="1"/>
  <c r="R59" i="170"/>
  <c r="Q60" i="170"/>
  <c r="S60" i="170" s="1" a="1"/>
  <c r="S60" i="170" s="1"/>
  <c r="R60" i="170"/>
  <c r="Q61" i="170"/>
  <c r="S61" i="170" s="1" a="1"/>
  <c r="S61" i="170" s="1"/>
  <c r="R61" i="170"/>
  <c r="Q62" i="170"/>
  <c r="S62" i="170" s="1" a="1"/>
  <c r="S62" i="170" s="1"/>
  <c r="R62" i="170"/>
  <c r="Q63" i="170"/>
  <c r="S63" i="170" s="1" a="1"/>
  <c r="S63" i="170" s="1"/>
  <c r="R63" i="170"/>
  <c r="Q64" i="170"/>
  <c r="S64" i="170" s="1" a="1"/>
  <c r="S64" i="170" s="1"/>
  <c r="R64" i="170"/>
  <c r="Q65" i="170"/>
  <c r="S65" i="170" s="1" a="1"/>
  <c r="S65" i="170" s="1"/>
  <c r="R65" i="170"/>
  <c r="Q66" i="170"/>
  <c r="S66" i="170" s="1" a="1"/>
  <c r="S66" i="170" s="1"/>
  <c r="R66" i="170"/>
  <c r="Q67" i="170"/>
  <c r="S67" i="170" s="1" a="1"/>
  <c r="S67" i="170" s="1"/>
  <c r="R67" i="170"/>
  <c r="Q68" i="170"/>
  <c r="S68" i="170" s="1" a="1"/>
  <c r="S68" i="170" s="1"/>
  <c r="R68" i="170"/>
  <c r="Q69" i="170"/>
  <c r="S69" i="170" s="1" a="1"/>
  <c r="S69" i="170" s="1"/>
  <c r="R69" i="170"/>
  <c r="Q70" i="170"/>
  <c r="S70" i="170" s="1" a="1"/>
  <c r="S70" i="170" s="1"/>
  <c r="R70" i="170"/>
  <c r="Q71" i="170"/>
  <c r="S71" i="170" s="1" a="1"/>
  <c r="S71" i="170" s="1"/>
  <c r="R71" i="170"/>
  <c r="Q72" i="170"/>
  <c r="S72" i="170" s="1" a="1"/>
  <c r="S72" i="170" s="1"/>
  <c r="R72" i="170"/>
  <c r="Q73" i="170"/>
  <c r="S73" i="170" s="1" a="1"/>
  <c r="S73" i="170" s="1"/>
  <c r="R73" i="170"/>
  <c r="Q74" i="170"/>
  <c r="S74" i="170" s="1" a="1"/>
  <c r="S74" i="170" s="1"/>
  <c r="R74" i="170"/>
  <c r="Q75" i="170"/>
  <c r="S75" i="170" s="1" a="1"/>
  <c r="S75" i="170" s="1"/>
  <c r="R75" i="170"/>
  <c r="Q76" i="170"/>
  <c r="S76" i="170" s="1" a="1"/>
  <c r="S76" i="170" s="1"/>
  <c r="R76" i="170"/>
  <c r="Q77" i="170"/>
  <c r="S77" i="170" s="1" a="1"/>
  <c r="S77" i="170" s="1"/>
  <c r="R77" i="170"/>
  <c r="Q78" i="170"/>
  <c r="S78" i="170" s="1" a="1"/>
  <c r="S78" i="170" s="1"/>
  <c r="R78" i="170"/>
  <c r="Q79" i="170"/>
  <c r="S79" i="170" s="1" a="1"/>
  <c r="S79" i="170" s="1"/>
  <c r="R79" i="170"/>
  <c r="Q80" i="170"/>
  <c r="S80" i="170" s="1" a="1"/>
  <c r="S80" i="170" s="1"/>
  <c r="R80" i="170"/>
  <c r="Q81" i="170"/>
  <c r="S81" i="170" s="1" a="1"/>
  <c r="S81" i="170" s="1"/>
  <c r="R81" i="170"/>
  <c r="Q82" i="170"/>
  <c r="S82" i="170" s="1" a="1"/>
  <c r="S82" i="170" s="1"/>
  <c r="R82" i="170"/>
  <c r="Q83" i="170"/>
  <c r="S83" i="170" s="1" a="1"/>
  <c r="S83" i="170" s="1"/>
  <c r="R83" i="170"/>
  <c r="Q84" i="170"/>
  <c r="S84" i="170" s="1" a="1"/>
  <c r="S84" i="170" s="1"/>
  <c r="R84" i="170"/>
  <c r="Q85" i="170"/>
  <c r="S85" i="170" s="1" a="1"/>
  <c r="S85" i="170" s="1"/>
  <c r="R85" i="170"/>
  <c r="Q86" i="170"/>
  <c r="S86" i="170" s="1" a="1"/>
  <c r="S86" i="170" s="1"/>
  <c r="R86"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106" i="170"/>
  <c r="S106" i="170" s="1" a="1"/>
  <c r="S106" i="170" s="1"/>
  <c r="R106" i="170"/>
  <c r="Q107" i="170"/>
  <c r="S107" i="170" s="1" a="1"/>
  <c r="S107" i="170" s="1"/>
  <c r="R107" i="170"/>
  <c r="Q108" i="170"/>
  <c r="S108" i="170" s="1" a="1"/>
  <c r="S108" i="170" s="1"/>
  <c r="R108" i="170"/>
  <c r="Q109" i="170"/>
  <c r="S109" i="170" s="1" a="1"/>
  <c r="S109" i="170" s="1"/>
  <c r="R109" i="170"/>
  <c r="Q110" i="170"/>
  <c r="S110" i="170" s="1" a="1"/>
  <c r="S110" i="170" s="1"/>
  <c r="R110" i="170"/>
  <c r="Q111" i="170"/>
  <c r="S111" i="170" s="1" a="1"/>
  <c r="S111" i="170" s="1"/>
  <c r="R111" i="170"/>
  <c r="Q112" i="170"/>
  <c r="S112" i="170" s="1" a="1"/>
  <c r="S112" i="170" s="1"/>
  <c r="R112" i="170"/>
  <c r="Q113" i="170"/>
  <c r="S113" i="170" s="1" a="1"/>
  <c r="S113" i="170" s="1"/>
  <c r="R113" i="170"/>
  <c r="Q114" i="170"/>
  <c r="S114" i="170" s="1" a="1"/>
  <c r="S114" i="170" s="1"/>
  <c r="R114" i="170"/>
  <c r="Q115" i="170"/>
  <c r="S115" i="170" s="1" a="1"/>
  <c r="S115" i="170" s="1"/>
  <c r="R115" i="170"/>
  <c r="Q116" i="170"/>
  <c r="S116" i="170" s="1" a="1"/>
  <c r="S116" i="170" s="1"/>
  <c r="R116" i="170"/>
  <c r="Q117" i="170"/>
  <c r="S117" i="170" s="1" a="1"/>
  <c r="S117" i="170" s="1"/>
  <c r="R117" i="170"/>
  <c r="Q118" i="170"/>
  <c r="S118" i="170" s="1" a="1"/>
  <c r="S118" i="170" s="1"/>
  <c r="R118" i="170"/>
  <c r="Q119" i="170"/>
  <c r="S119" i="170" s="1" a="1"/>
  <c r="S119" i="170" s="1"/>
  <c r="R119" i="170"/>
  <c r="Q120" i="170"/>
  <c r="S120" i="170" s="1" a="1"/>
  <c r="S120" i="170" s="1"/>
  <c r="R120" i="170"/>
  <c r="Q121" i="170"/>
  <c r="S121" i="170" s="1" a="1"/>
  <c r="S121" i="170" s="1"/>
  <c r="R121" i="170"/>
  <c r="Q122" i="170"/>
  <c r="S122" i="170" s="1" a="1"/>
  <c r="S122" i="170" s="1"/>
  <c r="R122" i="170"/>
  <c r="Q123" i="170"/>
  <c r="S123" i="170" s="1" a="1"/>
  <c r="S123" i="170" s="1"/>
  <c r="R123" i="170"/>
  <c r="Q124" i="170"/>
  <c r="S124" i="170" s="1" a="1"/>
  <c r="S124" i="170" s="1"/>
  <c r="R124" i="170"/>
  <c r="Q125" i="170"/>
  <c r="S125" i="170" s="1" a="1"/>
  <c r="S125" i="170" s="1"/>
  <c r="R125" i="170"/>
  <c r="Q126" i="170"/>
  <c r="S126" i="170" s="1" a="1"/>
  <c r="S126" i="170" s="1"/>
  <c r="R126" i="170"/>
  <c r="Q127" i="170"/>
  <c r="S127" i="170" s="1" a="1"/>
  <c r="S127" i="170" s="1"/>
  <c r="R127" i="170"/>
  <c r="Q128" i="170"/>
  <c r="S128" i="170" s="1" a="1"/>
  <c r="S128" i="170" s="1"/>
  <c r="R128" i="170"/>
  <c r="Q129" i="170"/>
  <c r="S129" i="170" s="1" a="1"/>
  <c r="S129" i="170" s="1"/>
  <c r="R129" i="170"/>
  <c r="Q130" i="170"/>
  <c r="S130" i="170" s="1" a="1"/>
  <c r="S130" i="170" s="1"/>
  <c r="R130" i="170"/>
  <c r="Q131" i="170"/>
  <c r="S131" i="170" s="1" a="1"/>
  <c r="S131" i="170" s="1"/>
  <c r="R131" i="170"/>
  <c r="Q132" i="170"/>
  <c r="S132" i="170" s="1" a="1"/>
  <c r="S132" i="170" s="1"/>
  <c r="R132" i="170"/>
  <c r="Q133" i="170"/>
  <c r="S133" i="170" s="1" a="1"/>
  <c r="S133" i="170" s="1"/>
  <c r="R133" i="170"/>
  <c r="Q134" i="170"/>
  <c r="S134" i="170" s="1" a="1"/>
  <c r="S134" i="170" s="1"/>
  <c r="R134" i="170"/>
  <c r="Q135" i="170"/>
  <c r="S135" i="170" s="1" a="1"/>
  <c r="S135" i="170" s="1"/>
  <c r="R135" i="170"/>
  <c r="Q136" i="170"/>
  <c r="S136" i="170" s="1" a="1"/>
  <c r="S136" i="170" s="1"/>
  <c r="R136" i="170"/>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43" i="170"/>
  <c r="S143" i="170" s="1" a="1"/>
  <c r="S143" i="170" s="1"/>
  <c r="R143" i="170"/>
  <c r="Q144" i="170"/>
  <c r="S144" i="170" s="1" a="1"/>
  <c r="S144" i="170" s="1"/>
  <c r="R144" i="170"/>
  <c r="Q145" i="170"/>
  <c r="S145" i="170" s="1" a="1"/>
  <c r="S145" i="170" s="1"/>
  <c r="R145" i="170"/>
  <c r="Q146" i="170"/>
  <c r="S146" i="170" s="1" a="1"/>
  <c r="S146" i="170" s="1"/>
  <c r="R146" i="170"/>
  <c r="Q147" i="170"/>
  <c r="S147" i="170" s="1" a="1"/>
  <c r="S147" i="170" s="1"/>
  <c r="R147" i="170"/>
  <c r="Q148" i="170"/>
  <c r="S148" i="170" s="1" a="1"/>
  <c r="S148" i="170" s="1"/>
  <c r="R148" i="170"/>
  <c r="Q149" i="170"/>
  <c r="S149" i="170" s="1" a="1"/>
  <c r="S149" i="170" s="1"/>
  <c r="R149" i="170"/>
  <c r="Q150" i="170"/>
  <c r="S150" i="170" s="1" a="1"/>
  <c r="S150" i="170" s="1"/>
  <c r="R150" i="170"/>
  <c r="Q151" i="170"/>
  <c r="S151" i="170" s="1" a="1"/>
  <c r="S151" i="170" s="1"/>
  <c r="R151" i="170"/>
  <c r="Q152" i="170"/>
  <c r="S152" i="170" s="1" a="1"/>
  <c r="S152" i="170" s="1"/>
  <c r="R152" i="170"/>
  <c r="Q153" i="170"/>
  <c r="S153" i="170" s="1" a="1"/>
  <c r="S153" i="170" s="1"/>
  <c r="R153" i="170"/>
  <c r="Q154" i="170"/>
  <c r="S154" i="170" s="1" a="1"/>
  <c r="S154" i="170" s="1"/>
  <c r="R154" i="170"/>
  <c r="Q155" i="170"/>
  <c r="S155" i="170" s="1" a="1"/>
  <c r="S155" i="170" s="1"/>
  <c r="R155" i="170"/>
  <c r="Q156" i="170"/>
  <c r="S156" i="170" s="1" a="1"/>
  <c r="S156" i="170" s="1"/>
  <c r="R156" i="170"/>
  <c r="Q157" i="170"/>
  <c r="S157" i="170" s="1" a="1"/>
  <c r="S157" i="170" s="1"/>
  <c r="R157" i="170"/>
  <c r="Q158" i="170"/>
  <c r="S158" i="170" s="1" a="1"/>
  <c r="S158" i="170" s="1"/>
  <c r="R158" i="170"/>
  <c r="Q159" i="170"/>
  <c r="S159" i="170" s="1" a="1"/>
  <c r="S159" i="170" s="1"/>
  <c r="R159" i="170"/>
  <c r="Q160" i="170"/>
  <c r="S160" i="170" s="1" a="1"/>
  <c r="S160" i="170" s="1"/>
  <c r="R160" i="170"/>
  <c r="Q161" i="170"/>
  <c r="S161" i="170" s="1" a="1"/>
  <c r="S161" i="170" s="1"/>
  <c r="R161" i="170"/>
  <c r="Q162" i="170"/>
  <c r="S162" i="170" s="1" a="1"/>
  <c r="S162" i="170" s="1"/>
  <c r="R162" i="170"/>
  <c r="Q163" i="170"/>
  <c r="S163" i="170" s="1" a="1"/>
  <c r="S163" i="170" s="1"/>
  <c r="R163" i="170"/>
  <c r="Q16" i="170"/>
  <c r="S16" i="170" s="1" a="1"/>
  <c r="S16" i="170" s="1"/>
  <c r="R16" i="170"/>
  <c r="Q17" i="170"/>
  <c r="S17" i="170" s="1" a="1"/>
  <c r="S17" i="170" s="1"/>
  <c r="R17" i="170"/>
  <c r="Q18" i="170"/>
  <c r="S18" i="170" s="1" a="1"/>
  <c r="S18" i="170" s="1"/>
  <c r="R18" i="170"/>
  <c r="Q19" i="170"/>
  <c r="S19" i="170" s="1" a="1"/>
  <c r="S19" i="170" s="1"/>
  <c r="R19" i="170"/>
  <c r="Q20" i="170"/>
  <c r="S20" i="170" s="1" a="1"/>
  <c r="S20" i="170" s="1"/>
  <c r="R20" i="170"/>
  <c r="Q21" i="170"/>
  <c r="S21" i="170" s="1" a="1"/>
  <c r="S21" i="170"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0" i="162"/>
  <c r="C20" i="162"/>
  <c r="B21" i="162"/>
  <c r="C21" i="162"/>
  <c r="B23" i="162"/>
  <c r="C23" i="162"/>
  <c r="B16" i="162"/>
  <c r="C16" i="162"/>
  <c r="B17" i="162"/>
  <c r="C17" i="162"/>
  <c r="B18" i="162"/>
  <c r="C18" i="162"/>
  <c r="B19" i="162"/>
  <c r="C19" i="162"/>
  <c r="C15" i="162"/>
  <c r="B15" i="162"/>
  <c r="B14" i="162"/>
  <c r="E3" i="162"/>
  <c r="E6" i="162" s="1"/>
  <c r="B16" i="165" s="1"/>
  <c r="B17" i="165"/>
  <c r="B15" i="165"/>
  <c r="B14" i="165"/>
  <c r="B13" i="165"/>
  <c r="B12" i="165"/>
  <c r="B9" i="165"/>
  <c r="B8" i="165"/>
  <c r="B4" i="165"/>
  <c r="R15" i="162"/>
  <c r="Q15" i="162"/>
  <c r="M15" i="162"/>
  <c r="L15" i="162"/>
  <c r="K15" i="162"/>
  <c r="J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94" i="140" l="1"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<sst xmlns="http://schemas.openxmlformats.org/spreadsheetml/2006/main" count="2477" uniqueCount="959">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</sst>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904</v>
      </c>
      <c r="B2" s="94"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934</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881</v>
      </c>
      <c r="C16" s="9" t="s">
        <v>879</v>
      </c>
      <c r="D16" s="9" t="s">
        <v>880</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903</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885</v>
      </c>
      <c r="C21" s="9" t="s">
        <v>883</v>
      </c>
      <c r="D21" s="14" t="s">
        <v>884</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886</v>
      </c>
      <c r="D22" s="14" t="s">
        <v>882</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891</v>
      </c>
      <c r="C23" s="89" t="s">
        <v>887</v>
      </c>
      <c r="D23" s="90" t="s">
        <v>892</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894</v>
      </c>
      <c r="C24" s="91" t="s">
        <v>888</v>
      </c>
      <c r="D24" s="92" t="s">
        <v>893</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895</v>
      </c>
      <c r="C25" s="91" t="s">
        <v>889</v>
      </c>
      <c r="D25" s="92" t="s">
        <v>890</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896</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16" workbookViewId="0">
      <selection activeCell="D28" sqref="D28:G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871</v>
      </c>
      <c r="D4" s="73" t="s">
        <v>664</v>
      </c>
      <c r="E4" s="84" t="s">
        <v>857</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795</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796</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897</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924</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950</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898</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901</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792</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797</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857</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798</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799</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800</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802</v>
      </c>
      <c r="E20" s="9"/>
      <c r="F20" s="75" t="s">
        <v>637</v>
      </c>
      <c r="G20" s="82" t="s">
        <v>801</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802</v>
      </c>
      <c r="E21" s="9"/>
      <c r="F21" s="75" t="s">
        <v>637</v>
      </c>
      <c r="G21" s="82" t="s">
        <v>803</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897</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925</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950</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899</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898</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900</v>
      </c>
      <c r="E32" s="14"/>
      <c r="F32" s="75" t="s">
        <v>637</v>
      </c>
      <c r="G32" s="75" t="s">
        <v>902</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798</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804</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790</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805</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791</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abSelected="1"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933</v>
      </c>
      <c r="I6" s="26" t="str">
        <f>CONCATENATE("Title: ##34#",B6,"##34#")</f>
        <v>Title: ##34#A1.1, A1.2 - Subject of care##34#</v>
      </c>
    </row>
    <row r="7" spans="1:11" ht="15.5" thickBot="1" x14ac:dyDescent="0.9">
      <c r="A7" s="20" t="s">
        <v>5</v>
      </c>
      <c r="B7" s="21" t="s">
        <v>935</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873</v>
      </c>
      <c r="D3" s="73" t="s">
        <v>663</v>
      </c>
      <c r="E3" s="117" t="s">
        <v>679</v>
      </c>
      <c r="F3" s="117"/>
      <c r="G3" s="117"/>
    </row>
    <row r="4" spans="1:19" x14ac:dyDescent="0.75">
      <c r="B4" s="73" t="s">
        <v>19</v>
      </c>
      <c r="C4" s="54" t="s">
        <v>872</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945</v>
      </c>
      <c r="I6" s="26" t="str">
        <f>CONCATENATE("Title: ##34#",B6,"##34#")</f>
        <v>Title: ##34#A.1.3 - Health insurance and payment information##34#</v>
      </c>
    </row>
    <row r="7" spans="1:11" ht="15.5" customHeight="1" thickBot="1" x14ac:dyDescent="0.9">
      <c r="A7" s="20" t="s">
        <v>5</v>
      </c>
      <c r="B7" s="21" t="s">
        <v>936</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927</v>
      </c>
      <c r="D4" s="73" t="s">
        <v>664</v>
      </c>
      <c r="E4" s="118" t="s">
        <v>857</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806</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807</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808</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809</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810</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811</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638</v>
      </c>
      <c r="G21" s="75" t="s">
        <v>948</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926</v>
      </c>
      <c r="I6" s="26" t="str">
        <f>CONCATENATE("Title: ##34#",B6,"##34#")</f>
        <v>Title: ##34#A.1.4 - Information recipient##34#</v>
      </c>
    </row>
    <row r="7" spans="1:11" ht="59" x14ac:dyDescent="0.75">
      <c r="A7" s="46" t="s">
        <v>5</v>
      </c>
      <c r="B7" s="58" t="s">
        <v>937</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912</v>
      </c>
      <c r="D11" s="60" t="s">
        <v>913</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917</v>
      </c>
      <c r="C12" s="9" t="s">
        <v>914</v>
      </c>
      <c r="D12" s="14" t="s">
        <v>915</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916</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905</v>
      </c>
      <c r="D30" s="1" t="s">
        <v>64</v>
      </c>
      <c r="E30" s="1" t="s">
        <v>909</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906</v>
      </c>
      <c r="D31" t="s">
        <v>908</v>
      </c>
      <c r="E31" s="1" t="s">
        <v>910</v>
      </c>
      <c r="F31" t="s">
        <v>911</v>
      </c>
      <c r="H31" t="str">
        <f t="shared" ref="H31:H32" si="4">C31&amp;" "&amp;D31</f>
        <v>A.1.4.5 Country</v>
      </c>
      <c r="I31" s="1" t="str">
        <f t="shared" si="3"/>
        <v>Country of the recipient. - Preferred system(s): ISO 3166</v>
      </c>
    </row>
    <row r="32" spans="2:9" ht="192.5" thickBot="1" x14ac:dyDescent="0.9">
      <c r="C32" s="36" t="s">
        <v>907</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928</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799</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812</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813</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814</v>
      </c>
      <c r="E17" s="9"/>
      <c r="F17" s="75" t="s">
        <v>637</v>
      </c>
      <c r="G17" s="75" t="s">
        <v>918</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815</v>
      </c>
      <c r="E18" s="9"/>
      <c r="F18" s="75" t="s">
        <v>637</v>
      </c>
      <c r="G18" s="75" t="s">
        <v>919</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921</v>
      </c>
      <c r="E19" s="9"/>
      <c r="F19" s="75" t="s">
        <v>638</v>
      </c>
      <c r="G19" s="75" t="s">
        <v>920</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923</v>
      </c>
      <c r="E20" s="9"/>
      <c r="F20" s="75" t="s">
        <v>638</v>
      </c>
      <c r="G20" s="75" t="s">
        <v>920</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922</v>
      </c>
      <c r="E21" s="9"/>
      <c r="F21" s="75" t="s">
        <v>638</v>
      </c>
      <c r="G21" s="75" t="s">
        <v>920</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944</v>
      </c>
      <c r="I6" s="26" t="str">
        <f>CONCATENATE("Title: ##34#",B6,"##34#")</f>
        <v>Title: ##34#A.1.5 - Author##34#</v>
      </c>
    </row>
    <row r="7" spans="1:11" ht="45" customHeight="1" x14ac:dyDescent="0.75">
      <c r="A7" s="46" t="s">
        <v>5</v>
      </c>
      <c r="B7" s="58" t="s">
        <v>938</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s="118" t="s">
        <v>857</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796</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816</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820</v>
      </c>
      <c r="E17" s="9"/>
      <c r="F17" s="75" t="s">
        <v>638</v>
      </c>
      <c r="G17" s="82" t="s">
        <v>817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821</v>
      </c>
      <c r="E18" s="9"/>
      <c r="F18" s="75" t="s">
        <v>638</v>
      </c>
      <c r="G18" s="75" t="s">
        <v>818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822</v>
      </c>
      <c r="E19" s="9"/>
      <c r="F19" s="75" t="s">
        <v>638</v>
      </c>
      <c r="G19" s="75" t="s">
        <v>819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823</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825</v>
      </c>
      <c r="E17" s="9"/>
      <c r="F17" s="75" t="s">
        <v>638</v>
      </c>
      <c r="G17" s="75" t="s">
        <v>824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827</v>
      </c>
      <c r="E18" s="9"/>
      <c r="F18" s="75" t="s">
        <v>638</v>
      </c>
      <c r="G18" s="75" t="s">
        <v>826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828</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829</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831</v>
      </c>
      <c r="E16" s="9"/>
      <c r="F16" s="75" t="s">
        <v>637</v>
      </c>
      <c r="G16" s="75" t="s">
        <v>830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834</v>
      </c>
      <c r="E17" s="9"/>
      <c r="F17" s="75" t="s">
        <v>637</v>
      </c>
      <c r="G17" s="14" t="s">
        <v>832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835</v>
      </c>
      <c r="E18" s="9"/>
      <c r="F18" s="75" t="s">
        <v>637</v>
      </c>
      <c r="G18" s="14" t="s">
        <v>833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946</v>
      </c>
      <c r="I6" s="26" t="str">
        <f>CONCATENATE("Title: ##34#",B6,"##34#")</f>
        <v>Title: ##34#A.1.6 - Legal authenticator##34#</v>
      </c>
    </row>
    <row r="7" spans="1:11" ht="44.25" x14ac:dyDescent="0.75">
      <c r="A7" s="46" t="s">
        <v>5</v>
      </c>
      <c r="B7" s="58" t="s">
        <v>939</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929</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836</v>
      </c>
      <c r="E15" s="9"/>
      <c r="F15" s="75" t="s">
        <v>637</v>
      </c>
      <c r="G15" t="s">
        <v>837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841</v>
      </c>
      <c r="E16" s="9"/>
      <c r="F16" s="75" t="s">
        <v>637</v>
      </c>
      <c r="G16" s="14" t="s">
        <v>838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842</v>
      </c>
      <c r="E17" s="9"/>
      <c r="F17" s="75" t="s">
        <v>637</v>
      </c>
      <c r="G17" s="14" t="s">
        <v>839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843</v>
      </c>
      <c r="E18" s="9"/>
      <c r="F18" s="75" t="s">
        <v>637</v>
      </c>
      <c r="G18" s="14" t="s">
        <v>840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844</v>
      </c>
      <c r="E19" s="9"/>
      <c r="F19" s="75" t="s">
        <v>637</v>
      </c>
      <c r="G19" s="14" t="s">
        <v>845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947</v>
      </c>
      <c r="I6" s="26" t="str">
        <f>CONCATENATE("Title: ##34#",B6,"##34#")</f>
        <v>Title: ##34#A.1.7 - Result validator##34#</v>
      </c>
    </row>
    <row r="7" spans="1:11" x14ac:dyDescent="0.75">
      <c r="A7" s="46" t="s">
        <v>5</v>
      </c>
      <c r="B7" s="58" t="s">
        <v>940</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930</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836</v>
      </c>
      <c r="F15" s="75" t="s">
        <v>637</v>
      </c>
      <c r="G15" t="s">
        <v>846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841</v>
      </c>
      <c r="F16" s="75" t="s">
        <v>637</v>
      </c>
      <c r="G16" s="14" t="s">
        <v>847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842</v>
      </c>
      <c r="F17" s="75" t="s">
        <v>637</v>
      </c>
      <c r="G17" s="14" t="s">
        <v>848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843</v>
      </c>
      <c r="F18" s="75" t="s">
        <v>637</v>
      </c>
      <c r="G18" s="14" t="s">
        <v>849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844</v>
      </c>
      <c r="F19" s="75" t="s">
        <v>637</v>
      </c>
      <c r="G19" s="14" t="s">
        <v>850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941</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931</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851</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852</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855</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853</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854</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853</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856</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875</v>
      </c>
      <c r="I6" s="26" t="str">
        <f>CONCATENATE("Title: ##34#",B6,"##34#")</f>
        <v>Title: ##34#A.4 - Specimen information##34#</v>
      </c>
    </row>
    <row r="7" spans="1:11" x14ac:dyDescent="0.75">
      <c r="A7" s="46" t="s">
        <v>5</v>
      </c>
      <c r="B7" s="19" t="s">
        <v>942</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J43" workbookViewId="0">
      <selection activeCell="P21" sqref="P21: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932</v>
      </c>
      <c r="D4" s="73" t="s">
        <v>664</v>
      </c>
      <c r="E4" s="118" t="s">
        <v>877</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877</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24" si="4">IF(G15&lt;&gt;"",CONCATENATE("* group[=].element[=].target.comment = ","##34#",G15,"##34#"),"")</f>
        <v/>
      </c>
      <c r="P15" s="9">
        <v>1</v>
      </c>
      <c r="Q15" s="9">
        <f t="shared" ref="Q15" si="5">IF(MOD(P15,$Q$8)=0,P15/$Q$8-1,INT(P15/$Q$8))</f>
        <v>0</v>
      </c>
      <c r="R15" s="9">
        <f t="shared" ref="R15" si="6">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876</v>
      </c>
      <c r="E16" s="9"/>
      <c r="F16" s="75" t="s">
        <v>638</v>
      </c>
      <c r="G16" s="75" t="s">
        <v>949</v>
      </c>
      <c r="H16" s="76"/>
      <c r="I16" s="14" t="str">
        <f t="shared" ref="I16:I24" si="7">"* group[=].element[+].code = #"&amp;$B$14&amp;"."&amp;B16</f>
        <v>* group[=].element[+].code = #SpecimenLab.speciesType</v>
      </c>
      <c r="J16" s="14" t="str">
        <f t="shared" ref="J16:J24" si="8">"* group[=].element[=].display = ##34#"&amp;C16&amp;"##34#"</f>
        <v>* group[=].element[=].display = ##34#A.4.2 Type of species##34#</v>
      </c>
      <c r="K16" s="14" t="str">
        <f t="shared" ref="K16:K24" si="9">IF(F16="unmatched","//-- unmatched","* group[=].element[=].target.code = #"&amp;$D$14&amp;"."&amp;D16)</f>
        <v>* group[=].element[=].target.code = #Specimen.subject.extension:patient-animal.extension:species</v>
      </c>
      <c r="L16" s="14" t="str">
        <f t="shared" ref="L16:L24" si="10">IF(F16="unmatched","//-- unmatched","* group[=].element[=].target.display = ##34#"&amp;E16&amp;"##34#")</f>
        <v>* group[=].element[=].target.display = ##34###34#</v>
      </c>
      <c r="M16" s="14" t="str">
        <f t="shared" ref="M16:M24" si="11">"* group[=].element[=].target.equivalence = #"&amp;F16</f>
        <v>* group[=].element[=].target.equivalence = #relatedto</v>
      </c>
      <c r="N16" s="14" t="str">
        <f t="shared" si="4"/>
        <v>* group[=].element[=].target.comment = ##34#subject.ofType(Patient)##34#</v>
      </c>
      <c r="P16" s="9">
        <v>2</v>
      </c>
      <c r="Q16" s="9">
        <f t="shared" ref="Q16:Q21" si="12">IF(MOD(P16,$Q$8)=0,P16/$Q$8-1,INT(P16/$Q$8))</f>
        <v>0</v>
      </c>
      <c r="R16" s="9">
        <f t="shared" ref="R16:R21" si="13">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INDEX('Specimen-ConceptMap-1'!$I$15:$N$124,Q19+1,R19)</f>
        <v>* group[=].element[=].target.equivalence = #equivalent</v>
      </c>
    </row>
    <row r="20" spans="1:19" ht="73.75" x14ac:dyDescent="0.75">
      <c r="A20" s="23"/>
      <c r="B20" s="9" t="str">
        <f>'A.4 Specimen'!B13</f>
        <v>morphology</v>
      </c>
      <c r="C20" s="9" t="str">
        <f>'A.4 Specimen'!C13</f>
        <v>A.4.6 Morphology</v>
      </c>
      <c r="D20" s="14" t="s">
        <v>878</v>
      </c>
      <c r="E20" s="14"/>
      <c r="F20" s="75" t="s">
        <v>638</v>
      </c>
      <c r="G20" s="75"/>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4"/>
        <v/>
      </c>
      <c r="P20" s="9">
        <v>6</v>
      </c>
      <c r="Q20" s="9">
        <f t="shared" si="12"/>
        <v>0</v>
      </c>
      <c r="R20" s="9">
        <f t="shared" si="13"/>
        <v>6</v>
      </c>
      <c r="S20" s="14" t="str" cm="1">
        <f t="array" ref="S20">INDEX('Specimen-ConceptMap-1'!$I$15:$N$124,Q20+1,R20)</f>
        <v/>
      </c>
    </row>
    <row r="21" spans="1:19" ht="73.75" customHeight="1" x14ac:dyDescent="0.75">
      <c r="A21" s="23"/>
      <c r="B21" s="9" t="str">
        <f>'A.4 Specimen'!B14</f>
        <v>sourceDevice</v>
      </c>
      <c r="C21" s="9" t="str">
        <f>'A.4 Specimen'!C14</f>
        <v>A.4.7 Source Device</v>
      </c>
      <c r="D21" s="14" t="s">
        <v>647</v>
      </c>
      <c r="E21" s="9"/>
      <c r="F21" s="75" t="s">
        <v>638</v>
      </c>
      <c r="G21" s="96" t="s">
        <v>957</v>
      </c>
      <c r="H21" s="76"/>
      <c r="I21" s="14" t="str">
        <f t="shared" si="7"/>
        <v>* group[=].element[+].code = #SpecimenLab.sourceDevice</v>
      </c>
      <c r="J21" s="14" t="str">
        <f t="shared" si="8"/>
        <v>* group[=].element[=].display = ##34#A.4.7 Source Device##34#</v>
      </c>
      <c r="K21" s="14" t="str">
        <f t="shared" si="9"/>
        <v>* group[=].element[=].target.code = #Specimen.subject</v>
      </c>
      <c r="L21" s="14" t="str">
        <f t="shared" si="10"/>
        <v>* group[=].element[=].target.display = ##34###34#</v>
      </c>
      <c r="M21" s="14" t="str">
        <f t="shared" si="11"/>
        <v>* group[=].element[=].target.equivalence = #relatedto</v>
      </c>
      <c r="N21" s="14" t="str">
        <f t="shared" si="4"/>
        <v>* group[=].element[=].target.comment = ##34#When the device (e.g. the catheter) is what has been examinated##34#</v>
      </c>
      <c r="P21" s="9">
        <v>7</v>
      </c>
      <c r="Q21" s="9">
        <f t="shared" si="12"/>
        <v>1</v>
      </c>
      <c r="R21" s="9">
        <f t="shared" si="13"/>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761</v>
      </c>
      <c r="E22" s="9"/>
      <c r="F22" s="75" t="s">
        <v>638</v>
      </c>
      <c r="G22" s="96" t="s">
        <v>958</v>
      </c>
      <c r="H22" s="76"/>
      <c r="I22" s="14" t="str">
        <f t="shared" si="7"/>
        <v>* group[=].element[+].code = #SpecimenLab.sourceDevice</v>
      </c>
      <c r="J22" s="14" t="str">
        <f t="shared" si="8"/>
        <v>* group[=].element[=].display = ##34#A.4.7 Source Device##34#</v>
      </c>
      <c r="K22" s="14" t="str">
        <f t="shared" si="9"/>
        <v>* group[=].element[=].target.code = #Specimen.collection.method</v>
      </c>
      <c r="L22" s="14" t="str">
        <f t="shared" si="10"/>
        <v>* group[=].element[=].target.display = ##34###34#</v>
      </c>
      <c r="M22" s="14" t="str">
        <f t="shared" si="11"/>
        <v>* group[=].element[=].target.equivalence = #relatedto</v>
      </c>
      <c r="N22" s="14" t="str">
        <f t="shared" si="4"/>
        <v>* group[=].element[=].target.comment = ##34#When the device is the mean used to collect the specimen (e.g blood collected from the catheter) ##34#</v>
      </c>
      <c r="P22" s="9">
        <v>8</v>
      </c>
      <c r="Q22" s="9">
        <f t="shared" ref="Q22:Q25" si="14">IF(MOD(P22,$Q$8)=0,P22/$Q$8-1,INT(P22/$Q$8))</f>
        <v>1</v>
      </c>
      <c r="R22" s="9">
        <f t="shared" ref="R22:R25" si="15">IF(MOD(P22,$Q$8)=0,$Q$8,MOD(P22,$Q$8))</f>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761</v>
      </c>
      <c r="E23" s="9"/>
      <c r="F23" s="75" t="s">
        <v>637</v>
      </c>
      <c r="G23" s="75"/>
      <c r="H23" s="76"/>
      <c r="I23" s="14" t="str">
        <f t="shared" si="7"/>
        <v>* group[=].element[+].code = #SpecimenLab.collectionMethod</v>
      </c>
      <c r="J23" s="14" t="str">
        <f t="shared" si="8"/>
        <v>* group[=].element[=].display = ##34#A.4.8 Collection procedure/method##34#</v>
      </c>
      <c r="K23" s="14" t="str">
        <f t="shared" si="9"/>
        <v>* group[=].element[=].target.code = #Specimen.collection.method</v>
      </c>
      <c r="L23" s="14" t="str">
        <f t="shared" si="10"/>
        <v>* group[=].element[=].target.display = ##34###34#</v>
      </c>
      <c r="M23" s="14" t="str">
        <f t="shared" si="11"/>
        <v>* group[=].element[=].target.equivalence = #equivalent</v>
      </c>
      <c r="N23" s="14" t="str">
        <f t="shared" si="4"/>
        <v/>
      </c>
      <c r="P23" s="9">
        <v>9</v>
      </c>
      <c r="Q23" s="9">
        <f t="shared" si="14"/>
        <v>1</v>
      </c>
      <c r="R23" s="9">
        <f t="shared" si="15"/>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762</v>
      </c>
      <c r="E24" s="9"/>
      <c r="F24" s="75" t="s">
        <v>637</v>
      </c>
      <c r="G24" s="75"/>
      <c r="H24" s="76"/>
      <c r="I24" s="14" t="str">
        <f t="shared" si="7"/>
        <v>* group[=].element[+].code = #SpecimenLab.receivedDateTime</v>
      </c>
      <c r="J24" s="14" t="str">
        <f t="shared" si="8"/>
        <v>* group[=].element[=].display = ##34#A.4.9 Received date##34#</v>
      </c>
      <c r="K24" s="14" t="str">
        <f t="shared" si="9"/>
        <v>* group[=].element[=].target.code = #Specimen.receivedTime</v>
      </c>
      <c r="L24" s="14" t="str">
        <f t="shared" si="10"/>
        <v>* group[=].element[=].target.display = ##34###34#</v>
      </c>
      <c r="M24" s="14" t="str">
        <f t="shared" si="11"/>
        <v>* group[=].element[=].target.equivalence = #equivalent</v>
      </c>
      <c r="N24" s="14" t="str">
        <f t="shared" si="4"/>
        <v/>
      </c>
      <c r="P24" s="9">
        <v>10</v>
      </c>
      <c r="Q24" s="9">
        <f t="shared" si="14"/>
        <v>1</v>
      </c>
      <c r="R24" s="9">
        <f t="shared" si="15"/>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14"/>
        <v>1</v>
      </c>
      <c r="R25" s="9">
        <f t="shared" si="15"/>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ref="Q26:Q77" si="16">IF(MOD(P26,$Q$8)=0,P26/$Q$8-1,INT(P26/$Q$8))</f>
        <v>1</v>
      </c>
      <c r="R26" s="9">
        <f t="shared" ref="R26:R77" si="17">IF(MOD(P26,$Q$8)=0,$Q$8,MOD(P26,$Q$8))</f>
        <v>6</v>
      </c>
      <c r="S26" s="14" t="str" cm="1">
        <f t="array" ref="S26">INDEX('Specimen-ConceptMap-1'!$I$15:$N$124,Q26+1,R26)</f>
        <v>* group[=].element[=].target.comment = ##34#subject.ofType(Patient)##34#</v>
      </c>
    </row>
    <row r="27" spans="1:19" ht="29.5" x14ac:dyDescent="0.75">
      <c r="A27" s="23"/>
      <c r="B27" s="9"/>
      <c r="C27" s="9"/>
      <c r="D27" s="14"/>
      <c r="E27" s="14"/>
      <c r="F27" s="75"/>
      <c r="G27" s="75"/>
      <c r="H27" s="76"/>
      <c r="I27" s="14"/>
      <c r="J27" s="14"/>
      <c r="K27" s="14"/>
      <c r="L27" s="14"/>
      <c r="M27" s="14"/>
      <c r="N27" s="14"/>
      <c r="P27" s="9">
        <v>13</v>
      </c>
      <c r="Q27" s="9">
        <f t="shared" si="16"/>
        <v>2</v>
      </c>
      <c r="R27" s="9">
        <f t="shared" si="17"/>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16"/>
        <v>2</v>
      </c>
      <c r="R28" s="9">
        <f t="shared" si="17"/>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16"/>
        <v>2</v>
      </c>
      <c r="R29" s="9">
        <f t="shared" si="17"/>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16"/>
        <v>2</v>
      </c>
      <c r="R30" s="9">
        <f t="shared" si="17"/>
        <v>4</v>
      </c>
      <c r="S30" s="14" t="str" cm="1">
        <f t="array" ref="S30">INDEX('Specimen-ConceptMap-1'!$I$15:$N$124,Q30+1,R30)</f>
        <v>* group[=].element[=].target.display = ##34###34#</v>
      </c>
    </row>
    <row r="31" spans="1:19" ht="29.5" x14ac:dyDescent="0.75">
      <c r="B31" s="9"/>
      <c r="C31" s="9"/>
      <c r="D31" s="14"/>
      <c r="E31" s="14"/>
      <c r="F31" s="75"/>
      <c r="G31" s="75"/>
      <c r="H31" s="76"/>
      <c r="I31" s="14"/>
      <c r="J31" s="14"/>
      <c r="K31" s="14"/>
      <c r="L31" s="14"/>
      <c r="M31" s="14"/>
      <c r="N31" s="14"/>
      <c r="P31" s="9">
        <v>17</v>
      </c>
      <c r="Q31" s="9">
        <f t="shared" si="16"/>
        <v>2</v>
      </c>
      <c r="R31" s="9">
        <f t="shared" si="17"/>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16"/>
        <v>2</v>
      </c>
      <c r="R32" s="9">
        <f t="shared" si="17"/>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16"/>
        <v>3</v>
      </c>
      <c r="R33" s="9">
        <f t="shared" si="17"/>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16"/>
        <v>3</v>
      </c>
      <c r="R34" s="9">
        <f t="shared" si="17"/>
        <v>2</v>
      </c>
      <c r="S34" s="14" t="str" cm="1">
        <f t="array" ref="S34">INDEX('Specimen-ConceptMap-1'!$I$15:$N$124,Q34+1,R34)</f>
        <v>* group[=].element[=].display = ##34#A.4.4 Collection period##34#</v>
      </c>
    </row>
    <row r="35" spans="1:19" ht="29.5" x14ac:dyDescent="0.75">
      <c r="B35" s="9"/>
      <c r="C35" s="9"/>
      <c r="D35" s="14"/>
      <c r="E35" s="14"/>
      <c r="F35" s="75"/>
      <c r="G35" s="75"/>
      <c r="H35" s="76"/>
      <c r="I35" s="14"/>
      <c r="J35" s="14"/>
      <c r="K35" s="14"/>
      <c r="L35" s="14"/>
      <c r="M35" s="14"/>
      <c r="N35" s="1"/>
      <c r="P35" s="9">
        <v>21</v>
      </c>
      <c r="Q35" s="9">
        <f t="shared" si="16"/>
        <v>3</v>
      </c>
      <c r="R35" s="9">
        <f t="shared" si="17"/>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6"/>
        <v>3</v>
      </c>
      <c r="R36" s="9">
        <f t="shared" si="17"/>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16"/>
        <v>3</v>
      </c>
      <c r="R37" s="9">
        <f t="shared" si="17"/>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16"/>
        <v>3</v>
      </c>
      <c r="R38" s="9">
        <f t="shared" si="17"/>
        <v>6</v>
      </c>
      <c r="S38" s="14" t="str" cm="1">
        <f t="array" ref="S38">INDEX('Specimen-ConceptMap-1'!$I$15:$N$124,Q38+1,R38)</f>
        <v/>
      </c>
    </row>
    <row r="39" spans="1:19" ht="29.5" x14ac:dyDescent="0.75">
      <c r="B39" s="9"/>
      <c r="C39" s="9"/>
      <c r="D39" s="14"/>
      <c r="E39" s="14"/>
      <c r="F39" s="75"/>
      <c r="G39" s="75"/>
      <c r="H39" s="76"/>
      <c r="K39" s="76"/>
      <c r="L39" s="76"/>
      <c r="M39" s="74"/>
      <c r="N39" s="74"/>
      <c r="P39" s="9">
        <v>25</v>
      </c>
      <c r="Q39" s="9">
        <f t="shared" si="16"/>
        <v>4</v>
      </c>
      <c r="R39" s="9">
        <f t="shared" si="17"/>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16"/>
        <v>4</v>
      </c>
      <c r="R40" s="9">
        <f t="shared" si="17"/>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16"/>
        <v>4</v>
      </c>
      <c r="R41" s="9">
        <f t="shared" si="17"/>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16"/>
        <v>4</v>
      </c>
      <c r="R42" s="9">
        <f t="shared" si="17"/>
        <v>4</v>
      </c>
      <c r="S42" s="14" t="str" cm="1">
        <f t="array" ref="S42">INDEX('Specimen-ConceptMap-1'!$I$15:$N$124,Q42+1,R42)</f>
        <v>* group[=].element[=].target.display = ##34###34#</v>
      </c>
    </row>
    <row r="43" spans="1:19" s="1" customFormat="1" ht="29.5" x14ac:dyDescent="0.75">
      <c r="A43"/>
      <c r="B43" s="9"/>
      <c r="C43" s="9"/>
      <c r="F43" s="76"/>
      <c r="G43" s="76"/>
      <c r="H43" s="76"/>
      <c r="J43" s="76"/>
      <c r="K43" s="76"/>
      <c r="L43" s="76"/>
      <c r="M43" s="74"/>
      <c r="N43" s="74"/>
      <c r="P43" s="9">
        <v>29</v>
      </c>
      <c r="Q43" s="9">
        <f t="shared" si="16"/>
        <v>4</v>
      </c>
      <c r="R43" s="9">
        <f t="shared" si="17"/>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16"/>
        <v>4</v>
      </c>
      <c r="R44" s="9">
        <f t="shared" si="17"/>
        <v>6</v>
      </c>
      <c r="S44" s="14" t="str" cm="1">
        <f t="array" ref="S44">INDEX('Specimen-ConceptMap-1'!$I$15:$N$124,Q44+1,R44)</f>
        <v/>
      </c>
    </row>
    <row r="45" spans="1:19" x14ac:dyDescent="0.75">
      <c r="P45" s="9">
        <v>31</v>
      </c>
      <c r="Q45" s="9">
        <f t="shared" si="16"/>
        <v>5</v>
      </c>
      <c r="R45" s="9">
        <f t="shared" si="17"/>
        <v>1</v>
      </c>
      <c r="S45" s="14" t="str" cm="1">
        <f t="array" ref="S45">INDEX('Specimen-ConceptMap-1'!$I$15:$N$124,Q45+1,R45)</f>
        <v>* group[=].element[+].code = #SpecimenLab.morphology</v>
      </c>
    </row>
    <row r="46" spans="1:19" x14ac:dyDescent="0.75">
      <c r="P46" s="9">
        <v>32</v>
      </c>
      <c r="Q46" s="9">
        <f t="shared" si="16"/>
        <v>5</v>
      </c>
      <c r="R46" s="9">
        <f t="shared" si="17"/>
        <v>2</v>
      </c>
      <c r="S46" s="14" t="str" cm="1">
        <f t="array" ref="S46">INDEX('Specimen-ConceptMap-1'!$I$15:$N$124,Q46+1,R46)</f>
        <v>* group[=].element[=].display = ##34#A.4.6 Morphology##34#</v>
      </c>
    </row>
    <row r="47" spans="1:19" ht="29.5" x14ac:dyDescent="0.75">
      <c r="P47" s="9">
        <v>33</v>
      </c>
      <c r="Q47" s="9">
        <f t="shared" si="16"/>
        <v>5</v>
      </c>
      <c r="R47" s="9">
        <f t="shared" si="17"/>
        <v>3</v>
      </c>
      <c r="S47" s="14" t="str" cm="1">
        <f t="array" ref="S47">INDEX('Specimen-ConceptMap-1'!$I$15:$N$124,Q47+1,R47)</f>
        <v>* group[=].element[=].target.code = #Specimen.extension:SpecimenFeatureTypeR5</v>
      </c>
    </row>
    <row r="48" spans="1:19" x14ac:dyDescent="0.75">
      <c r="P48" s="9">
        <v>34</v>
      </c>
      <c r="Q48" s="9">
        <f t="shared" si="16"/>
        <v>5</v>
      </c>
      <c r="R48" s="9">
        <f t="shared" si="17"/>
        <v>4</v>
      </c>
      <c r="S48" s="14" t="str" cm="1">
        <f t="array" ref="S48">INDEX('Specimen-ConceptMap-1'!$I$15:$N$124,Q48+1,R48)</f>
        <v>* group[=].element[=].target.display = ##34###34#</v>
      </c>
    </row>
    <row r="49" spans="16:19" x14ac:dyDescent="0.75">
      <c r="P49" s="9">
        <v>35</v>
      </c>
      <c r="Q49" s="9">
        <f t="shared" si="16"/>
        <v>5</v>
      </c>
      <c r="R49" s="9">
        <f t="shared" si="17"/>
        <v>5</v>
      </c>
      <c r="S49" s="14" t="str" cm="1">
        <f t="array" ref="S49">INDEX('Specimen-ConceptMap-1'!$I$15:$N$124,Q49+1,R49)</f>
        <v>* group[=].element[=].target.equivalence = #relatedto</v>
      </c>
    </row>
    <row r="50" spans="16:19" x14ac:dyDescent="0.75">
      <c r="P50" s="9">
        <v>36</v>
      </c>
      <c r="Q50" s="9">
        <f t="shared" si="16"/>
        <v>5</v>
      </c>
      <c r="R50" s="9">
        <f t="shared" si="17"/>
        <v>6</v>
      </c>
      <c r="S50" s="14" t="str" cm="1">
        <f t="array" ref="S50">INDEX('Specimen-ConceptMap-1'!$I$15:$N$124,Q50+1,R50)</f>
        <v/>
      </c>
    </row>
    <row r="51" spans="16:19" x14ac:dyDescent="0.75">
      <c r="P51" s="9">
        <v>37</v>
      </c>
      <c r="Q51" s="9">
        <f t="shared" si="16"/>
        <v>6</v>
      </c>
      <c r="R51" s="9">
        <f t="shared" si="17"/>
        <v>1</v>
      </c>
      <c r="S51" s="14" t="str" cm="1">
        <f t="array" ref="S51">INDEX('Specimen-ConceptMap-1'!$I$15:$N$124,Q51+1,R51)</f>
        <v>* group[=].element[+].code = #SpecimenLab.sourceDevice</v>
      </c>
    </row>
    <row r="52" spans="16:19" x14ac:dyDescent="0.75">
      <c r="P52" s="9">
        <v>38</v>
      </c>
      <c r="Q52" s="9">
        <f t="shared" si="16"/>
        <v>6</v>
      </c>
      <c r="R52" s="9">
        <f t="shared" si="17"/>
        <v>2</v>
      </c>
      <c r="S52" s="14" t="str" cm="1">
        <f t="array" ref="S52">INDEX('Specimen-ConceptMap-1'!$I$15:$N$124,Q52+1,R52)</f>
        <v>* group[=].element[=].display = ##34#A.4.7 Source Device##34#</v>
      </c>
    </row>
    <row r="53" spans="16:19" x14ac:dyDescent="0.75">
      <c r="P53" s="9">
        <v>39</v>
      </c>
      <c r="Q53" s="9">
        <f t="shared" si="16"/>
        <v>6</v>
      </c>
      <c r="R53" s="9">
        <f t="shared" si="17"/>
        <v>3</v>
      </c>
      <c r="S53" s="14" t="str" cm="1">
        <f t="array" ref="S53">INDEX('Specimen-ConceptMap-1'!$I$15:$N$124,Q53+1,R53)</f>
        <v>* group[=].element[=].target.code = #Specimen.subject</v>
      </c>
    </row>
    <row r="54" spans="16:19" x14ac:dyDescent="0.75">
      <c r="P54" s="9">
        <v>40</v>
      </c>
      <c r="Q54" s="9">
        <f t="shared" si="16"/>
        <v>6</v>
      </c>
      <c r="R54" s="9">
        <f t="shared" si="17"/>
        <v>4</v>
      </c>
      <c r="S54" s="14" t="str" cm="1">
        <f t="array" ref="S54">INDEX('Specimen-ConceptMap-1'!$I$15:$N$124,Q54+1,R54)</f>
        <v>* group[=].element[=].target.display = ##34###34#</v>
      </c>
    </row>
    <row r="55" spans="16:19" x14ac:dyDescent="0.75">
      <c r="P55" s="9">
        <v>41</v>
      </c>
      <c r="Q55" s="9">
        <f t="shared" si="16"/>
        <v>6</v>
      </c>
      <c r="R55" s="9">
        <f t="shared" si="17"/>
        <v>5</v>
      </c>
      <c r="S55" s="14" t="str" cm="1">
        <f t="array" ref="S55">INDEX('Specimen-ConceptMap-1'!$I$15:$N$124,Q55+1,R55)</f>
        <v>* group[=].element[=].target.equivalence = #relatedto</v>
      </c>
    </row>
    <row r="56" spans="16:19" ht="29.5" x14ac:dyDescent="0.75">
      <c r="P56" s="9">
        <v>42</v>
      </c>
      <c r="Q56" s="9">
        <f t="shared" si="16"/>
        <v>6</v>
      </c>
      <c r="R56" s="9">
        <f t="shared" si="17"/>
        <v>6</v>
      </c>
      <c r="S56" s="14" t="str" cm="1">
        <f t="array" ref="S56">INDEX('Specimen-ConceptMap-1'!$I$15:$N$124,Q56+1,R56)</f>
        <v>* group[=].element[=].target.comment = ##34#When the device (e.g. the catheter) is what has been examinated##34#</v>
      </c>
    </row>
    <row r="57" spans="16:19" x14ac:dyDescent="0.75">
      <c r="P57" s="9">
        <v>43</v>
      </c>
      <c r="Q57" s="9">
        <f t="shared" si="16"/>
        <v>7</v>
      </c>
      <c r="R57" s="9">
        <f t="shared" si="17"/>
        <v>1</v>
      </c>
      <c r="S57" s="14" t="str" cm="1">
        <f t="array" ref="S57">INDEX('Specimen-ConceptMap-1'!$I$15:$N$124,Q57+1,R57)</f>
        <v>* group[=].element[+].code = #SpecimenLab.sourceDevice</v>
      </c>
    </row>
    <row r="58" spans="16:19" x14ac:dyDescent="0.75">
      <c r="P58" s="9">
        <v>44</v>
      </c>
      <c r="Q58" s="9">
        <f t="shared" si="16"/>
        <v>7</v>
      </c>
      <c r="R58" s="9">
        <f t="shared" si="17"/>
        <v>2</v>
      </c>
      <c r="S58" s="14" t="str" cm="1">
        <f t="array" ref="S58">INDEX('Specimen-ConceptMap-1'!$I$15:$N$124,Q58+1,R58)</f>
        <v>* group[=].element[=].display = ##34#A.4.7 Source Device##34#</v>
      </c>
    </row>
    <row r="59" spans="16:19" x14ac:dyDescent="0.75">
      <c r="P59" s="9">
        <v>45</v>
      </c>
      <c r="Q59" s="9">
        <f t="shared" si="16"/>
        <v>7</v>
      </c>
      <c r="R59" s="9">
        <f t="shared" si="17"/>
        <v>3</v>
      </c>
      <c r="S59" s="14" t="str" cm="1">
        <f t="array" ref="S59">INDEX('Specimen-ConceptMap-1'!$I$15:$N$124,Q59+1,R59)</f>
        <v>* group[=].element[=].target.code = #Specimen.collection.method</v>
      </c>
    </row>
    <row r="60" spans="16:19" x14ac:dyDescent="0.75">
      <c r="P60" s="9">
        <v>46</v>
      </c>
      <c r="Q60" s="9">
        <f t="shared" si="16"/>
        <v>7</v>
      </c>
      <c r="R60" s="9">
        <f t="shared" si="17"/>
        <v>4</v>
      </c>
      <c r="S60" s="14" t="str" cm="1">
        <f t="array" ref="S60">INDEX('Specimen-ConceptMap-1'!$I$15:$N$124,Q60+1,R60)</f>
        <v>* group[=].element[=].target.display = ##34###34#</v>
      </c>
    </row>
    <row r="61" spans="16:19" x14ac:dyDescent="0.75">
      <c r="P61" s="9">
        <v>47</v>
      </c>
      <c r="Q61" s="9">
        <f t="shared" si="16"/>
        <v>7</v>
      </c>
      <c r="R61" s="9">
        <f t="shared" si="17"/>
        <v>5</v>
      </c>
      <c r="S61" s="14" t="str" cm="1">
        <f t="array" ref="S61">INDEX('Specimen-ConceptMap-1'!$I$15:$N$124,Q61+1,R61)</f>
        <v>* group[=].element[=].target.equivalence = #relatedto</v>
      </c>
    </row>
    <row r="62" spans="16:19" ht="29.5" x14ac:dyDescent="0.75">
      <c r="P62" s="9">
        <v>48</v>
      </c>
      <c r="Q62" s="9">
        <f t="shared" si="16"/>
        <v>7</v>
      </c>
      <c r="R62" s="9">
        <f t="shared" si="17"/>
        <v>6</v>
      </c>
      <c r="S62" s="14" t="str" cm="1">
        <f t="array" ref="S62">INDEX('Specimen-ConceptMap-1'!$I$15:$N$124,Q62+1,R62)</f>
        <v>* group[=].element[=].target.comment = ##34#When the device is the mean used to collect the specimen (e.g blood collected from the catheter) ##34#</v>
      </c>
    </row>
    <row r="63" spans="16:19" x14ac:dyDescent="0.75">
      <c r="P63" s="9">
        <v>49</v>
      </c>
      <c r="Q63" s="9">
        <f t="shared" si="16"/>
        <v>8</v>
      </c>
      <c r="R63" s="9">
        <f t="shared" si="17"/>
        <v>1</v>
      </c>
      <c r="S63" s="14" t="str" cm="1">
        <f t="array" ref="S63">INDEX('Specimen-ConceptMap-1'!$I$15:$N$124,Q63+1,R63)</f>
        <v>* group[=].element[+].code = #SpecimenLab.collectionMethod</v>
      </c>
    </row>
    <row r="64" spans="16:19" x14ac:dyDescent="0.75">
      <c r="P64" s="9">
        <v>50</v>
      </c>
      <c r="Q64" s="9">
        <f t="shared" si="16"/>
        <v>8</v>
      </c>
      <c r="R64" s="9">
        <f t="shared" si="17"/>
        <v>2</v>
      </c>
      <c r="S64" s="14" t="str" cm="1">
        <f t="array" ref="S64">INDEX('Specimen-ConceptMap-1'!$I$15:$N$124,Q64+1,R64)</f>
        <v>* group[=].element[=].display = ##34#A.4.8 Collection procedure/method##34#</v>
      </c>
    </row>
    <row r="65" spans="16:19" x14ac:dyDescent="0.75">
      <c r="P65" s="9">
        <v>51</v>
      </c>
      <c r="Q65" s="9">
        <f t="shared" si="16"/>
        <v>8</v>
      </c>
      <c r="R65" s="9">
        <f t="shared" si="17"/>
        <v>3</v>
      </c>
      <c r="S65" s="14" t="str" cm="1">
        <f t="array" ref="S65">INDEX('Specimen-ConceptMap-1'!$I$15:$N$124,Q65+1,R65)</f>
        <v>* group[=].element[=].target.code = #Specimen.collection.method</v>
      </c>
    </row>
    <row r="66" spans="16:19" x14ac:dyDescent="0.75">
      <c r="P66" s="9">
        <v>52</v>
      </c>
      <c r="Q66" s="9">
        <f t="shared" si="16"/>
        <v>8</v>
      </c>
      <c r="R66" s="9">
        <f t="shared" si="17"/>
        <v>4</v>
      </c>
      <c r="S66" s="14" t="str" cm="1">
        <f t="array" ref="S66">INDEX('Specimen-ConceptMap-1'!$I$15:$N$124,Q66+1,R66)</f>
        <v>* group[=].element[=].target.display = ##34###34#</v>
      </c>
    </row>
    <row r="67" spans="16:19" x14ac:dyDescent="0.75">
      <c r="P67" s="9">
        <v>53</v>
      </c>
      <c r="Q67" s="9">
        <f t="shared" si="16"/>
        <v>8</v>
      </c>
      <c r="R67" s="9">
        <f t="shared" si="17"/>
        <v>5</v>
      </c>
      <c r="S67" s="14" t="str" cm="1">
        <f t="array" ref="S67">INDEX('Specimen-ConceptMap-1'!$I$15:$N$124,Q67+1,R67)</f>
        <v>* group[=].element[=].target.equivalence = #equivalent</v>
      </c>
    </row>
    <row r="68" spans="16:19" x14ac:dyDescent="0.75">
      <c r="P68" s="9">
        <v>54</v>
      </c>
      <c r="Q68" s="9">
        <f t="shared" si="16"/>
        <v>8</v>
      </c>
      <c r="R68" s="9">
        <f t="shared" si="17"/>
        <v>6</v>
      </c>
      <c r="S68" s="14" t="str" cm="1">
        <f t="array" ref="S68">INDEX('Specimen-ConceptMap-1'!$I$15:$N$124,Q68+1,R68)</f>
        <v/>
      </c>
    </row>
    <row r="69" spans="16:19" x14ac:dyDescent="0.75">
      <c r="P69" s="9">
        <v>55</v>
      </c>
      <c r="Q69" s="9">
        <f t="shared" si="16"/>
        <v>9</v>
      </c>
      <c r="R69" s="9">
        <f t="shared" si="17"/>
        <v>1</v>
      </c>
      <c r="S69" s="14" t="str" cm="1">
        <f t="array" ref="S69">INDEX('Specimen-ConceptMap-1'!$I$15:$N$124,Q69+1,R69)</f>
        <v>* group[=].element[+].code = #SpecimenLab.receivedDateTime</v>
      </c>
    </row>
    <row r="70" spans="16:19" x14ac:dyDescent="0.75">
      <c r="P70" s="9">
        <v>56</v>
      </c>
      <c r="Q70" s="9">
        <f t="shared" si="16"/>
        <v>9</v>
      </c>
      <c r="R70" s="9">
        <f t="shared" si="17"/>
        <v>2</v>
      </c>
      <c r="S70" s="14" t="str" cm="1">
        <f t="array" ref="S70">INDEX('Specimen-ConceptMap-1'!$I$15:$N$124,Q70+1,R70)</f>
        <v>* group[=].element[=].display = ##34#A.4.9 Received date##34#</v>
      </c>
    </row>
    <row r="71" spans="16:19" x14ac:dyDescent="0.75">
      <c r="P71" s="9">
        <v>57</v>
      </c>
      <c r="Q71" s="9">
        <f t="shared" si="16"/>
        <v>9</v>
      </c>
      <c r="R71" s="9">
        <f t="shared" si="17"/>
        <v>3</v>
      </c>
      <c r="S71" s="14" t="str" cm="1">
        <f t="array" ref="S71">INDEX('Specimen-ConceptMap-1'!$I$15:$N$124,Q71+1,R71)</f>
        <v>* group[=].element[=].target.code = #Specimen.receivedTime</v>
      </c>
    </row>
    <row r="72" spans="16:19" x14ac:dyDescent="0.75">
      <c r="P72" s="9">
        <v>58</v>
      </c>
      <c r="Q72" s="9">
        <f t="shared" si="16"/>
        <v>9</v>
      </c>
      <c r="R72" s="9">
        <f t="shared" si="17"/>
        <v>4</v>
      </c>
      <c r="S72" s="14" t="str" cm="1">
        <f t="array" ref="S72">INDEX('Specimen-ConceptMap-1'!$I$15:$N$124,Q72+1,R72)</f>
        <v>* group[=].element[=].target.display = ##34###34#</v>
      </c>
    </row>
    <row r="73" spans="16:19" x14ac:dyDescent="0.75">
      <c r="P73" s="9">
        <v>59</v>
      </c>
      <c r="Q73" s="9">
        <f t="shared" si="16"/>
        <v>9</v>
      </c>
      <c r="R73" s="9">
        <f t="shared" si="17"/>
        <v>5</v>
      </c>
      <c r="S73" s="14" t="str" cm="1">
        <f t="array" ref="S73">INDEX('Specimen-ConceptMap-1'!$I$15:$N$124,Q73+1,R73)</f>
        <v>* group[=].element[=].target.equivalence = #equivalent</v>
      </c>
    </row>
    <row r="74" spans="16:19" x14ac:dyDescent="0.75">
      <c r="P74" s="9">
        <v>60</v>
      </c>
      <c r="Q74" s="9">
        <f t="shared" si="16"/>
        <v>9</v>
      </c>
      <c r="R74" s="9">
        <f t="shared" si="17"/>
        <v>6</v>
      </c>
      <c r="S74" s="14" t="str" cm="1">
        <f t="array" ref="S74">INDEX('Specimen-ConceptMap-1'!$I$15:$N$124,Q74+1,R74)</f>
        <v/>
      </c>
    </row>
    <row r="75" spans="16:19" x14ac:dyDescent="0.75">
      <c r="P75" s="9">
        <v>61</v>
      </c>
      <c r="Q75" s="9">
        <f t="shared" si="16"/>
        <v>10</v>
      </c>
      <c r="R75" s="9">
        <f t="shared" si="17"/>
        <v>1</v>
      </c>
      <c r="S75" s="14" cm="1">
        <f t="array" ref="S75">INDEX('Specimen-ConceptMap-1'!$I$15:$N$124,Q75+1,R75)</f>
        <v>0</v>
      </c>
    </row>
    <row r="76" spans="16:19" x14ac:dyDescent="0.75">
      <c r="P76" s="9">
        <v>62</v>
      </c>
      <c r="Q76" s="9">
        <f t="shared" si="16"/>
        <v>10</v>
      </c>
      <c r="R76" s="9">
        <f t="shared" si="17"/>
        <v>2</v>
      </c>
      <c r="S76" s="14" cm="1">
        <f t="array" ref="S76">INDEX('Specimen-ConceptMap-1'!$I$15:$N$124,Q76+1,R76)</f>
        <v>0</v>
      </c>
    </row>
    <row r="77" spans="16:19" x14ac:dyDescent="0.75">
      <c r="P77" s="9">
        <v>63</v>
      </c>
      <c r="Q77" s="9">
        <f t="shared" si="16"/>
        <v>10</v>
      </c>
      <c r="R77" s="9">
        <f t="shared" si="17"/>
        <v>3</v>
      </c>
      <c r="S77" s="14" cm="1">
        <f t="array" ref="S77">INDEX('Specimen-ConceptMap-1'!$I$15:$N$124,Q77+1,R77)</f>
        <v>0</v>
      </c>
    </row>
    <row r="78" spans="16:19" x14ac:dyDescent="0.75">
      <c r="P78" s="9">
        <v>64</v>
      </c>
      <c r="Q78" s="9">
        <f t="shared" ref="Q78:Q86" si="18">IF(MOD(P78,$Q$8)=0,P78/$Q$8-1,INT(P78/$Q$8))</f>
        <v>10</v>
      </c>
      <c r="R78" s="9">
        <f t="shared" ref="R78:R86" si="19">IF(MOD(P78,$Q$8)=0,$Q$8,MOD(P78,$Q$8))</f>
        <v>4</v>
      </c>
      <c r="S78" s="14" cm="1">
        <f t="array" ref="S78">INDEX('Specimen-ConceptMap-1'!$I$15:$N$124,Q78+1,R78)</f>
        <v>0</v>
      </c>
    </row>
    <row r="79" spans="16:19" x14ac:dyDescent="0.75">
      <c r="P79" s="9">
        <v>65</v>
      </c>
      <c r="Q79" s="9">
        <f t="shared" si="18"/>
        <v>10</v>
      </c>
      <c r="R79" s="9">
        <f t="shared" si="19"/>
        <v>5</v>
      </c>
      <c r="S79" s="14" cm="1">
        <f t="array" ref="S79">INDEX('Specimen-ConceptMap-1'!$I$15:$N$124,Q79+1,R79)</f>
        <v>0</v>
      </c>
    </row>
    <row r="80" spans="16:19" x14ac:dyDescent="0.75">
      <c r="P80" s="9">
        <v>66</v>
      </c>
      <c r="Q80" s="9">
        <f t="shared" si="18"/>
        <v>10</v>
      </c>
      <c r="R80" s="9">
        <f t="shared" si="19"/>
        <v>6</v>
      </c>
      <c r="S80" s="14" cm="1">
        <f t="array" ref="S80">INDEX('Specimen-ConceptMap-1'!$I$15:$N$124,Q80+1,R80)</f>
        <v>0</v>
      </c>
    </row>
    <row r="81" spans="16:19" x14ac:dyDescent="0.75">
      <c r="P81" s="9">
        <v>67</v>
      </c>
      <c r="Q81" s="9">
        <f t="shared" si="18"/>
        <v>11</v>
      </c>
      <c r="R81" s="9">
        <f t="shared" si="19"/>
        <v>1</v>
      </c>
      <c r="S81" s="14" cm="1">
        <f t="array" ref="S81">INDEX('Specimen-ConceptMap-1'!$I$15:$N$124,Q81+1,R81)</f>
        <v>0</v>
      </c>
    </row>
    <row r="82" spans="16:19" x14ac:dyDescent="0.75">
      <c r="P82" s="9">
        <v>68</v>
      </c>
      <c r="Q82" s="9">
        <f t="shared" si="18"/>
        <v>11</v>
      </c>
      <c r="R82" s="9">
        <f t="shared" si="19"/>
        <v>2</v>
      </c>
      <c r="S82" s="14" cm="1">
        <f t="array" ref="S82">INDEX('Specimen-ConceptMap-1'!$I$15:$N$124,Q82+1,R82)</f>
        <v>0</v>
      </c>
    </row>
    <row r="83" spans="16:19" x14ac:dyDescent="0.75">
      <c r="P83" s="9">
        <v>69</v>
      </c>
      <c r="Q83" s="9">
        <f t="shared" si="18"/>
        <v>11</v>
      </c>
      <c r="R83" s="9">
        <f t="shared" si="19"/>
        <v>3</v>
      </c>
      <c r="S83" s="14" cm="1">
        <f t="array" ref="S83">INDEX('Specimen-ConceptMap-1'!$I$15:$N$124,Q83+1,R83)</f>
        <v>0</v>
      </c>
    </row>
    <row r="84" spans="16:19" x14ac:dyDescent="0.75">
      <c r="P84" s="9">
        <v>70</v>
      </c>
      <c r="Q84" s="9">
        <f t="shared" si="18"/>
        <v>11</v>
      </c>
      <c r="R84" s="9">
        <f t="shared" si="19"/>
        <v>4</v>
      </c>
      <c r="S84" s="14" cm="1">
        <f t="array" ref="S84">INDEX('Specimen-ConceptMap-1'!$I$15:$N$124,Q84+1,R84)</f>
        <v>0</v>
      </c>
    </row>
    <row r="85" spans="16:19" x14ac:dyDescent="0.75">
      <c r="P85" s="9">
        <v>71</v>
      </c>
      <c r="Q85" s="9">
        <f t="shared" si="18"/>
        <v>11</v>
      </c>
      <c r="R85" s="9">
        <f t="shared" si="19"/>
        <v>5</v>
      </c>
      <c r="S85" s="14" cm="1">
        <f t="array" ref="S85">INDEX('Specimen-ConceptMap-1'!$I$15:$N$124,Q85+1,R85)</f>
        <v>0</v>
      </c>
    </row>
    <row r="86" spans="16:19" x14ac:dyDescent="0.75">
      <c r="P86" s="9">
        <v>72</v>
      </c>
      <c r="Q86" s="9">
        <f t="shared" si="18"/>
        <v>11</v>
      </c>
      <c r="R86" s="9">
        <f t="shared" si="19"/>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87"/>
  <sheetViews>
    <sheetView workbookViewId="0">
      <selection activeCell="B26" sqref="B2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#Specimen.subject</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##34#When the device (e.g. the catheter) is what has been examinated##34#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is the mean used to collect the specimen (e.g blood collected from the catheter) ##34#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t="str">
        <f>IF('Specimen-ConceptMap-1'!S79=0,"//---END",'Specimen-ConceptMap-1'!S79)</f>
        <v>//---END</v>
      </c>
    </row>
    <row r="84" spans="2:2" x14ac:dyDescent="0.75">
      <c r="B84" s="14" t="str">
        <f>IF('Specimen-ConceptMap-1'!S80=0,"//---END",'Specimen-ConceptMap-1'!S80)</f>
        <v>//---END</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874</v>
      </c>
      <c r="I6" s="26" t="str">
        <f>CONCATENATE("Title: ##34#",B6,"##34#")</f>
        <v>Title: ##34#A.5 - Results data elements##34#</v>
      </c>
    </row>
    <row r="7" spans="1:11" x14ac:dyDescent="0.75">
      <c r="A7" s="46" t="s">
        <v>5</v>
      </c>
      <c r="B7" s="14" t="s">
        <v>943</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869</v>
      </c>
      <c r="D3" s="73" t="s">
        <v>663</v>
      </c>
      <c r="E3" s="84" t="str">
        <f>"http://hl7.eu/fhir/laboratory/StructureDefinition/"&amp;'A.5 Results'!B5</f>
        <v>http://hl7.eu/fhir/laboratory/StructureDefinition/Result</v>
      </c>
    </row>
    <row r="4" spans="1:19" x14ac:dyDescent="0.75">
      <c r="B4" s="73" t="s">
        <v>19</v>
      </c>
      <c r="C4" s="54" t="s">
        <v>870</v>
      </c>
      <c r="D4" s="73" t="s">
        <v>664</v>
      </c>
      <c r="E4" s="118" t="s">
        <v>857</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6"/>
    </row>
    <row r="4" spans="1:19" ht="15.5" thickBot="1" x14ac:dyDescent="0.9">
      <c r="B4" s="73" t="s">
        <v>19</v>
      </c>
      <c r="C4" s="85" t="str">
        <f>'Results-ConceptMap-1'!C4</f>
        <v>result2FHIR-eu-lab</v>
      </c>
      <c r="D4" s="73" t="s">
        <v>664</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667</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790</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791</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790</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790</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790</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790</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790</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790</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790</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790</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790</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790</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790</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790</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790</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790</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4"/>
    </row>
    <row r="4" spans="1:19" ht="15.5" thickBot="1" x14ac:dyDescent="0.9">
      <c r="B4" s="73" t="s">
        <v>19</v>
      </c>
      <c r="C4" s="85" t="str">
        <f>'Results-ConceptMap-1'!C4</f>
        <v>result2FHIR-eu-lab</v>
      </c>
      <c r="D4" s="73" t="s">
        <v>664</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776</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787</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859</v>
      </c>
      <c r="E21" s="9"/>
      <c r="F21" s="75" t="s">
        <v>638</v>
      </c>
      <c r="G21" s="75" t="s">
        <v>787</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858</v>
      </c>
      <c r="E22" s="9"/>
      <c r="F22" s="75" t="s">
        <v>638</v>
      </c>
      <c r="G22" s="75" t="s">
        <v>787</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784</v>
      </c>
      <c r="E23" s="9"/>
      <c r="F23" s="75" t="s">
        <v>637</v>
      </c>
      <c r="G23" s="82" t="s">
        <v>861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783</v>
      </c>
      <c r="E24" s="9"/>
      <c r="F24" s="75" t="s">
        <v>637</v>
      </c>
      <c r="G24" s="82" t="s">
        <v>861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860</v>
      </c>
      <c r="E26" s="9"/>
      <c r="F26" s="75" t="s">
        <v>637</v>
      </c>
      <c r="G26" s="82" t="s">
        <v>863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779</v>
      </c>
      <c r="E27" s="14"/>
      <c r="F27" s="75" t="s">
        <v>637</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780</v>
      </c>
      <c r="E28" s="14"/>
      <c r="F28" s="75" t="s">
        <v>638</v>
      </c>
      <c r="G28" s="82" t="s">
        <v>954</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951</v>
      </c>
      <c r="E29" s="14"/>
      <c r="F29" s="75" t="s">
        <v>638</v>
      </c>
      <c r="G29" s="82" t="s">
        <v>955</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780</v>
      </c>
      <c r="E30" s="14"/>
      <c r="F30" s="75" t="s">
        <v>638</v>
      </c>
      <c r="G30" s="96" t="s">
        <v>952</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953</v>
      </c>
      <c r="E31" s="14"/>
      <c r="F31" s="75" t="s">
        <v>638</v>
      </c>
      <c r="G31" s="96" t="s">
        <v>956</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792</v>
      </c>
      <c r="E32" s="14"/>
      <c r="F32" s="75" t="s">
        <v>637</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781</v>
      </c>
      <c r="E33" s="14"/>
      <c r="F33" s="75" t="s">
        <v>637</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781</v>
      </c>
      <c r="E34" s="14"/>
      <c r="F34" s="75" t="s">
        <v>638</v>
      </c>
      <c r="G34" s="82" t="s">
        <v>866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785</v>
      </c>
      <c r="E35" s="14"/>
      <c r="F35" s="75" t="s">
        <v>637</v>
      </c>
      <c r="G35" s="75" t="s">
        <v>787</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786</v>
      </c>
      <c r="E36" s="14"/>
      <c r="F36" s="75" t="s">
        <v>637</v>
      </c>
      <c r="G36" s="75" t="s">
        <v>787</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782</v>
      </c>
      <c r="E37" s="14"/>
      <c r="F37" s="75" t="s">
        <v>637</v>
      </c>
      <c r="G37" s="83" t="s">
        <v>787</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788</v>
      </c>
      <c r="E38" s="14"/>
      <c r="F38" s="75" t="s">
        <v>637</v>
      </c>
      <c r="G38" s="83" t="s">
        <v>787</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768</v>
      </c>
      <c r="E39" s="14"/>
      <c r="F39" s="75" t="s">
        <v>638</v>
      </c>
      <c r="G39" s="88" t="s">
        <v>757</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793</v>
      </c>
      <c r="E40" s="14"/>
      <c r="F40" s="75" t="s">
        <v>638</v>
      </c>
      <c r="G40" s="83" t="s">
        <v>867</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PractictionerRole##34#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794</v>
      </c>
      <c r="E41" s="14"/>
      <c r="F41" s="75" t="s">
        <v>638</v>
      </c>
      <c r="G41" s="83" t="s">
        <v>868</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PractictionerRole##34#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789</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PractictionerRole##34#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2023-10-11T16:55:56Z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