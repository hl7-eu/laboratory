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147AB049-1E34-420D-B052-7EF9B9E1AA19}" xr6:coauthVersionLast="47" xr6:coauthVersionMax="47" xr10:uidLastSave="{00000000-0000-0000-0000-000000000000}"/>
  <bookViews>
    <workbookView xWindow="-90" yWindow="-21710" windowWidth="38620" windowHeight="21100" tabRatio="819" firstSheet="6" activeTab="7"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Report-ConceptMap" sheetId="137" r:id="rId7"/>
    <sheet name="Report-CM-fsh" sheetId="138" r:id="rId8"/>
    <sheet name="Subj" sheetId="12" r:id="rId9"/>
    <sheet name="Subj-Map-1" sheetId="33" r:id="rId10"/>
    <sheet name="Subj-fsh" sheetId="73" r:id="rId11"/>
    <sheet name="A1.3 Payer" sheetId="111" r:id="rId12"/>
    <sheet name="Payer-Map-1" sheetId="112" r:id="rId13"/>
    <sheet name="Payer-fsh" sheetId="113" r:id="rId14"/>
    <sheet name="A1.4 Recipient" sheetId="115" r:id="rId15"/>
    <sheet name="Recipient-Map-1" sheetId="116" r:id="rId16"/>
    <sheet name="Recipient-fsh" sheetId="117" r:id="rId17"/>
    <sheet name="A1.5 Author" sheetId="124" r:id="rId18"/>
    <sheet name="Author-Map-1" sheetId="125" r:id="rId19"/>
    <sheet name="Author-fsh" sheetId="126" r:id="rId20"/>
    <sheet name="A1.6 LegalAuth" sheetId="121" r:id="rId21"/>
    <sheet name="LegalAuth-Map-1" sheetId="122" r:id="rId22"/>
    <sheet name="LegalAuth-fsh" sheetId="123" r:id="rId23"/>
    <sheet name="A1.7 Validator" sheetId="118" r:id="rId24"/>
    <sheet name="Validator-Map-1" sheetId="119" r:id="rId25"/>
    <sheet name="Validator-fsh" sheetId="120" r:id="rId26"/>
    <sheet name="Order" sheetId="128" r:id="rId27"/>
    <sheet name="Order-Map-1" sheetId="129" r:id="rId28"/>
    <sheet name="Order-fsh" sheetId="130" r:id="rId29"/>
    <sheet name="Specimen" sheetId="131" r:id="rId30"/>
    <sheet name="Specimen-Map-1" sheetId="132" r:id="rId31"/>
    <sheet name="Specimen-fsh" sheetId="133" r:id="rId32"/>
    <sheet name="Results" sheetId="134" r:id="rId33"/>
    <sheet name="Results-Map-1" sheetId="135" r:id="rId34"/>
    <sheet name="Results-fsh" sheetId="136" r:id="rId35"/>
  </sheets>
  <externalReferences>
    <externalReference r:id="rId36"/>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 i="137" l="1"/>
  <c r="N12" i="137"/>
  <c r="N13" i="137"/>
  <c r="N14" i="137"/>
  <c r="N15" i="137"/>
  <c r="N16" i="137"/>
  <c r="N17" i="137"/>
  <c r="N18" i="137"/>
  <c r="S63" i="137" s="1" a="1"/>
  <c r="S63" i="137" s="1"/>
  <c r="B73" i="138" s="1"/>
  <c r="N19" i="137"/>
  <c r="N20" i="137"/>
  <c r="N21" i="137"/>
  <c r="N22" i="137"/>
  <c r="N23" i="137"/>
  <c r="N24" i="137"/>
  <c r="N25" i="137"/>
  <c r="N26" i="137"/>
  <c r="N10" i="137"/>
  <c r="S11" i="137" a="1"/>
  <c r="S11" i="137" s="1"/>
  <c r="B21" i="138" s="1"/>
  <c r="S12" i="137" a="1"/>
  <c r="S12" i="137" s="1"/>
  <c r="B22" i="138" s="1"/>
  <c r="S13" i="137" a="1"/>
  <c r="S13" i="137" s="1"/>
  <c r="B23" i="138" s="1"/>
  <c r="S14" i="137" a="1"/>
  <c r="S14" i="137" s="1"/>
  <c r="B24" i="138" s="1"/>
  <c r="S15" i="137" a="1"/>
  <c r="S15" i="137" s="1"/>
  <c r="B25" i="138" s="1"/>
  <c r="S16" i="137" a="1"/>
  <c r="S16" i="137" s="1"/>
  <c r="B26" i="138" s="1"/>
  <c r="S17" i="137" a="1"/>
  <c r="S17" i="137" s="1"/>
  <c r="B27" i="138" s="1"/>
  <c r="S18" i="137" a="1"/>
  <c r="S18" i="137" s="1"/>
  <c r="B28" i="138" s="1"/>
  <c r="S19" i="137" a="1"/>
  <c r="S19" i="137" s="1"/>
  <c r="B29" i="138" s="1"/>
  <c r="S20" i="137" a="1"/>
  <c r="S20" i="137" s="1"/>
  <c r="B30" i="138" s="1"/>
  <c r="S21" i="137" a="1"/>
  <c r="S21" i="137" s="1"/>
  <c r="B31" i="138" s="1"/>
  <c r="S22" i="137" a="1"/>
  <c r="S22" i="137" s="1"/>
  <c r="B32" i="138" s="1"/>
  <c r="S23" i="137" a="1"/>
  <c r="S23" i="137" s="1"/>
  <c r="B33" i="138" s="1"/>
  <c r="S24" i="137" a="1"/>
  <c r="S24" i="137" s="1"/>
  <c r="B34" i="138" s="1"/>
  <c r="S25" i="137" a="1"/>
  <c r="S25" i="137" s="1"/>
  <c r="B35" i="138" s="1"/>
  <c r="S26" i="137" a="1"/>
  <c r="S26" i="137" s="1"/>
  <c r="B36" i="138" s="1"/>
  <c r="S27" i="137" a="1"/>
  <c r="S27" i="137" s="1"/>
  <c r="B37" i="138" s="1"/>
  <c r="S28" i="137" a="1"/>
  <c r="S28" i="137" s="1"/>
  <c r="B38" i="138" s="1"/>
  <c r="S29" i="137" a="1"/>
  <c r="S29" i="137" s="1"/>
  <c r="B39" i="138" s="1"/>
  <c r="S30" i="137" a="1"/>
  <c r="S30" i="137" s="1"/>
  <c r="B40" i="138" s="1"/>
  <c r="S31" i="137" a="1"/>
  <c r="S31" i="137" s="1"/>
  <c r="B41" i="138" s="1"/>
  <c r="S32" i="137" a="1"/>
  <c r="S32" i="137" s="1"/>
  <c r="B42" i="138" s="1"/>
  <c r="S33" i="137" a="1"/>
  <c r="S33" i="137" s="1"/>
  <c r="B43" i="138" s="1"/>
  <c r="S34" i="137" a="1"/>
  <c r="S34" i="137" s="1"/>
  <c r="B44" i="138" s="1"/>
  <c r="S35" i="137" a="1"/>
  <c r="S35" i="137" s="1"/>
  <c r="B45" i="138" s="1"/>
  <c r="S36" i="137" a="1"/>
  <c r="S36" i="137" s="1"/>
  <c r="B46" i="138" s="1"/>
  <c r="S37" i="137" a="1"/>
  <c r="S37" i="137" s="1"/>
  <c r="B47" i="138" s="1"/>
  <c r="S38" i="137" a="1"/>
  <c r="S38" i="137" s="1"/>
  <c r="B48" i="138" s="1"/>
  <c r="S39" i="137" a="1"/>
  <c r="S39" i="137" s="1"/>
  <c r="B49" i="138" s="1"/>
  <c r="S40" i="137" a="1"/>
  <c r="S40" i="137" s="1"/>
  <c r="B50" i="138" s="1"/>
  <c r="S41" i="137" a="1"/>
  <c r="S41" i="137" s="1"/>
  <c r="B51" i="138" s="1"/>
  <c r="S42" i="137" a="1"/>
  <c r="S42" i="137" s="1"/>
  <c r="B52" i="138" s="1"/>
  <c r="S43" i="137" a="1"/>
  <c r="S43" i="137" s="1"/>
  <c r="B53" i="138" s="1"/>
  <c r="S44" i="137" a="1"/>
  <c r="S44" i="137" s="1"/>
  <c r="B54" i="138" s="1"/>
  <c r="S45" i="137" a="1"/>
  <c r="S45" i="137" s="1"/>
  <c r="B55" i="138" s="1"/>
  <c r="S46" i="137" a="1"/>
  <c r="S46" i="137" s="1"/>
  <c r="B56" i="138" s="1"/>
  <c r="S47" i="137" a="1"/>
  <c r="S47" i="137" s="1"/>
  <c r="B57" i="138" s="1"/>
  <c r="S48" i="137" a="1"/>
  <c r="S48" i="137" s="1"/>
  <c r="B58" i="138" s="1"/>
  <c r="S49" i="137" a="1"/>
  <c r="S49" i="137" s="1"/>
  <c r="B59" i="138" s="1"/>
  <c r="S50" i="137" a="1"/>
  <c r="S50" i="137" s="1"/>
  <c r="B60" i="138" s="1"/>
  <c r="S51" i="137" a="1"/>
  <c r="S51" i="137" s="1"/>
  <c r="B61" i="138" s="1"/>
  <c r="S52" i="137" a="1"/>
  <c r="S52" i="137" s="1"/>
  <c r="B62" i="138" s="1"/>
  <c r="S53" i="137" a="1"/>
  <c r="S53" i="137" s="1"/>
  <c r="B63" i="138" s="1"/>
  <c r="S54" i="137" a="1"/>
  <c r="S54" i="137" s="1"/>
  <c r="B64" i="138" s="1"/>
  <c r="S55" i="137" a="1"/>
  <c r="S55" i="137" s="1"/>
  <c r="B65" i="138" s="1"/>
  <c r="S56" i="137" a="1"/>
  <c r="S56" i="137" s="1"/>
  <c r="B66" i="138" s="1"/>
  <c r="S57" i="137" a="1"/>
  <c r="S57" i="137" s="1"/>
  <c r="B67" i="138" s="1"/>
  <c r="S58" i="137" a="1"/>
  <c r="S58" i="137" s="1"/>
  <c r="B68" i="138" s="1"/>
  <c r="S59" i="137" a="1"/>
  <c r="S59" i="137" s="1"/>
  <c r="B69" i="138" s="1"/>
  <c r="S60" i="137" a="1"/>
  <c r="S60" i="137" s="1"/>
  <c r="B70" i="138" s="1"/>
  <c r="S61" i="137" a="1"/>
  <c r="S61" i="137" s="1"/>
  <c r="B71" i="138" s="1"/>
  <c r="S62" i="137" a="1"/>
  <c r="S62" i="137" s="1"/>
  <c r="B72" i="138" s="1"/>
  <c r="S64" i="137" a="1"/>
  <c r="S64" i="137" s="1"/>
  <c r="B74" i="138" s="1"/>
  <c r="S65" i="137" a="1"/>
  <c r="S65" i="137"/>
  <c r="B75" i="138" s="1"/>
  <c r="S66" i="137" a="1"/>
  <c r="S66" i="137" s="1"/>
  <c r="B76" i="138" s="1"/>
  <c r="S67" i="137" a="1"/>
  <c r="S67" i="137" s="1"/>
  <c r="B77" i="138" s="1"/>
  <c r="S68" i="137" a="1"/>
  <c r="S68" i="137" s="1"/>
  <c r="B78" i="138" s="1"/>
  <c r="S69" i="137" a="1"/>
  <c r="S69" i="137" s="1"/>
  <c r="B79" i="138" s="1"/>
  <c r="S70" i="137" a="1"/>
  <c r="S70" i="137" s="1"/>
  <c r="B80" i="138" s="1"/>
  <c r="S71" i="137" a="1"/>
  <c r="S71" i="137" s="1"/>
  <c r="B81" i="138" s="1"/>
  <c r="S72" i="137" a="1"/>
  <c r="S72" i="137" s="1"/>
  <c r="B82" i="138" s="1"/>
  <c r="S73" i="137" a="1"/>
  <c r="S73" i="137" s="1"/>
  <c r="B83" i="138" s="1"/>
  <c r="S74" i="137" a="1"/>
  <c r="S74" i="137" s="1"/>
  <c r="B84" i="138" s="1"/>
  <c r="S75" i="137" a="1"/>
  <c r="S75" i="137" s="1"/>
  <c r="B85" i="138" s="1"/>
  <c r="S76" i="137" a="1"/>
  <c r="S76" i="137" s="1"/>
  <c r="B86" i="138" s="1"/>
  <c r="S77" i="137" a="1"/>
  <c r="S77" i="137" s="1"/>
  <c r="B87" i="138" s="1"/>
  <c r="S78" i="137" a="1"/>
  <c r="S78" i="137" s="1"/>
  <c r="B88" i="138" s="1"/>
  <c r="S79" i="137" a="1"/>
  <c r="S79" i="137" s="1"/>
  <c r="B89" i="138" s="1"/>
  <c r="S80" i="137" a="1"/>
  <c r="S80" i="137" s="1"/>
  <c r="B90" i="138" s="1"/>
  <c r="S81" i="137" a="1"/>
  <c r="S81" i="137" s="1"/>
  <c r="B91" i="138" s="1"/>
  <c r="S82" i="137" a="1"/>
  <c r="S82" i="137" s="1"/>
  <c r="B92" i="138" s="1"/>
  <c r="S83" i="137" a="1"/>
  <c r="S83" i="137" s="1"/>
  <c r="B93" i="138" s="1"/>
  <c r="S84" i="137" a="1"/>
  <c r="S84" i="137" s="1"/>
  <c r="B94" i="138" s="1"/>
  <c r="S85" i="137" a="1"/>
  <c r="S85" i="137" s="1"/>
  <c r="B95" i="138" s="1"/>
  <c r="S86" i="137" a="1"/>
  <c r="S86" i="137" s="1"/>
  <c r="B96" i="138" s="1"/>
  <c r="S87" i="137" a="1"/>
  <c r="S87" i="137" s="1"/>
  <c r="B97" i="138" s="1"/>
  <c r="S88" i="137" a="1"/>
  <c r="S88" i="137" s="1"/>
  <c r="B98" i="138" s="1"/>
  <c r="S89" i="137" a="1"/>
  <c r="S89" i="137" s="1"/>
  <c r="B99" i="138" s="1"/>
  <c r="S90" i="137" a="1"/>
  <c r="S90" i="137" s="1"/>
  <c r="B100" i="138" s="1"/>
  <c r="S91" i="137" a="1"/>
  <c r="S91" i="137" s="1"/>
  <c r="B101" i="138" s="1"/>
  <c r="S92" i="137" a="1"/>
  <c r="S92" i="137" s="1"/>
  <c r="B102" i="138" s="1"/>
  <c r="S93" i="137" a="1"/>
  <c r="S93" i="137" s="1"/>
  <c r="B103" i="138" s="1"/>
  <c r="S94" i="137" a="1"/>
  <c r="S94" i="137" s="1"/>
  <c r="B104" i="138" s="1"/>
  <c r="S95" i="137" a="1"/>
  <c r="S95" i="137" s="1"/>
  <c r="B105" i="138" s="1"/>
  <c r="S96" i="137" a="1"/>
  <c r="S96" i="137" s="1"/>
  <c r="B106" i="138" s="1"/>
  <c r="S97" i="137" a="1"/>
  <c r="S97" i="137" s="1"/>
  <c r="B107" i="138" s="1"/>
  <c r="S98" i="137" a="1"/>
  <c r="S98" i="137" s="1"/>
  <c r="B108" i="138" s="1"/>
  <c r="S99" i="137" a="1"/>
  <c r="S99" i="137" s="1"/>
  <c r="B109" i="138" s="1"/>
  <c r="S100" i="137" a="1"/>
  <c r="S100" i="137" s="1"/>
  <c r="B110" i="138" s="1"/>
  <c r="S101" i="137" a="1"/>
  <c r="S101" i="137" s="1"/>
  <c r="B111" i="138" s="1"/>
  <c r="S102" i="137" a="1"/>
  <c r="S102" i="137" s="1"/>
  <c r="B112" i="138" s="1"/>
  <c r="S103" i="137" a="1"/>
  <c r="S103" i="137" s="1"/>
  <c r="B113" i="138" s="1"/>
  <c r="S104" i="137" a="1"/>
  <c r="S104" i="137" s="1"/>
  <c r="B114" i="138" s="1"/>
  <c r="S105" i="137" a="1"/>
  <c r="S105" i="137" s="1"/>
  <c r="B115" i="138" s="1"/>
  <c r="S106" i="137" a="1"/>
  <c r="S106" i="137" s="1"/>
  <c r="B116" i="138" s="1"/>
  <c r="S107" i="137" a="1"/>
  <c r="S107" i="137" s="1"/>
  <c r="B117" i="138" s="1"/>
  <c r="S108" i="137" a="1"/>
  <c r="S108" i="137" s="1"/>
  <c r="B118" i="138" s="1"/>
  <c r="S109" i="137" a="1"/>
  <c r="S109" i="137" s="1"/>
  <c r="B119" i="138" s="1"/>
  <c r="S110" i="137" a="1"/>
  <c r="S110" i="137" s="1"/>
  <c r="B120" i="138" s="1"/>
  <c r="S111" i="137" a="1"/>
  <c r="S111" i="137" s="1"/>
  <c r="B121" i="138" s="1"/>
  <c r="S112" i="137" a="1"/>
  <c r="S112" i="137" s="1"/>
  <c r="B122" i="138" s="1"/>
  <c r="S113" i="137" a="1"/>
  <c r="S113" i="137" s="1"/>
  <c r="B123" i="138" s="1"/>
  <c r="S114" i="137" a="1"/>
  <c r="S114" i="137" s="1"/>
  <c r="S115" i="137" a="1"/>
  <c r="S115" i="137" s="1"/>
  <c r="S116" i="137" a="1"/>
  <c r="S116" i="137" s="1"/>
  <c r="S117" i="137" a="1"/>
  <c r="S117" i="137" s="1"/>
  <c r="S118" i="137" a="1"/>
  <c r="S118" i="137" s="1"/>
  <c r="S119" i="137" a="1"/>
  <c r="S119" i="137" s="1"/>
  <c r="S120" i="137" a="1"/>
  <c r="S120" i="137" s="1"/>
  <c r="S121" i="137" a="1"/>
  <c r="S121" i="137" s="1"/>
  <c r="S122" i="137" a="1"/>
  <c r="S122" i="137" s="1"/>
  <c r="S123" i="137" a="1"/>
  <c r="S123" i="137" s="1"/>
  <c r="S124" i="137" a="1"/>
  <c r="S124" i="137" s="1"/>
  <c r="S125" i="137" a="1"/>
  <c r="S125" i="137" s="1"/>
  <c r="S126" i="137" a="1"/>
  <c r="S126" i="137" s="1"/>
  <c r="S127" i="137" a="1"/>
  <c r="S127" i="137" s="1"/>
  <c r="S128" i="137" a="1"/>
  <c r="S128" i="137" s="1"/>
  <c r="S129" i="137" a="1"/>
  <c r="S129" i="137" s="1"/>
  <c r="S130" i="137" a="1"/>
  <c r="S130" i="137" s="1"/>
  <c r="S131" i="137" a="1"/>
  <c r="S131" i="137" s="1"/>
  <c r="S132" i="137" a="1"/>
  <c r="S132" i="137" s="1"/>
  <c r="S133" i="137" a="1"/>
  <c r="S133" i="137" s="1"/>
  <c r="S134" i="137" a="1"/>
  <c r="S134" i="137" s="1"/>
  <c r="S135" i="137" a="1"/>
  <c r="S135" i="137" s="1"/>
  <c r="S136" i="137" a="1"/>
  <c r="S136" i="137" s="1"/>
  <c r="S137" i="137" a="1"/>
  <c r="S137" i="137" s="1"/>
  <c r="S138" i="137" a="1"/>
  <c r="S138" i="137" s="1"/>
  <c r="S139" i="137" a="1"/>
  <c r="S139" i="137" s="1"/>
  <c r="S140" i="137" a="1"/>
  <c r="S140" i="137" s="1"/>
  <c r="S141" i="137" a="1"/>
  <c r="S141" i="137" s="1"/>
  <c r="S142" i="137" a="1"/>
  <c r="S142" i="137" s="1"/>
  <c r="S143" i="137" a="1"/>
  <c r="S143" i="137" s="1"/>
  <c r="S144" i="137" a="1"/>
  <c r="S144" i="137" s="1"/>
  <c r="S145" i="137" a="1"/>
  <c r="S145" i="137" s="1"/>
  <c r="S146" i="137" a="1"/>
  <c r="S146" i="137" s="1"/>
  <c r="S147" i="137" a="1"/>
  <c r="S147" i="137" s="1"/>
  <c r="S148" i="137" a="1"/>
  <c r="S148" i="137" s="1"/>
  <c r="S149" i="137" a="1"/>
  <c r="S149" i="137" s="1"/>
  <c r="S150" i="137" a="1"/>
  <c r="S150" i="137" s="1"/>
  <c r="S151" i="137" a="1"/>
  <c r="S151" i="137" s="1"/>
  <c r="S152" i="137" a="1"/>
  <c r="S152" i="137" s="1"/>
  <c r="S153" i="137" a="1"/>
  <c r="S153" i="137" s="1"/>
  <c r="S154" i="137" a="1"/>
  <c r="S154" i="137" s="1"/>
  <c r="S155" i="137" a="1"/>
  <c r="S155" i="137" s="1"/>
  <c r="S156" i="137" a="1"/>
  <c r="S156" i="137" s="1"/>
  <c r="S157" i="137" a="1"/>
  <c r="S157" i="137" s="1"/>
  <c r="S158" i="137" a="1"/>
  <c r="S158" i="137" s="1"/>
  <c r="S159" i="137" a="1"/>
  <c r="S159" i="137" s="1"/>
  <c r="S160" i="137" a="1"/>
  <c r="S160" i="137" s="1"/>
  <c r="S161" i="137" a="1"/>
  <c r="S161" i="137" s="1"/>
  <c r="S162" i="137" a="1"/>
  <c r="S162" i="137" s="1"/>
  <c r="S163" i="137" a="1"/>
  <c r="S163" i="137" s="1"/>
  <c r="S164" i="137" a="1"/>
  <c r="S164" i="137" s="1"/>
  <c r="S165" i="137" a="1"/>
  <c r="S165" i="137" s="1"/>
  <c r="S166" i="137" a="1"/>
  <c r="S166" i="137" s="1"/>
  <c r="S167" i="137" a="1"/>
  <c r="S167" i="137" s="1"/>
  <c r="S168" i="137" a="1"/>
  <c r="S168" i="137" s="1"/>
  <c r="S169" i="137" a="1"/>
  <c r="S169" i="137" s="1"/>
  <c r="S170" i="137" a="1"/>
  <c r="S170" i="137" s="1"/>
  <c r="S171" i="137" a="1"/>
  <c r="S171" i="137" s="1"/>
  <c r="S172" i="137" a="1"/>
  <c r="S172" i="137" s="1"/>
  <c r="S173" i="137" a="1"/>
  <c r="S173" i="137" s="1"/>
  <c r="S174" i="137" a="1"/>
  <c r="S174" i="137" s="1"/>
  <c r="S175" i="137" a="1"/>
  <c r="S175" i="137" s="1"/>
  <c r="S176" i="137" a="1"/>
  <c r="S176" i="137" s="1"/>
  <c r="S177" i="137" a="1"/>
  <c r="S177" i="137" s="1"/>
  <c r="S178" i="137" a="1"/>
  <c r="S178" i="137" s="1"/>
  <c r="S179" i="137" a="1"/>
  <c r="S179" i="137" s="1"/>
  <c r="S180" i="137" a="1"/>
  <c r="S180" i="137" s="1"/>
  <c r="S181" i="137" a="1"/>
  <c r="S181" i="137" s="1"/>
  <c r="S182" i="137" a="1"/>
  <c r="S182" i="137" s="1"/>
  <c r="S183" i="137" a="1"/>
  <c r="S183" i="137" s="1"/>
  <c r="S184" i="137" a="1"/>
  <c r="S184" i="137" s="1"/>
  <c r="S185" i="137" a="1"/>
  <c r="S185" i="137" s="1"/>
  <c r="S10" i="137" a="1"/>
  <c r="S10" i="137" s="1"/>
  <c r="B14" i="137"/>
  <c r="C14" i="137"/>
  <c r="J14" i="137" s="1"/>
  <c r="R14" i="137"/>
  <c r="Q14" i="137"/>
  <c r="M14" i="137"/>
  <c r="L14" i="137"/>
  <c r="K14" i="137"/>
  <c r="I14" i="137"/>
  <c r="K19" i="137"/>
  <c r="L19" i="137"/>
  <c r="M19" i="137"/>
  <c r="K20" i="137"/>
  <c r="L20" i="137"/>
  <c r="M20" i="137"/>
  <c r="K21" i="137"/>
  <c r="L21" i="137"/>
  <c r="M21" i="137"/>
  <c r="K22" i="137"/>
  <c r="L22" i="137"/>
  <c r="M22" i="137"/>
  <c r="K23" i="137"/>
  <c r="L23" i="137"/>
  <c r="M23" i="137"/>
  <c r="K24" i="137"/>
  <c r="L24" i="137"/>
  <c r="M24" i="137"/>
  <c r="K25" i="137"/>
  <c r="L25" i="137"/>
  <c r="M25" i="137"/>
  <c r="K26" i="137"/>
  <c r="L26" i="137"/>
  <c r="M26" i="137"/>
  <c r="B19" i="137"/>
  <c r="I19" i="137" s="1"/>
  <c r="C19" i="137"/>
  <c r="J19" i="137" s="1"/>
  <c r="B20" i="137"/>
  <c r="I20" i="137" s="1"/>
  <c r="C20" i="137"/>
  <c r="J20" i="137" s="1"/>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K11" i="137"/>
  <c r="L11" i="137"/>
  <c r="M11" i="137"/>
  <c r="K12" i="137"/>
  <c r="L12" i="137"/>
  <c r="M12" i="137"/>
  <c r="K13" i="137"/>
  <c r="L13" i="137"/>
  <c r="M13" i="137"/>
  <c r="K15" i="137"/>
  <c r="L15" i="137"/>
  <c r="M15" i="137"/>
  <c r="K16" i="137"/>
  <c r="L16" i="137"/>
  <c r="M16" i="137"/>
  <c r="K17" i="137"/>
  <c r="L17" i="137"/>
  <c r="M17" i="137"/>
  <c r="J18" i="137"/>
  <c r="K18" i="137"/>
  <c r="L18" i="137"/>
  <c r="M18" i="137"/>
  <c r="C12" i="137"/>
  <c r="J12" i="137" s="1"/>
  <c r="C13" i="137"/>
  <c r="J13" i="137" s="1"/>
  <c r="C15" i="137"/>
  <c r="J15" i="137" s="1"/>
  <c r="C16" i="137"/>
  <c r="J16" i="137" s="1"/>
  <c r="C17" i="137"/>
  <c r="J17" i="137" s="1"/>
  <c r="C18" i="137"/>
  <c r="C11" i="137"/>
  <c r="J11" i="137" s="1"/>
  <c r="B12" i="137"/>
  <c r="I12" i="137" s="1"/>
  <c r="B13" i="137"/>
  <c r="I13" i="137" s="1"/>
  <c r="B15" i="137"/>
  <c r="I15" i="137" s="1"/>
  <c r="B16" i="137"/>
  <c r="I16" i="137" s="1"/>
  <c r="B17" i="137"/>
  <c r="I17" i="137" s="1"/>
  <c r="B18" i="137"/>
  <c r="I18" i="137" s="1"/>
  <c r="B11" i="137"/>
  <c r="I11" i="137" s="1"/>
  <c r="C10" i="137"/>
  <c r="B10" i="137"/>
  <c r="R185" i="137" l="1"/>
  <c r="Q185" i="137"/>
  <c r="R184" i="137"/>
  <c r="Q184" i="137"/>
  <c r="R183" i="137"/>
  <c r="Q183" i="137"/>
  <c r="R182" i="137"/>
  <c r="Q182" i="137"/>
  <c r="R181" i="137"/>
  <c r="Q181" i="137"/>
  <c r="R180" i="137"/>
  <c r="Q180" i="137"/>
  <c r="R179" i="137"/>
  <c r="Q179" i="137"/>
  <c r="R178" i="137"/>
  <c r="Q178" i="137"/>
  <c r="R177" i="137"/>
  <c r="Q177" i="137"/>
  <c r="R176" i="137"/>
  <c r="Q176" i="137"/>
  <c r="R175" i="137"/>
  <c r="Q175" i="137"/>
  <c r="R174" i="137"/>
  <c r="Q174" i="137"/>
  <c r="R173" i="137"/>
  <c r="Q173" i="137"/>
  <c r="R172" i="137"/>
  <c r="Q172" i="137"/>
  <c r="R171" i="137"/>
  <c r="Q171" i="137"/>
  <c r="R170" i="137"/>
  <c r="Q170" i="137"/>
  <c r="R169" i="137"/>
  <c r="Q169" i="137"/>
  <c r="R168" i="137"/>
  <c r="Q168" i="137"/>
  <c r="R167" i="137"/>
  <c r="Q167" i="137"/>
  <c r="R166" i="137"/>
  <c r="Q166" i="137"/>
  <c r="R165" i="137"/>
  <c r="Q165" i="137"/>
  <c r="R164" i="137"/>
  <c r="Q164" i="137"/>
  <c r="R163" i="137"/>
  <c r="Q163" i="137"/>
  <c r="R162" i="137"/>
  <c r="Q162" i="137"/>
  <c r="R161" i="137"/>
  <c r="Q161" i="137"/>
  <c r="R160" i="137"/>
  <c r="Q160" i="137"/>
  <c r="R159" i="137"/>
  <c r="Q159" i="137"/>
  <c r="R158" i="137"/>
  <c r="Q158" i="137"/>
  <c r="R157" i="137"/>
  <c r="Q157" i="137"/>
  <c r="R156" i="137"/>
  <c r="Q156" i="137"/>
  <c r="R155" i="137"/>
  <c r="Q155" i="137"/>
  <c r="R154" i="137"/>
  <c r="Q154" i="137"/>
  <c r="R153" i="137"/>
  <c r="Q153" i="137"/>
  <c r="R152" i="137"/>
  <c r="Q152" i="137"/>
  <c r="R151" i="137"/>
  <c r="Q151" i="137"/>
  <c r="R150" i="137"/>
  <c r="Q150" i="137"/>
  <c r="R149" i="137"/>
  <c r="Q149" i="137"/>
  <c r="R148" i="137"/>
  <c r="Q148" i="137"/>
  <c r="R147" i="137"/>
  <c r="Q147" i="137"/>
  <c r="R146" i="137"/>
  <c r="Q146" i="137"/>
  <c r="R145" i="137"/>
  <c r="Q145" i="137"/>
  <c r="R144" i="137"/>
  <c r="Q144" i="137"/>
  <c r="R143" i="137"/>
  <c r="Q143" i="137"/>
  <c r="R142" i="137"/>
  <c r="Q142" i="137"/>
  <c r="R141" i="137"/>
  <c r="Q141" i="137"/>
  <c r="R140" i="137"/>
  <c r="Q140" i="137"/>
  <c r="R139" i="137"/>
  <c r="Q139" i="137"/>
  <c r="R138" i="137"/>
  <c r="Q138" i="137"/>
  <c r="R137" i="137"/>
  <c r="Q137" i="137"/>
  <c r="R136" i="137"/>
  <c r="Q136" i="137"/>
  <c r="R135" i="137"/>
  <c r="Q135" i="137"/>
  <c r="R134" i="137"/>
  <c r="Q134" i="137"/>
  <c r="R133" i="137"/>
  <c r="Q133" i="137"/>
  <c r="R132" i="137"/>
  <c r="Q132" i="137"/>
  <c r="R131" i="137"/>
  <c r="Q131" i="137"/>
  <c r="R130" i="137"/>
  <c r="Q130" i="137"/>
  <c r="R129" i="137"/>
  <c r="Q129" i="137"/>
  <c r="R128" i="137"/>
  <c r="Q128" i="137"/>
  <c r="R127" i="137"/>
  <c r="Q127" i="137"/>
  <c r="R126" i="137"/>
  <c r="Q126" i="137"/>
  <c r="R125" i="137"/>
  <c r="Q125" i="137"/>
  <c r="R124" i="137"/>
  <c r="Q124" i="137"/>
  <c r="R123" i="137"/>
  <c r="Q123" i="137"/>
  <c r="R122" i="137"/>
  <c r="Q122" i="137"/>
  <c r="R121" i="137"/>
  <c r="Q121" i="137"/>
  <c r="R120" i="137"/>
  <c r="Q120" i="137"/>
  <c r="R119" i="137"/>
  <c r="Q119" i="137"/>
  <c r="R118" i="137"/>
  <c r="Q118" i="137"/>
  <c r="R117" i="137"/>
  <c r="Q117" i="137"/>
  <c r="R116" i="137"/>
  <c r="Q116" i="137"/>
  <c r="R115" i="137"/>
  <c r="Q115" i="137"/>
  <c r="R114" i="137"/>
  <c r="Q114" i="137"/>
  <c r="R113" i="137"/>
  <c r="Q113" i="137"/>
  <c r="R112" i="137"/>
  <c r="Q112" i="137"/>
  <c r="R111" i="137"/>
  <c r="Q111" i="137"/>
  <c r="R110" i="137"/>
  <c r="Q110" i="137"/>
  <c r="R109" i="137"/>
  <c r="Q109" i="137"/>
  <c r="R108" i="137"/>
  <c r="Q108" i="137"/>
  <c r="R107" i="137"/>
  <c r="Q107" i="137"/>
  <c r="R106" i="137"/>
  <c r="Q106" i="137"/>
  <c r="R105" i="137"/>
  <c r="Q105" i="137"/>
  <c r="R104" i="137"/>
  <c r="Q104" i="137"/>
  <c r="R103" i="137"/>
  <c r="Q103" i="137"/>
  <c r="R102" i="137"/>
  <c r="Q102" i="137"/>
  <c r="R101" i="137"/>
  <c r="Q101" i="137"/>
  <c r="R100" i="137"/>
  <c r="Q100" i="137"/>
  <c r="R99" i="137"/>
  <c r="Q99" i="137"/>
  <c r="R98" i="137"/>
  <c r="Q98" i="137"/>
  <c r="R97" i="137"/>
  <c r="Q97" i="137"/>
  <c r="R96" i="137"/>
  <c r="Q96" i="137"/>
  <c r="R95" i="137"/>
  <c r="Q95" i="137"/>
  <c r="R94" i="137"/>
  <c r="Q94" i="137"/>
  <c r="R93" i="137"/>
  <c r="Q93" i="137"/>
  <c r="R92" i="137"/>
  <c r="Q92" i="137"/>
  <c r="R91" i="137"/>
  <c r="Q91" i="137"/>
  <c r="R90" i="137"/>
  <c r="Q90" i="137"/>
  <c r="R89" i="137"/>
  <c r="Q89" i="137"/>
  <c r="R88" i="137"/>
  <c r="Q88" i="137"/>
  <c r="R87" i="137"/>
  <c r="Q87" i="137"/>
  <c r="R86" i="137"/>
  <c r="Q86" i="137"/>
  <c r="R85" i="137"/>
  <c r="Q85" i="137"/>
  <c r="R84" i="137"/>
  <c r="Q84" i="137"/>
  <c r="R83" i="137"/>
  <c r="Q83" i="137"/>
  <c r="R82" i="137"/>
  <c r="Q82" i="137"/>
  <c r="R81" i="137"/>
  <c r="Q81" i="137"/>
  <c r="R80" i="137"/>
  <c r="Q80" i="137"/>
  <c r="R79" i="137"/>
  <c r="Q79" i="137"/>
  <c r="R78" i="137"/>
  <c r="Q78" i="137"/>
  <c r="R77" i="137"/>
  <c r="Q77" i="137"/>
  <c r="R76" i="137"/>
  <c r="Q76" i="137"/>
  <c r="R75" i="137"/>
  <c r="Q75" i="137"/>
  <c r="R74" i="137"/>
  <c r="Q74" i="137"/>
  <c r="R73" i="137"/>
  <c r="Q73" i="137"/>
  <c r="R72" i="137"/>
  <c r="Q72" i="137"/>
  <c r="R71" i="137"/>
  <c r="Q71" i="137"/>
  <c r="R70" i="137"/>
  <c r="Q70" i="137"/>
  <c r="R69" i="137"/>
  <c r="Q69" i="137"/>
  <c r="R68" i="137"/>
  <c r="Q68" i="137"/>
  <c r="R67" i="137"/>
  <c r="Q67" i="137"/>
  <c r="R66" i="137"/>
  <c r="Q66" i="137"/>
  <c r="R65" i="137"/>
  <c r="Q65" i="137"/>
  <c r="R64" i="137"/>
  <c r="Q64" i="137"/>
  <c r="R63" i="137"/>
  <c r="Q63" i="137"/>
  <c r="R62" i="137"/>
  <c r="Q62" i="137"/>
  <c r="R61" i="137"/>
  <c r="Q61" i="137"/>
  <c r="R60" i="137"/>
  <c r="Q60" i="137"/>
  <c r="R59" i="137"/>
  <c r="Q59" i="137"/>
  <c r="R58" i="137"/>
  <c r="Q58" i="137"/>
  <c r="R57" i="137"/>
  <c r="Q57" i="137"/>
  <c r="R56" i="137"/>
  <c r="Q56" i="137"/>
  <c r="R55" i="137"/>
  <c r="Q55" i="137"/>
  <c r="R54" i="137"/>
  <c r="Q54" i="137"/>
  <c r="R53" i="137"/>
  <c r="Q53" i="137"/>
  <c r="R52" i="137"/>
  <c r="Q52" i="137"/>
  <c r="R51" i="137"/>
  <c r="Q51" i="137"/>
  <c r="R50" i="137"/>
  <c r="Q50" i="137"/>
  <c r="R49" i="137"/>
  <c r="Q49" i="137"/>
  <c r="R48" i="137"/>
  <c r="Q48" i="137"/>
  <c r="R47" i="137"/>
  <c r="Q47" i="137"/>
  <c r="R46" i="137"/>
  <c r="Q46" i="137"/>
  <c r="R45" i="137"/>
  <c r="Q45" i="137"/>
  <c r="R44" i="137"/>
  <c r="Q44" i="137"/>
  <c r="R43" i="137"/>
  <c r="Q43" i="137"/>
  <c r="R42" i="137"/>
  <c r="Q42" i="137"/>
  <c r="R41" i="137"/>
  <c r="Q41" i="137"/>
  <c r="R40" i="137"/>
  <c r="Q40" i="137"/>
  <c r="R39" i="137"/>
  <c r="Q39" i="137"/>
  <c r="R38" i="137"/>
  <c r="Q38" i="137"/>
  <c r="R37" i="137"/>
  <c r="Q37" i="137"/>
  <c r="R36" i="137"/>
  <c r="Q36" i="137"/>
  <c r="R35" i="137"/>
  <c r="Q35" i="137"/>
  <c r="R34" i="137"/>
  <c r="Q34" i="137"/>
  <c r="R33" i="137"/>
  <c r="Q33" i="137"/>
  <c r="R32" i="137"/>
  <c r="Q32" i="137"/>
  <c r="R31" i="137"/>
  <c r="Q31" i="137"/>
  <c r="R30" i="137"/>
  <c r="Q30" i="137"/>
  <c r="R29" i="137"/>
  <c r="Q29" i="137"/>
  <c r="R28" i="137"/>
  <c r="Q28" i="137"/>
  <c r="R27" i="137"/>
  <c r="Q27" i="137"/>
  <c r="R26" i="137"/>
  <c r="Q26" i="137"/>
  <c r="R25" i="137"/>
  <c r="Q25" i="137"/>
  <c r="R24" i="137"/>
  <c r="Q24" i="137"/>
  <c r="R23" i="137"/>
  <c r="Q23" i="137"/>
  <c r="R22" i="137"/>
  <c r="Q22" i="137"/>
  <c r="R21" i="137"/>
  <c r="Q21" i="137"/>
  <c r="R20" i="137"/>
  <c r="Q20" i="137"/>
  <c r="R19" i="137"/>
  <c r="Q19" i="137"/>
  <c r="R18" i="137"/>
  <c r="Q18" i="137"/>
  <c r="R17" i="137"/>
  <c r="Q17" i="137"/>
  <c r="R16" i="137"/>
  <c r="Q16" i="137"/>
  <c r="R15" i="137"/>
  <c r="Q15" i="137"/>
  <c r="R13" i="137"/>
  <c r="Q13" i="137"/>
  <c r="R12" i="137"/>
  <c r="Q12" i="137"/>
  <c r="R11" i="137"/>
  <c r="Q11" i="137"/>
  <c r="R10" i="137"/>
  <c r="Q10" i="137"/>
  <c r="M10" i="137"/>
  <c r="J10" i="137"/>
  <c r="L10" i="137"/>
  <c r="K10" i="137"/>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I10" i="137" l="1"/>
  <c r="B20"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E14"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<sst xmlns="http://schemas.openxmlformats.org/spreadsheetml/2006/main" count="1379" uniqueCount="692">
  <si>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</si>
  <si>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</si>
  <si>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</si>
  <si>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</si>
  <si>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</si>
  <si>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</si>
  <si>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</si>
  <si>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</si>
  <si>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</si>
  <si>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</si>
  <si>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</si>
  <si>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</si>
  <si>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</si>
  <si>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</si>
  <si>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</si>
  <si>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</si>
  <si>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</si>
  <si>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</si>
  <si>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</si>
  <si>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</si>
  <si>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</si>
  <si>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</si>
  <si>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</si>
  <si>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</si>
  <si>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</si>
  <si>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</si>
  <si>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</si>
  <si>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</si>
  <si>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</si>
  <si>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</si>
  <si>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</si>
  <si>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</si>
  <si>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</si>
  <si>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</si>
  <si>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</si>
  <si>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</si>
  <si>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</si>
  <si>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</si>
  <si>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</si>
  <si>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</si>
  <si>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</si>
  <si>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</si>
  <si>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</si>
  <si>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</si>
  <si>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</si>
  <si>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</si>
  <si>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</si>
  <si>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</si>
  <si>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</si>
  <si>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</si>
  <si>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</si>
  <si>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</si>
  <si>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</si>
  <si>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</si>
  <si>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</si>
  <si>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</si>
  <si>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</si>
  <si>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</si>
  <si>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</si>
  <si>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</si>
  <si>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</si>
  <si>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</si>
  <si>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</si>
  <si>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</si>
  <si>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</si>
  <si>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</si>
  <si>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</si>
  <si>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</si>
  <si>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</si>
  <si>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</si>
  <si>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</si>
  <si>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</si>
  <si>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</si>
  <si>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</si>
  <si>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</si>
  <si>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</si>
  <si>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</si>
  <si>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</si>
  <si>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</si>
  <si>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</si>
  <si>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</si>
  <si>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</si>
  <si>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</si>
  <si>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</si>
  <si>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</si>
  <si>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</si>
  <si>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</si>
  <si>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</si>
  <si>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</si>
  <si>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</si>
  <si>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</si>
  <si>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</si>
  <si>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</si>
  <si>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</si>
  <si>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</si>
  <si>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</si>
  <si>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</si>
  <si>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</si>
  <si>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</si>
  <si>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</si>
  <si>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</si>
  <si>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</si>
  <si>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</si>
  <si>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</si>
  <si>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</si>
  <si>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</si>
  <si>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</si>
  <si>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</si>
  <si>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</si>
  <si>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</si>
  <si>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</si>
  <si>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</si>
  <si>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</si>
  <si>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</si>
  <si>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</si>
  <si>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</si>
  <si>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</si>
  <si>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</si>
  <si>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</si>
  <si>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</si>
  <si>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</si>
  <si>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</si>
  <si>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</si>
  <si>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</si>
  <si>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</si>
  <si>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</si>
  <si>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</si>
  <si>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</si>
  <si>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</si>
  <si>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</si>
  <si>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</si>
  <si>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</si>
  <si>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</si>
  <si>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</si>
  <si>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</si>
  <si>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</si>
  <si>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</si>
  <si>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</si>
  <si>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</si>
  <si>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</si>
  <si>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</si>
  <si>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</si>
  <si>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</si>
  <si>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</si>
  <si>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</si>
  <si>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</si>
  <si>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</si>
  <si>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</si>
  <si>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</si>
  <si>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</si>
  <si>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</si>
  <si>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</si>
  <si>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</si>
  <si>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</si>
  <si>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</si>
  <si>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</si>
  <si>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</si>
  <si>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</si>
  <si>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</si>
  <si>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</si>
  <si>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</si>
  <si>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</si>
  <si>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</si>
  <si>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</si>
  <si>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</si>
  <si>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</si>
  <si>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</si>
  <si>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</si>
  <si>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</si>
  <si>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</si>
  <si>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</si>
  <si>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</si>
  <si>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</si>
  <si>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</si>
  <si>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</si>
  <si>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</si>
  <si>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</si>
  <si>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</si>
  <si>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</si>
  <si>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</si>
  <si>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</si>
  <si>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</si>
  <si>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</si>
  <si>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</si>
  <si>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</si>
  <si>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</si>
  <si>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</si>
  <si>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</si>
  <si>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</si>
  <si>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</si>
  <si>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</si>
  <si>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</si>
  <si>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</si>
  <si>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</si>
  <si>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</si>
  <si>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</si>
  <si>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</si>
  <si>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</si>
  <si>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</si>
  <si>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</si>
  <si>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</si>
  <si>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</si>
  <si>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</si>
  <si>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</si>
  <si>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</si>
  <si>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</si>
  <si>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</si>
  <si>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</si>
  <si>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</si>
  <si>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</si>
  <si>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</si>
  <si>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</si>
  <si>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</si>
  <si>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</si>
  <si>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</si>
  <si>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</si>
  <si>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</si>
  <si>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</si>
  <si>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</si>
  <si>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</si>
  <si>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</si>
  <si>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</si>
  <si>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</si>
  <si>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</si>
  <si>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</si>
  <si>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</si>
  <si>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</si>
  <si>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</si>
  <si>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</si>
  <si>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</si>
  <si>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</si>
  <si>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</si>
  <si>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</si>
  <si>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</si>
  <si>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</si>
  <si>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</si>
  <si>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</si>
  <si>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</si>
  <si>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</si>
  <si>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</si>
  <si>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</si>
  <si>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</si>
  <si>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</si>
  <si>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</si>
  <si>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</si>
  <si>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</si>
  <si>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</si>
  <si>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</si>
  <si>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</si>
  <si>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</si>
  <si>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</si>
  <si>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</si>
  <si>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</si>
  <si>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</si>
  <si>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</si>
  <si>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</si>
  <si>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</si>
  <si>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</si>
  <si>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</si>
  <si>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</si>
  <si>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</si>
  <si>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</si>
  <si>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</si>
  <si>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</si>
  <si>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</si>
  <si>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</si>
  <si>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</si>
  <si>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</si>
  <si>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</si>
  <si>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</si>
  <si>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</si>
  <si>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</si>
  <si>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</si>
  <si>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</si>
  <si>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</si>
  <si>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</si>
  <si>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</si>
  <si>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</si>
  <si>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</si>
  <si>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</si>
  <si>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</si>
  <si>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</si>
  <si>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</si>
  <si>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</si>
  <si>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</si>
  <si>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</si>
  <si>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</si>
  <si>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</si>
  <si>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</si>
  <si>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</si>
  <si>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</si>
  <si>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</si>
  <si>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</si>
  <si>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</si>
  <si>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</si>
  <si>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</si>
  <si>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</si>
  <si>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</si>
  <si>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</si>
  <si>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</si>
  <si>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</si>
  <si>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</si>
  <si>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</si>
  <si>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</si>
  <si>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</si>
  <si>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</si>
  <si>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</si>
  <si>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</si>
  <si>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</si>
  <si>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</si>
  <si>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</si>
  <si>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</si>
  <si>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</si>
  <si>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</si>
  <si>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</si>
  <si>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</si>
  <si>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</si>
  <si>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</si>
  <si>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</si>
  <si>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</si>
  <si>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</si>
  <si>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</si>
  <si>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</si>
  <si>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</si>
  <si>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</si>
  <si>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</si>
  <si>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</si>
  <si>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</si>
  <si>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</si>
  <si>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</si>
  <si>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</si>
  <si>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</si>
  <si>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</si>
  <si>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</si>
  <si>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</si>
  <si>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</si>
  <si>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</si>
  <si>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</si>
  <si>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</si>
  <si>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</si>
  <si>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</si>
  <si>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</si>
  <si>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</si>
  <si>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</si>
  <si>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</si>
  <si>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</si>
  <si>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</si>
  <si>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</si>
  <si>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</si>
  <si>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</si>
  <si>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</si>
  <si>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</si>
  <si>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</si>
  <si>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</si>
  <si>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</si>
  <si>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</si>
  <si>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</si>
  <si>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</si>
  <si>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</si>
  <si>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</si>
  <si>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</si>
  <si>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</si>
  <si>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</si>
  <si>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</si>
  <si>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</si>
  <si>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</si>
  <si>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</si>
  <si>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</si>
  <si>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</si>
  <si>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</si>
  <si>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</si>
  <si>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</si>
  <si>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</si>
  <si>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</si>
  <si>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</si>
  <si>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</si>
  <si>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</si>
  <si>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</si>
  <si>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</si>
  <si>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</si>
  <si>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</si>
  <si>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</si>
  <si>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</si>
  <si>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</si>
  <si>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</si>
  <si>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</si>
  <si>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</si>
  <si>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</si>
  <si>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</si>
  <si>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</si>
  <si>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</si>
  <si>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</si>
  <si>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</si>
  <si>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</si>
  <si>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</si>
  <si>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</si>
  <si>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</si>
  <si>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</si>
  <si>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</si>
  <si>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</si>
  <si>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</si>
  <si>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</si>
  <si>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</si>
  <si>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</si>
  <si>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</si>
  <si>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</si>
  <si>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</si>
  <si>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</si>
  <si>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</si>
  <si>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</si>
  <si>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</si>
  <si>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</si>
  <si>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</si>
  <si>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</si>
  <si>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</si>
  <si>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</si>
  <si>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</si>
  <si>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</si>
  <si>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</si>
  <si>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</si>
  <si>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</si>
  <si>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</si>
  <si>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</si>
  <si>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</si>
  <si>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</si>
  <si>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</si>
  <si>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</si>
  <si>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</si>
  <si>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</si>
  <si>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</si>
  <si>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</si>
  <si>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</si>
  <si>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</si>
  <si>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</si>
  <si>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</si>
  <si>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</si>
  <si>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</si>
  <si>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</si>
  <si>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</si>
  <si>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</si>
  <si>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</si>
  <si>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</si>
  <si>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</si>
  <si>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</si>
  <si>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</si>
  <si>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</si>
  <si>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</si>
  <si>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</si>
  <si>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</si>
  <si>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</si>
  <si>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</si>
  <si>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</si>
  <si>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</si>
  <si>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</si>
  <si>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</si>
  <si>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</si>
  <si>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</si>
  <si>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</si>
  <si>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</si>
  <si>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</si>
  <si>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</si>
  <si>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</si>
  <si>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</si>
  <si>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</si>
  <si>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</si>
  <si>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</si>
  <si>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</si>
  <si>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</si>
  <si>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</si>
  <si>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</si>
  <si>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</si>
  <si>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</si>
  <si>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</si>
  <si>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</si>
  <si>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</si>
  <si>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</si>
  <si>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</si>
  <si>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</si>
  <si>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</si>
  <si>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</si>
  <si>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</si>
  <si>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</si>
  <si>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</si>
  <si>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</si>
  <si>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</si>
  <si>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</si>
  <si>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</si>
  <si>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</si>
  <si>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</si>
  <si>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</si>
  <si>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</si>
  <si>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</si>
  <si>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</si>
  <si>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</si>
  <si>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</si>
  <si>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</si>
  <si>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</si>
  <si>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</si>
  <si>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</si>
  <si>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</si>
  <si>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</si>
  <si>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</si>
  <si>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</si>
  <si>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</si>
  <si>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</si>
  <si>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</si>
  <si>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</si>
  <si>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</si>
  <si>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</si>
  <si>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</si>
  <si>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</si>
  <si>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</si>
  <si>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</si>
  <si>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</si>
  <si>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</si>
  <si>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</si>
  <si>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</si>
  <si>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</si>
  <si>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</si>
  <si>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</si>
  <si>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</si>
  <si>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</si>
  <si>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</si>
  <si>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</si>
  <si>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</si>
  <si>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</si>
  <si>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</si>
  <si>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</si>
  <si>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</si>
  <si>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</si>
  <si>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</si>
  <si>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</si>
  <si>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</si>
  <si>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</si>
  <si>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</si>
  <si>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</si>
  <si>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</si>
  <si>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</si>
  <si>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</si>
  <si>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</si>
  <si>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</si>
  <si>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</si>
  <si>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</si>
  <si>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</si>
  <si>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</si>
  <si>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</si>
  <si>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</si>
  <si>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</si>
  <si>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</si>
  <si>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</si>
  <si>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</si>
  <si>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</si>
  <si>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</si>
  <si>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</si>
  <si>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</si>
  <si>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</si>
  <si>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</si>
  <si>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</si>
  <si>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</si>
  <si>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</si>
  <si>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</si>
  <si>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</si>
  <si>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</si>
  <si>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</si>
  <si>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</si>
  <si>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</si>
  <si>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</si>
  <si>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</si>
  <si>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</si>
  <si>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</si>
  <si>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</si>
  <si>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</si>
  <si>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</si>
  <si>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</si>
  <si>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</si>
  <si>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</si>
  <si>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</si>
  <si>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</si>
  <si>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</si>
  <si>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</si>
  <si>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</si>
  <si>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</si>
  <si>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</si>
  <si>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</si>
  <si>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</si>
  <si>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</si>
  <si>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</si>
  <si>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</si>
  <si>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</si>
  <si>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</si>
  <si>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</si>
  <si>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</si>
  <si>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</si>
  <si>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</si>
  <si>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</si>
  <si>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</si>
  <si>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</si>
  <si>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</si>
  <si>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</si>
  <si>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</si>
  <si>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</si>
  <si>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</si>
  <si>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</si>
  <si>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</si>
  <si>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</si>
  <si>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</si>
  <si>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</si>
  <si>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</si>
  <si>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</si>
  <si>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</si>
  <si>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</si>
  <si>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</si>
  <si>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</si>
  <si>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</si>
  <si>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</si>
  <si>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</si>
  <si>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</si>
  <si>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</si>
  <si>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</si>
  <si>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</si>
  <si>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</si>
  <si>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</si>
  <si>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</si>
  <si>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</si>
  <si>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</si>
  <si>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</si>
  <si>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</si>
  <si>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</si>
  <si>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</si>
  <si>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</si>
  <si>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</si>
  <si>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</si>
  <si>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</si>
  <si>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</si>
  <si>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</si>
  <si>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</si>
  <si>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</si>
  <si>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</si>
  <si>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</si>
  <si>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</si>
  <si>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</si>
  <si>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</si>
  <si>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</si>
  <si>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</si>
  <si>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</si>
  <si>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</si>
  <si>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</si>
  <si>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</si>
  <si>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</si>
  <si>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</si>
  <si>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</si>
  <si>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</si>
  <si>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</si>
  <si>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</si>
  <si>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</si>
  <si>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</si>
  <si>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</si>
  <si>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</si>
  <si>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</si>
  <si>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</si>
  <si>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</si>
  <si>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</si>
  <si>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</si>
  <si>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</si>
  <si>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</si>
  <si>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</si>
  <si>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</si>
  <si>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url = ##34#http://terminology.hl7.it/ConceptMap/ConceptMap-subject2osiris##34#</t>
  </si>
  <si>
    <t>* status = #draft</t>
  </si>
  <si>
    <t>* experimental = true</t>
  </si>
  <si>
    <t>.extension('http://hl7.org/fhir/StructureDefinition/cqf-receivingOrganization') [TBD]</t>
  </si>
  <si>
    <t>DiagnosticReport</t>
  </si>
  <si>
    <t>Instance: ConceptMapLabRpt2DiagRpt</t>
  </si>
  <si>
    <t>* name = ##34#ConceptMapLabRpt2DiagRpt##34#</t>
  </si>
  <si>
    <t>* sourceUri = ##34#http://hl7.eu/fhir/laboratory/StructureDefinition/LabReport##34#</t>
  </si>
  <si>
    <t>* targetUri = ##34#http://hl7.eu/fhir/laboratory/StructureDefinition/DiagnosticReport-eu-lab##34#</t>
  </si>
  <si>
    <t>* group[0].source = ##34#http://hl7.eu/fhir/laboratory/StructureDefinition/LabReport##34#</t>
  </si>
  <si>
    <t>* group[=].target = ##34#http://hl7.eu/fhir/laboratory/StructureDefinition/DiagnosticReport-eu-lab##34#</t>
  </si>
  <si>
    <t>labRpt-to-diagRpt-map.fsh</t>
  </si>
  <si>
    <t>subject</t>
  </si>
  <si>
    <t>basedOn.resolve().ofType(ServiceRequest).insurance.resolve().ofType(Coverage)</t>
  </si>
  <si>
    <t>resultsInterpreter.resolve()</t>
  </si>
  <si>
    <t>status</t>
  </si>
  <si>
    <t>effectiveDateTime</t>
  </si>
  <si>
    <t>basedOn.resolve().ofType(ServiceRequest)</t>
  </si>
  <si>
    <t>specimen.resolve()</t>
  </si>
  <si>
    <t>result.resolve()</t>
  </si>
  <si>
    <t>performer.resolve()</t>
  </si>
  <si>
    <t>* title = ##34#eHN Lab Report to HL7 FHIR DiagnosticReport Map##34#</t>
  </si>
  <si>
    <t>* description = ##34#eHN Lab Report to HL7 FHIR DiagnosticReport Map##34#</t>
  </si>
  <si>
    <t>* purpose = ##34#It shows how the Labporatory Report data set defined by the EU eHN guidlines is mapped into The HL/ HFIR resource Diagnostic Report##34#</t>
  </si>
  <si>
    <t>If resultsInterpreter does not exists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</si>
</sst>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medium">
        <color indexed="64"/>
      </left>
      <right style="thin">
        <color indexed="64"/>
      </right>
      <top style="medium">
        <color indexed="64"/>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0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0" xfId="0" applyFont="1" applyAlignment="1">
      <alignment wrapText="1"/>
    </xf>
    <xf numFmtId="0" fontId="0" fillId="5" borderId="0" xfId="0" applyFill="1" applyAlignment="1">
      <alignment wrapText="1"/>
    </xf>
    <xf numFmtId="0" fontId="1" fillId="0" borderId="1" xfId="0" applyFont="1" applyBorder="1"/>
    <xf numFmtId="0" fontId="1" fillId="0" borderId="1" xfId="0" applyFont="1" applyBorder="1" applyAlignment="1">
      <alignment horizontal="center"/>
    </xf>
    <xf numFmtId="0" fontId="1" fillId="6" borderId="32" xfId="0" applyFont="1" applyFill="1" applyBorder="1"/>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3" fillId="2" borderId="0" xfId="0" applyFont="1" applyFill="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7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A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0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3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6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9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F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2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1.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election activeCell="E6" sqref="E6:E12"/>
    </sheetView>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87" t="s">
        <v>39</v>
      </c>
      <c r="C3" s="88"/>
      <c r="D3" s="35" t="s">
        <v>40</v>
      </c>
      <c r="E3" s="35" t="s">
        <v>41</v>
      </c>
    </row>
    <row r="4" spans="2:5" ht="16.75" thickBot="1" x14ac:dyDescent="0.9">
      <c r="B4" s="89" t="s">
        <v>42</v>
      </c>
      <c r="C4" s="90"/>
      <c r="D4" s="90"/>
      <c r="E4" s="91"/>
    </row>
    <row r="5" spans="2:5" ht="16.75" thickBot="1" x14ac:dyDescent="0.9">
      <c r="B5" s="89" t="s">
        <v>43</v>
      </c>
      <c r="C5" s="90"/>
      <c r="D5" s="90"/>
      <c r="E5" s="9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2" t="s">
        <v>57</v>
      </c>
      <c r="C10" s="92" t="s">
        <v>58</v>
      </c>
      <c r="D10" s="40" t="s">
        <v>59</v>
      </c>
      <c r="E10" s="95" t="s">
        <v>60</v>
      </c>
    </row>
    <row r="11" spans="2:5" x14ac:dyDescent="0.75">
      <c r="B11" s="93"/>
      <c r="C11" s="93"/>
      <c r="D11" s="41"/>
      <c r="E11" s="96"/>
    </row>
    <row r="12" spans="2:5" ht="32.75" thickBot="1" x14ac:dyDescent="0.9">
      <c r="B12" s="94"/>
      <c r="C12" s="94"/>
      <c r="D12" s="37" t="s">
        <v>61</v>
      </c>
      <c r="E12" s="97"/>
    </row>
    <row r="13" spans="2:5" ht="16.75" thickBot="1" x14ac:dyDescent="0.9">
      <c r="B13" s="84" t="s">
        <v>62</v>
      </c>
      <c r="C13" s="85"/>
      <c r="D13" s="85"/>
      <c r="E13" s="86"/>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84" t="s">
        <v>70</v>
      </c>
      <c r="C16" s="85"/>
      <c r="D16" s="85"/>
      <c r="E16" s="86"/>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84" t="s">
        <v>83</v>
      </c>
      <c r="C21" s="85"/>
      <c r="D21" s="85"/>
      <c r="E21" s="86"/>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84" t="s">
        <v>93</v>
      </c>
      <c r="C25" s="85"/>
      <c r="D25" s="85"/>
      <c r="E25" s="86"/>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84" t="s">
        <v>102</v>
      </c>
      <c r="C29" s="85"/>
      <c r="D29" s="85"/>
      <c r="E29" s="86"/>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84" t="s">
        <v>114</v>
      </c>
      <c r="C34" s="85"/>
      <c r="D34" s="85"/>
      <c r="E34" s="86"/>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84" t="s">
        <v>126</v>
      </c>
      <c r="C39" s="85"/>
      <c r="D39" s="85"/>
      <c r="E39" s="86"/>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87" t="s">
        <v>39</v>
      </c>
      <c r="C3" s="88"/>
      <c r="D3" s="35" t="s">
        <v>40</v>
      </c>
      <c r="E3" s="35" t="s">
        <v>41</v>
      </c>
    </row>
    <row r="4" spans="2:5" ht="15.5" thickBot="1" x14ac:dyDescent="0.9">
      <c r="B4" s="98" t="s">
        <v>144</v>
      </c>
      <c r="C4" s="99"/>
      <c r="D4" s="99"/>
      <c r="E4" s="100"/>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1" t="s">
        <v>162</v>
      </c>
      <c r="C11" s="102"/>
      <c r="D11" s="102"/>
      <c r="E11" s="103"/>
    </row>
    <row r="12" spans="2:5" ht="32" x14ac:dyDescent="0.75">
      <c r="B12" s="92" t="s">
        <v>163</v>
      </c>
      <c r="C12" s="92" t="s">
        <v>164</v>
      </c>
      <c r="D12" s="92" t="s">
        <v>165</v>
      </c>
      <c r="E12" s="43" t="s">
        <v>166</v>
      </c>
    </row>
    <row r="13" spans="2:5" ht="16" x14ac:dyDescent="0.75">
      <c r="B13" s="93"/>
      <c r="C13" s="93"/>
      <c r="D13" s="93"/>
      <c r="E13" s="43" t="s">
        <v>167</v>
      </c>
    </row>
    <row r="14" spans="2:5" ht="16.75" thickBot="1" x14ac:dyDescent="0.9">
      <c r="B14" s="94"/>
      <c r="C14" s="94"/>
      <c r="D14" s="94"/>
      <c r="E14" s="39" t="s">
        <v>168</v>
      </c>
    </row>
    <row r="15" spans="2:5" ht="15.5" thickBot="1" x14ac:dyDescent="0.9">
      <c r="B15" s="101" t="s">
        <v>169</v>
      </c>
      <c r="C15" s="102"/>
      <c r="D15" s="102"/>
      <c r="E15" s="103"/>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2" t="s">
        <v>188</v>
      </c>
      <c r="C22" s="95" t="s">
        <v>189</v>
      </c>
      <c r="D22" s="92" t="s">
        <v>190</v>
      </c>
      <c r="E22" s="43" t="s">
        <v>167</v>
      </c>
    </row>
    <row r="23" spans="2:5" x14ac:dyDescent="0.75">
      <c r="B23" s="93"/>
      <c r="C23" s="96"/>
      <c r="D23" s="93"/>
      <c r="E23" s="41"/>
    </row>
    <row r="24" spans="2:5" ht="16.75" thickBot="1" x14ac:dyDescent="0.9">
      <c r="B24" s="94"/>
      <c r="C24" s="97"/>
      <c r="D24" s="9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84" t="s">
        <v>198</v>
      </c>
      <c r="C27" s="85"/>
      <c r="D27" s="85"/>
      <c r="E27" s="86"/>
    </row>
    <row r="28" spans="2:5" ht="16.75" thickBot="1" x14ac:dyDescent="0.9">
      <c r="B28" s="84" t="s">
        <v>199</v>
      </c>
      <c r="C28" s="85"/>
      <c r="D28" s="85"/>
      <c r="E28" s="86"/>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84" t="s">
        <v>206</v>
      </c>
      <c r="C31" s="85"/>
      <c r="D31" s="85"/>
      <c r="E31" s="86"/>
    </row>
    <row r="32" spans="2:5" ht="16.75" thickBot="1" x14ac:dyDescent="0.9">
      <c r="B32" s="36" t="s">
        <v>207</v>
      </c>
      <c r="C32" s="39" t="s">
        <v>208</v>
      </c>
      <c r="D32" s="37" t="s">
        <v>209</v>
      </c>
      <c r="E32" s="39" t="s">
        <v>113</v>
      </c>
    </row>
    <row r="33" spans="2:5" ht="16" x14ac:dyDescent="0.75">
      <c r="B33" s="92" t="s">
        <v>210</v>
      </c>
      <c r="C33" s="95" t="s">
        <v>211</v>
      </c>
      <c r="D33" s="92" t="s">
        <v>212</v>
      </c>
      <c r="E33" s="43" t="s">
        <v>130</v>
      </c>
    </row>
    <row r="34" spans="2:5" ht="16" x14ac:dyDescent="0.75">
      <c r="B34" s="93"/>
      <c r="C34" s="96"/>
      <c r="D34" s="93"/>
      <c r="E34" s="43" t="s">
        <v>213</v>
      </c>
    </row>
    <row r="35" spans="2:5" ht="16.75" thickBot="1" x14ac:dyDescent="0.9">
      <c r="B35" s="94"/>
      <c r="C35" s="97"/>
      <c r="D35" s="9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2" t="s">
        <v>226</v>
      </c>
      <c r="C40" s="95" t="s">
        <v>227</v>
      </c>
      <c r="D40" s="92" t="s">
        <v>228</v>
      </c>
      <c r="E40" s="43" t="s">
        <v>167</v>
      </c>
    </row>
    <row r="41" spans="2:5" x14ac:dyDescent="0.75">
      <c r="B41" s="93"/>
      <c r="C41" s="96"/>
      <c r="D41" s="93"/>
      <c r="E41" s="41"/>
    </row>
    <row r="42" spans="2:5" ht="16.75" thickBot="1" x14ac:dyDescent="0.9">
      <c r="B42" s="94"/>
      <c r="C42" s="97"/>
      <c r="D42" s="9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92" t="s">
        <v>238</v>
      </c>
      <c r="C46" s="95" t="s">
        <v>239</v>
      </c>
      <c r="D46" s="92" t="s">
        <v>240</v>
      </c>
      <c r="E46" s="43" t="s">
        <v>241</v>
      </c>
    </row>
    <row r="47" spans="2:5" x14ac:dyDescent="0.75">
      <c r="B47" s="93"/>
      <c r="C47" s="96"/>
      <c r="D47" s="93"/>
      <c r="E47" s="44"/>
    </row>
    <row r="48" spans="2:5" ht="16.75" thickBot="1" x14ac:dyDescent="0.9">
      <c r="B48" s="94"/>
      <c r="C48" s="97"/>
      <c r="D48" s="94"/>
      <c r="E48" s="39" t="s">
        <v>242</v>
      </c>
    </row>
    <row r="49" spans="2:5" ht="16" x14ac:dyDescent="0.75">
      <c r="B49" s="92" t="s">
        <v>243</v>
      </c>
      <c r="C49" s="95" t="s">
        <v>244</v>
      </c>
      <c r="D49" s="92" t="s">
        <v>245</v>
      </c>
      <c r="E49" s="43" t="s">
        <v>167</v>
      </c>
    </row>
    <row r="50" spans="2:5" x14ac:dyDescent="0.75">
      <c r="B50" s="93"/>
      <c r="C50" s="96"/>
      <c r="D50" s="93"/>
      <c r="E50" s="41"/>
    </row>
    <row r="51" spans="2:5" ht="48.75" thickBot="1" x14ac:dyDescent="0.9">
      <c r="B51" s="94"/>
      <c r="C51" s="97"/>
      <c r="D51" s="9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workbookViewId="0">
      <selection activeCell="H10" sqref="H1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648</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255</v>
      </c>
      <c r="J6" s="26" t="str">
        <f>CONCATENATE("Title: ##34#",B6,"##34#")</f>
        <v>Title: ##34#Laboratory Report##34#</v>
      </c>
    </row>
    <row r="7" spans="1:12" x14ac:dyDescent="0.75">
      <c r="A7" s="46" t="s">
        <v>5</v>
      </c>
      <c r="B7" s="47" t="s">
        <v>255</v>
      </c>
      <c r="C7" s="12" t="s">
        <v>6</v>
      </c>
      <c r="D7" s="2" t="s">
        <v>7</v>
      </c>
      <c r="E7" s="3" t="s">
        <v>8</v>
      </c>
      <c r="F7" s="3" t="s">
        <v>9</v>
      </c>
      <c r="G7" s="3" t="s">
        <v>10</v>
      </c>
      <c r="H7" s="68" t="s">
        <v>647</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564</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448</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566</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528</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13" sqref="B13"/>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636</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670</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637</v>
      </c>
      <c r="E24" s="14" t="str">
        <f t="shared" si="0"/>
        <v>* order -&gt; ##34#Composition.extension('http://hl7.eu/fhir/ig/xeh/StructureDefinition/composition-basedOn-order-or-requisition').valueIdentifier##34#</v>
      </c>
    </row>
    <row r="25" spans="1:5" ht="59" x14ac:dyDescent="0.75">
      <c r="B25" s="62" t="str">
        <f>Report!B21</f>
        <v>order</v>
      </c>
      <c r="C25" s="14" t="s">
        <v>646</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645</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643</v>
      </c>
      <c r="E28" s="14" t="str">
        <f t="shared" si="0"/>
        <v>* specimen -&gt; ##34#DiagnosticReport.conformsTo('http://hl7.eu/fhir/ig/xeh/StructureDefinition/DiagnosticReport-lab-xeh').specimen.resolve()##34#</v>
      </c>
    </row>
    <row r="29" spans="1:5" x14ac:dyDescent="0.75">
      <c r="B29" s="62" t="str">
        <f>Report!$B$23</f>
        <v>result</v>
      </c>
      <c r="C29" s="14" t="s">
        <v>595</v>
      </c>
      <c r="E29" s="14" t="str">
        <f t="shared" si="0"/>
        <v>* result -&gt; ##34#Composition.section:no-subsections.entry.resolve()##34#</v>
      </c>
    </row>
    <row r="30" spans="1:5" x14ac:dyDescent="0.75">
      <c r="B30" s="62" t="str">
        <f>Report!$B$23</f>
        <v>result</v>
      </c>
      <c r="C30" s="14" t="s">
        <v>596</v>
      </c>
      <c r="E30" s="14" t="str">
        <f t="shared" si="0"/>
        <v>* result -&gt; ##34#Composition.section:subsections.section.entry.resolve()##34#</v>
      </c>
    </row>
    <row r="31" spans="1:5" ht="29.5" x14ac:dyDescent="0.75">
      <c r="B31" s="62" t="str">
        <f>Report!$B$23</f>
        <v>result</v>
      </c>
      <c r="C31" s="14" t="s">
        <v>644</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election activeCell="C60" sqref="C60:C7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649</v>
      </c>
    </row>
    <row r="36" spans="3:3" x14ac:dyDescent="0.75">
      <c r="C36" s="33" t="s">
        <v>36</v>
      </c>
    </row>
    <row r="37" spans="3:3" x14ac:dyDescent="0.75">
      <c r="C37" s="33" t="s">
        <v>649</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3:S185"/>
  <sheetViews>
    <sheetView topLeftCell="E17" workbookViewId="0">
      <selection activeCell="N10" sqref="N10:N26"/>
    </sheetView>
  </sheetViews>
  <sheetFormatPr defaultRowHeight="14.75" x14ac:dyDescent="0.75"/>
  <cols>
    <col min="2" max="2" width="31.6796875" bestFit="1" customWidth="1"/>
    <col min="3" max="3" width="46.953125" bestFit="1"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3" spans="1:19" ht="45" thickBot="1" x14ac:dyDescent="0.9">
      <c r="I3" s="14" t="s">
        <v>650</v>
      </c>
      <c r="J3" s="14" t="s">
        <v>651</v>
      </c>
      <c r="K3" s="14" t="s">
        <v>652</v>
      </c>
      <c r="L3" s="14" t="s">
        <v>653</v>
      </c>
      <c r="M3" s="9" t="s">
        <v>654</v>
      </c>
      <c r="P3" s="69" t="s">
        <v>655</v>
      </c>
      <c r="Q3" s="69">
        <v>6</v>
      </c>
    </row>
    <row r="4" spans="1:19" ht="15.5" thickBot="1" x14ac:dyDescent="0.9">
      <c r="B4" s="13" t="s">
        <v>34</v>
      </c>
      <c r="C4" s="54"/>
      <c r="E4" s="70"/>
      <c r="I4" s="14"/>
      <c r="J4" s="9"/>
      <c r="K4" s="9"/>
      <c r="L4" s="9"/>
      <c r="M4" s="9"/>
    </row>
    <row r="5" spans="1:19" ht="15.5" thickBot="1" x14ac:dyDescent="0.9">
      <c r="B5" s="13" t="s">
        <v>19</v>
      </c>
      <c r="C5" s="15"/>
      <c r="E5" s="71"/>
      <c r="I5" s="14"/>
      <c r="J5" s="9"/>
      <c r="K5" s="9"/>
      <c r="L5" s="9"/>
      <c r="M5" s="9"/>
    </row>
    <row r="6" spans="1:19" ht="15.5" thickBot="1" x14ac:dyDescent="0.9">
      <c r="B6" s="13" t="s">
        <v>13</v>
      </c>
      <c r="C6" s="10"/>
      <c r="E6" s="10"/>
      <c r="I6" s="25" t="s">
        <v>656</v>
      </c>
      <c r="J6" s="72" t="s">
        <v>657</v>
      </c>
      <c r="K6" s="25" t="s">
        <v>658</v>
      </c>
      <c r="L6" s="72" t="s">
        <v>659</v>
      </c>
      <c r="M6" s="73" t="s">
        <v>660</v>
      </c>
      <c r="N6" s="77" t="s">
        <v>647</v>
      </c>
    </row>
    <row r="7" spans="1:19" x14ac:dyDescent="0.75">
      <c r="B7" s="74" t="s">
        <v>35</v>
      </c>
      <c r="C7" s="75"/>
      <c r="E7" s="75"/>
      <c r="I7" s="14"/>
      <c r="J7" s="9"/>
      <c r="K7" s="9"/>
      <c r="L7" s="9"/>
      <c r="M7" s="9"/>
    </row>
    <row r="8" spans="1:19" x14ac:dyDescent="0.75">
      <c r="B8" s="76" t="s">
        <v>18</v>
      </c>
      <c r="C8" s="9"/>
      <c r="D8" s="14"/>
      <c r="E8" s="9"/>
      <c r="F8" s="73" t="s">
        <v>660</v>
      </c>
      <c r="G8" s="77" t="s">
        <v>647</v>
      </c>
      <c r="H8" s="77"/>
      <c r="I8" s="14"/>
      <c r="J8" s="9"/>
      <c r="K8" s="73"/>
      <c r="L8" s="73"/>
      <c r="M8" s="73"/>
      <c r="N8" s="77"/>
    </row>
    <row r="9" spans="1:19" x14ac:dyDescent="0.75">
      <c r="A9" s="23"/>
      <c r="B9" s="8"/>
      <c r="C9" s="9"/>
      <c r="D9" s="4" t="s">
        <v>671</v>
      </c>
      <c r="E9" s="8"/>
      <c r="F9" s="9"/>
      <c r="G9" s="9"/>
      <c r="I9" s="14"/>
      <c r="J9" s="9"/>
      <c r="K9" s="9"/>
      <c r="L9" s="9"/>
      <c r="M9" s="73"/>
      <c r="N9" s="77"/>
    </row>
    <row r="10" spans="1:19" ht="73.75" x14ac:dyDescent="0.75">
      <c r="A10" s="23"/>
      <c r="B10" s="8" t="str">
        <f>Report!B8</f>
        <v>header</v>
      </c>
      <c r="C10" s="8" t="str">
        <f>Report!C8</f>
        <v>A.1 Report header data elements</v>
      </c>
      <c r="D10" s="14" t="s">
        <v>671</v>
      </c>
      <c r="E10" s="62"/>
      <c r="F10" s="78" t="s">
        <v>662</v>
      </c>
      <c r="G10" s="78"/>
      <c r="H10" s="79"/>
      <c r="I10" s="14" t="str">
        <f>"* group[=].element[+].code = #"&amp;B10</f>
        <v>* group[=].element[+].code = #header</v>
      </c>
      <c r="J10" s="14" t="str">
        <f>"* group[=].element[=].display = ##34#"&amp;C10&amp;"##34#"</f>
        <v>* group[=].element[=].display = ##34#A.1 Report header data elements##34#</v>
      </c>
      <c r="K10" s="14" t="str">
        <f>IF(F10="unmatched","//-- unmatched","* group[=].element[=].target.code = #"&amp;$D$9&amp;"."&amp;D10)</f>
        <v>* group[=].element[=].target.code = #DiagnosticReport.DiagnosticReport</v>
      </c>
      <c r="L10" s="14" t="str">
        <f>IF(F10="unmatched","//-- unmatched","* group[=].element[=].target.display = ##34#"&amp;E10&amp;"##34#")</f>
        <v>* group[=].element[=].target.display = ##34###34#</v>
      </c>
      <c r="M10" s="14" t="str">
        <f>"* group[=].element[=].target.equivalence = #"&amp;F10</f>
        <v>* group[=].element[=].target.equivalence = #relatedto</v>
      </c>
      <c r="N10" s="14" t="str">
        <f t="shared" ref="N10:N26" si="0">IF(G10&lt;&gt;"",CONCATENATE("* group[=].element[=].target.comment = ","##34#",G10,"##34#"),"")</f>
        <v/>
      </c>
      <c r="P10" s="9">
        <v>1</v>
      </c>
      <c r="Q10" s="9">
        <f>IF(MOD(P10,$Q$3)=0,P10/$Q$3-1,INT(P10/$Q$3))</f>
        <v>0</v>
      </c>
      <c r="R10" s="9">
        <f>IF(MOD(P10,$Q$3)=0,$Q$3,MOD(P10,$Q$3))</f>
        <v>1</v>
      </c>
      <c r="S10" s="14" t="str" cm="1">
        <f t="array" ref="S10">INDEX('Report-ConceptMap'!$I$10:$N$265,Q10+1,R10)</f>
        <v>* group[=].element[+].code = #header</v>
      </c>
    </row>
    <row r="11" spans="1:19" ht="44.25" x14ac:dyDescent="0.75">
      <c r="A11" s="23"/>
      <c r="B11" s="9" t="str">
        <f>Report!B9</f>
        <v>header.subject</v>
      </c>
      <c r="C11" s="9" t="str">
        <f>Report!C9</f>
        <v>A.1.1 - A1.2 Patient/subject</v>
      </c>
      <c r="D11" s="14" t="s">
        <v>679</v>
      </c>
      <c r="E11" s="9"/>
      <c r="F11" s="78" t="s">
        <v>662</v>
      </c>
      <c r="G11" s="78"/>
      <c r="H11" s="79"/>
      <c r="I11" s="14" t="str">
        <f t="shared" ref="I11:I18" si="1">"* group[=].element[+].code = #"&amp;B11</f>
        <v>* group[=].element[+].code = #header.subject</v>
      </c>
      <c r="J11" s="14" t="str">
        <f t="shared" ref="J11:J18" si="2">"* group[=].element[=].display = ##34#"&amp;C11&amp;"##34#"</f>
        <v>* group[=].element[=].display = ##34#A.1.1 - A1.2 Patient/subject##34#</v>
      </c>
      <c r="K11" s="14" t="str">
        <f t="shared" ref="K11:K18" si="3">IF(F11="unmatched","//-- unmatched","* group[=].element[=].target.code = #"&amp;$D$9&amp;"."&amp;D11)</f>
        <v>* group[=].element[=].target.code = #DiagnosticReport.subject</v>
      </c>
      <c r="L11" s="14" t="str">
        <f t="shared" ref="L11:L18" si="4">IF(F11="unmatched","//-- unmatched","* group[=].element[=].target.display = ##34#"&amp;E11&amp;"##34#")</f>
        <v>* group[=].element[=].target.display = ##34###34#</v>
      </c>
      <c r="M11" s="14" t="str">
        <f t="shared" ref="M11:M18" si="5">"* group[=].element[=].target.equivalence = #"&amp;F11</f>
        <v>* group[=].element[=].target.equivalence = #relatedto</v>
      </c>
      <c r="N11" s="14" t="str">
        <f t="shared" si="0"/>
        <v/>
      </c>
      <c r="P11" s="9">
        <v>2</v>
      </c>
      <c r="Q11" s="9">
        <f t="shared" ref="Q11:Q75" si="6">IF(MOD(P11,$Q$3)=0,P11/$Q$3-1,INT(P11/$Q$3))</f>
        <v>0</v>
      </c>
      <c r="R11" s="9">
        <f t="shared" ref="R11:R75" si="7">IF(MOD(P11,$Q$3)=0,$Q$3,MOD(P11,$Q$3))</f>
        <v>2</v>
      </c>
      <c r="S11" s="14" t="str" cm="1">
        <f t="array" ref="S11">INDEX('Report-ConceptMap'!$I$10:$N$265,Q11+1,R11)</f>
        <v>* group[=].element[=].display = ##34#A.1 Report header data elements##34#</v>
      </c>
    </row>
    <row r="12" spans="1:19" ht="88.5" x14ac:dyDescent="0.75">
      <c r="A12" s="23"/>
      <c r="B12" s="9" t="str">
        <f>Report!B10</f>
        <v>header.payer</v>
      </c>
      <c r="C12" s="9" t="str">
        <f>Report!C10</f>
        <v>A.1.3 Health insurance and payment information</v>
      </c>
      <c r="D12" s="14" t="s">
        <v>680</v>
      </c>
      <c r="E12" s="9"/>
      <c r="F12" s="78" t="s">
        <v>662</v>
      </c>
      <c r="G12" s="78"/>
      <c r="H12" s="79"/>
      <c r="I12" s="14" t="str">
        <f t="shared" si="1"/>
        <v>* group[=].element[+].code = #header.payer</v>
      </c>
      <c r="J12" s="14" t="str">
        <f t="shared" si="2"/>
        <v>* group[=].element[=].display = ##34#A.1.3 Health insurance and payment information##34#</v>
      </c>
      <c r="K12" s="14" t="str">
        <f t="shared" si="3"/>
        <v>* group[=].element[=].target.code = #DiagnosticReport.basedOn.resolve().ofType(ServiceRequest).insurance.resolve().ofType(Coverage)</v>
      </c>
      <c r="L12" s="14" t="str">
        <f t="shared" si="4"/>
        <v>* group[=].element[=].target.display = ##34###34#</v>
      </c>
      <c r="M12" s="14" t="str">
        <f t="shared" si="5"/>
        <v>* group[=].element[=].target.equivalence = #relatedto</v>
      </c>
      <c r="N12" s="14" t="str">
        <f t="shared" si="0"/>
        <v/>
      </c>
      <c r="P12" s="9">
        <v>3</v>
      </c>
      <c r="Q12" s="9">
        <f t="shared" si="6"/>
        <v>0</v>
      </c>
      <c r="R12" s="9">
        <f t="shared" si="7"/>
        <v>3</v>
      </c>
      <c r="S12" s="14" t="str" cm="1">
        <f t="array" ref="S12">INDEX('Report-ConceptMap'!$I$10:$N$265,Q12+1,R12)</f>
        <v>* group[=].element[=].target.code = #DiagnosticReport.DiagnosticReport</v>
      </c>
    </row>
    <row r="13" spans="1:19" ht="44.25" x14ac:dyDescent="0.75">
      <c r="A13" s="23"/>
      <c r="B13" s="9" t="str">
        <f>Report!B11</f>
        <v>header.informationRecipient</v>
      </c>
      <c r="C13" s="9" t="str">
        <f>Report!C11</f>
        <v>A.1.4 Information recipient</v>
      </c>
      <c r="D13" s="14"/>
      <c r="E13" s="9"/>
      <c r="F13" s="78" t="s">
        <v>663</v>
      </c>
      <c r="G13" s="78"/>
      <c r="H13" s="79"/>
      <c r="I13" s="14" t="str">
        <f t="shared" si="1"/>
        <v>* group[=].element[+].code = #header.informationRecipient</v>
      </c>
      <c r="J13" s="14" t="str">
        <f t="shared" si="2"/>
        <v>* group[=].element[=].display = ##34#A.1.4 Information recipient##34#</v>
      </c>
      <c r="K13" s="14" t="str">
        <f t="shared" si="3"/>
        <v>//-- unmatched</v>
      </c>
      <c r="L13" s="14" t="str">
        <f t="shared" si="4"/>
        <v>//-- unmatched</v>
      </c>
      <c r="M13" s="14" t="str">
        <f t="shared" si="5"/>
        <v>* group[=].element[=].target.equivalence = #unmatched</v>
      </c>
      <c r="N13" s="14" t="str">
        <f t="shared" si="0"/>
        <v/>
      </c>
      <c r="P13" s="9">
        <v>4</v>
      </c>
      <c r="Q13" s="9">
        <f t="shared" si="6"/>
        <v>0</v>
      </c>
      <c r="R13" s="9">
        <f t="shared" si="7"/>
        <v>4</v>
      </c>
      <c r="S13" s="14" t="str" cm="1">
        <f t="array" ref="S13">INDEX('Report-ConceptMap'!$I$10:$N$265,Q13+1,R13)</f>
        <v>* group[=].element[=].target.display = ##34###34#</v>
      </c>
    </row>
    <row r="14" spans="1:19" ht="73.75" x14ac:dyDescent="0.75">
      <c r="A14" s="23"/>
      <c r="B14" s="9" t="str">
        <f>Report!B12</f>
        <v>header.author</v>
      </c>
      <c r="C14" s="9" t="str">
        <f>Report!C12</f>
        <v>A.1.5 Author</v>
      </c>
      <c r="D14" s="14" t="s">
        <v>681</v>
      </c>
      <c r="E14" s="9"/>
      <c r="F14" s="78" t="s">
        <v>662</v>
      </c>
      <c r="G14" s="78"/>
      <c r="H14" s="79"/>
      <c r="I14" s="14" t="str">
        <f t="shared" ref="I14" si="8">"* group[=].element[+].code = #"&amp;B14</f>
        <v>* group[=].element[+].code = #header.author</v>
      </c>
      <c r="J14" s="14" t="str">
        <f t="shared" ref="J14" si="9">"* group[=].element[=].display = ##34#"&amp;C14&amp;"##34#"</f>
        <v>* group[=].element[=].display = ##34#A.1.5 Author##34#</v>
      </c>
      <c r="K14" s="14" t="str">
        <f t="shared" ref="K14" si="10">IF(F14="unmatched","//-- unmatched","* group[=].element[=].target.code = #"&amp;$D$9&amp;"."&amp;D14)</f>
        <v>* group[=].element[=].target.code = #DiagnosticReport.resultsInterpreter.resolve()</v>
      </c>
      <c r="L14" s="14" t="str">
        <f t="shared" ref="L14" si="11">IF(F14="unmatched","//-- unmatched","* group[=].element[=].target.display = ##34#"&amp;E14&amp;"##34#")</f>
        <v>* group[=].element[=].target.display = ##34###34#</v>
      </c>
      <c r="M14" s="14" t="str">
        <f t="shared" ref="M14" si="12">"* group[=].element[=].target.equivalence = #"&amp;F14</f>
        <v>* group[=].element[=].target.equivalence = #relatedto</v>
      </c>
      <c r="N14" s="14" t="str">
        <f t="shared" si="0"/>
        <v/>
      </c>
      <c r="P14" s="9">
        <v>5</v>
      </c>
      <c r="Q14" s="9">
        <f t="shared" ref="Q14" si="13">IF(MOD(P14,$Q$3)=0,P14/$Q$3-1,INT(P14/$Q$3))</f>
        <v>0</v>
      </c>
      <c r="R14" s="9">
        <f t="shared" ref="R14" si="14">IF(MOD(P14,$Q$3)=0,$Q$3,MOD(P14,$Q$3))</f>
        <v>5</v>
      </c>
      <c r="S14" s="14" t="str" cm="1">
        <f t="array" ref="S14">INDEX('Report-ConceptMap'!$I$10:$N$265,Q14+1,R14)</f>
        <v>* group[=].element[=].target.equivalence = #relatedto</v>
      </c>
    </row>
    <row r="15" spans="1:19" ht="73.75" x14ac:dyDescent="0.75">
      <c r="A15" s="23"/>
      <c r="B15" s="9" t="str">
        <f>Report!B12</f>
        <v>header.author</v>
      </c>
      <c r="C15" s="9" t="str">
        <f>Report!C12</f>
        <v>A.1.5 Author</v>
      </c>
      <c r="D15" s="14" t="s">
        <v>687</v>
      </c>
      <c r="E15" s="9"/>
      <c r="F15" s="78" t="s">
        <v>662</v>
      </c>
      <c r="G15" s="78" t="s">
        <v>691</v>
      </c>
      <c r="H15" s="79"/>
      <c r="I15" s="14" t="str">
        <f t="shared" si="1"/>
        <v>* group[=].element[+].code = #header.author</v>
      </c>
      <c r="J15" s="14" t="str">
        <f t="shared" si="2"/>
        <v>* group[=].element[=].display = ##34#A.1.5 Author##34#</v>
      </c>
      <c r="K15" s="14" t="str">
        <f t="shared" si="3"/>
        <v>* group[=].element[=].target.code = #DiagnosticReport.performer.resolve()</v>
      </c>
      <c r="L15" s="14" t="str">
        <f t="shared" si="4"/>
        <v>* group[=].element[=].target.display = ##34###34#</v>
      </c>
      <c r="M15" s="14" t="str">
        <f t="shared" si="5"/>
        <v>* group[=].element[=].target.equivalence = #relatedto</v>
      </c>
      <c r="N15" s="14" t="str">
        <f t="shared" si="0"/>
        <v>* group[=].element[=].target.comment = ##34#If resultsInterpreter does not exists##34#</v>
      </c>
      <c r="P15" s="9">
        <v>6</v>
      </c>
      <c r="Q15" s="9">
        <f t="shared" si="6"/>
        <v>0</v>
      </c>
      <c r="R15" s="9">
        <f t="shared" si="7"/>
        <v>6</v>
      </c>
      <c r="S15" s="14" t="str" cm="1">
        <f t="array" ref="S15">INDEX('Report-ConceptMap'!$I$10:$N$265,Q15+1,R15)</f>
        <v/>
      </c>
    </row>
    <row r="16" spans="1:19" ht="44.25" x14ac:dyDescent="0.75">
      <c r="A16" s="23"/>
      <c r="B16" s="9" t="str">
        <f>Report!B13</f>
        <v>header.legalAuthenticator</v>
      </c>
      <c r="C16" s="9" t="str">
        <f>Report!C13</f>
        <v>A.1.6 Legal authenticator</v>
      </c>
      <c r="D16" s="14"/>
      <c r="E16" s="9"/>
      <c r="F16" s="78" t="s">
        <v>663</v>
      </c>
      <c r="G16" s="78"/>
      <c r="H16" s="79"/>
      <c r="I16" s="14" t="str">
        <f t="shared" si="1"/>
        <v>* group[=].element[+].code = #header.legalAuthenticator</v>
      </c>
      <c r="J16" s="14" t="str">
        <f t="shared" si="2"/>
        <v>* group[=].element[=].display = ##34#A.1.6 Legal authenticator##34#</v>
      </c>
      <c r="K16" s="14" t="str">
        <f t="shared" si="3"/>
        <v>//-- unmatched</v>
      </c>
      <c r="L16" s="14" t="str">
        <f t="shared" si="4"/>
        <v>//-- unmatched</v>
      </c>
      <c r="M16" s="14" t="str">
        <f t="shared" si="5"/>
        <v>* group[=].element[=].target.equivalence = #unmatched</v>
      </c>
      <c r="N16" s="14" t="str">
        <f t="shared" si="0"/>
        <v/>
      </c>
      <c r="P16" s="9">
        <v>7</v>
      </c>
      <c r="Q16" s="9">
        <f t="shared" si="6"/>
        <v>1</v>
      </c>
      <c r="R16" s="9">
        <f t="shared" si="7"/>
        <v>1</v>
      </c>
      <c r="S16" s="14" t="str" cm="1">
        <f t="array" ref="S16">INDEX('Report-ConceptMap'!$I$10:$N$265,Q16+1,R16)</f>
        <v>* group[=].element[+].code = #header.subject</v>
      </c>
    </row>
    <row r="17" spans="1:19" ht="44.25" x14ac:dyDescent="0.75">
      <c r="A17" s="23"/>
      <c r="B17" s="9" t="str">
        <f>Report!B14</f>
        <v>header.validator</v>
      </c>
      <c r="C17" s="9" t="str">
        <f>Report!C14</f>
        <v>A.1.7 Result validator</v>
      </c>
      <c r="D17" s="14"/>
      <c r="E17" s="9"/>
      <c r="F17" s="78" t="s">
        <v>663</v>
      </c>
      <c r="G17" s="78"/>
      <c r="H17" s="79"/>
      <c r="I17" s="14" t="str">
        <f t="shared" si="1"/>
        <v>* group[=].element[+].code = #header.validator</v>
      </c>
      <c r="J17" s="14" t="str">
        <f t="shared" si="2"/>
        <v>* group[=].element[=].display = ##34#A.1.7 Result validator##34#</v>
      </c>
      <c r="K17" s="14" t="str">
        <f t="shared" si="3"/>
        <v>//-- unmatched</v>
      </c>
      <c r="L17" s="14" t="str">
        <f t="shared" si="4"/>
        <v>//-- unmatched</v>
      </c>
      <c r="M17" s="14" t="str">
        <f t="shared" si="5"/>
        <v>* group[=].element[=].target.equivalence = #unmatched</v>
      </c>
      <c r="N17" s="14" t="str">
        <f t="shared" si="0"/>
        <v/>
      </c>
      <c r="P17" s="9">
        <v>8</v>
      </c>
      <c r="Q17" s="9">
        <f t="shared" si="6"/>
        <v>1</v>
      </c>
      <c r="R17" s="9">
        <f t="shared" si="7"/>
        <v>2</v>
      </c>
      <c r="S17" s="14" t="str" cm="1">
        <f t="array" ref="S17">INDEX('Report-ConceptMap'!$I$10:$N$265,Q17+1,R17)</f>
        <v>* group[=].element[=].display = ##34#A.1.1 - A1.2 Patient/subject##34#</v>
      </c>
    </row>
    <row r="18" spans="1:19" ht="44.25" x14ac:dyDescent="0.75">
      <c r="A18" s="23"/>
      <c r="B18" s="9" t="str">
        <f>Report!B15</f>
        <v>header.metadata</v>
      </c>
      <c r="C18" s="9" t="str">
        <f>Report!C15</f>
        <v>A.1.8 Laboratory report metadata</v>
      </c>
      <c r="D18" s="14"/>
      <c r="E18" s="14"/>
      <c r="F18" s="78" t="s">
        <v>663</v>
      </c>
      <c r="G18" s="78"/>
      <c r="H18" s="79"/>
      <c r="I18" s="14" t="str">
        <f t="shared" si="1"/>
        <v>* group[=].element[+].code = #header.metadata</v>
      </c>
      <c r="J18" s="14" t="str">
        <f t="shared" si="2"/>
        <v>* group[=].element[=].display = ##34#A.1.8 Laboratory report metadata##34#</v>
      </c>
      <c r="K18" s="14" t="str">
        <f t="shared" si="3"/>
        <v>//-- unmatched</v>
      </c>
      <c r="L18" s="14" t="str">
        <f t="shared" si="4"/>
        <v>//-- unmatched</v>
      </c>
      <c r="M18" s="14" t="str">
        <f t="shared" si="5"/>
        <v>* group[=].element[=].target.equivalence = #unmatched</v>
      </c>
      <c r="N18" s="14" t="str">
        <f t="shared" si="0"/>
        <v/>
      </c>
      <c r="P18" s="9">
        <v>9</v>
      </c>
      <c r="Q18" s="9">
        <f t="shared" si="6"/>
        <v>1</v>
      </c>
      <c r="R18" s="9">
        <f t="shared" si="7"/>
        <v>3</v>
      </c>
      <c r="S18" s="14" t="str" cm="1">
        <f t="array" ref="S18">INDEX('Report-ConceptMap'!$I$10:$N$265,Q18+1,R18)</f>
        <v>* group[=].element[=].target.code = #DiagnosticReport.subject</v>
      </c>
    </row>
    <row r="19" spans="1:19" ht="44.25" x14ac:dyDescent="0.75">
      <c r="A19" s="23"/>
      <c r="B19" s="9" t="str">
        <f>Report!B16</f>
        <v>header.metadata.type</v>
      </c>
      <c r="C19" s="9" t="str">
        <f>Report!C16</f>
        <v>A.1.8.1 Document type</v>
      </c>
      <c r="D19" s="14" t="s">
        <v>658</v>
      </c>
      <c r="E19" s="14"/>
      <c r="F19" s="78" t="s">
        <v>661</v>
      </c>
      <c r="G19" s="78"/>
      <c r="H19" s="79"/>
      <c r="I19" s="14" t="str">
        <f t="shared" ref="I19:I26" si="15">"* group[=].element[+].code = #"&amp;B19</f>
        <v>* group[=].element[+].code = #header.metadata.type</v>
      </c>
      <c r="J19" s="14" t="str">
        <f t="shared" ref="J19:J26" si="16">"* group[=].element[=].display = ##34#"&amp;C19&amp;"##34#"</f>
        <v>* group[=].element[=].display = ##34#A.1.8.1 Document type##34#</v>
      </c>
      <c r="K19" s="14" t="str">
        <f t="shared" ref="K19:K26" si="17">IF(F19="unmatched","//-- unmatched","* group[=].element[=].target.code = #"&amp;$D$9&amp;"."&amp;D19)</f>
        <v>* group[=].element[=].target.code = #DiagnosticReport.code</v>
      </c>
      <c r="L19" s="14" t="str">
        <f t="shared" ref="L19:L26" si="18">IF(F19="unmatched","//-- unmatched","* group[=].element[=].target.display = ##34#"&amp;E19&amp;"##34#")</f>
        <v>* group[=].element[=].target.display = ##34###34#</v>
      </c>
      <c r="M19" s="14" t="str">
        <f t="shared" ref="M19:M26" si="19">"* group[=].element[=].target.equivalence = #"&amp;F19</f>
        <v>* group[=].element[=].target.equivalence = #equivalent</v>
      </c>
      <c r="N19" s="14" t="str">
        <f t="shared" si="0"/>
        <v/>
      </c>
      <c r="P19" s="9">
        <v>10</v>
      </c>
      <c r="Q19" s="9">
        <f t="shared" si="6"/>
        <v>1</v>
      </c>
      <c r="R19" s="9">
        <f t="shared" si="7"/>
        <v>4</v>
      </c>
      <c r="S19" s="14" t="str" cm="1">
        <f t="array" ref="S19">INDEX('Report-ConceptMap'!$I$10:$N$265,Q19+1,R19)</f>
        <v>* group[=].element[=].target.display = ##34###34#</v>
      </c>
    </row>
    <row r="20" spans="1:19" ht="44.25" x14ac:dyDescent="0.75">
      <c r="B20" s="9" t="str">
        <f>Report!B17</f>
        <v>header.metadata.status</v>
      </c>
      <c r="C20" s="9" t="str">
        <f>Report!C17</f>
        <v>A.1.8.2 Document status</v>
      </c>
      <c r="D20" s="14" t="s">
        <v>682</v>
      </c>
      <c r="E20" s="14"/>
      <c r="F20" s="78" t="s">
        <v>662</v>
      </c>
      <c r="G20" s="78"/>
      <c r="H20" s="79"/>
      <c r="I20" s="14" t="str">
        <f t="shared" si="15"/>
        <v>* group[=].element[+].code = #header.metadata.status</v>
      </c>
      <c r="J20" s="14" t="str">
        <f t="shared" si="16"/>
        <v>* group[=].element[=].display = ##34#A.1.8.2 Document status##34#</v>
      </c>
      <c r="K20" s="14" t="str">
        <f t="shared" si="17"/>
        <v>* group[=].element[=].target.code = #DiagnosticReport.status</v>
      </c>
      <c r="L20" s="14" t="str">
        <f t="shared" si="18"/>
        <v>* group[=].element[=].target.display = ##34###34#</v>
      </c>
      <c r="M20" s="14" t="str">
        <f t="shared" si="19"/>
        <v>* group[=].element[=].target.equivalence = #relatedto</v>
      </c>
      <c r="N20" s="14" t="str">
        <f t="shared" si="0"/>
        <v/>
      </c>
      <c r="P20" s="9">
        <v>11</v>
      </c>
      <c r="Q20" s="9">
        <f t="shared" si="6"/>
        <v>1</v>
      </c>
      <c r="R20" s="9">
        <f t="shared" si="7"/>
        <v>5</v>
      </c>
      <c r="S20" s="14" t="str" cm="1">
        <f t="array" ref="S20">INDEX('Report-ConceptMap'!$I$10:$N$265,Q20+1,R20)</f>
        <v>* group[=].element[=].target.equivalence = #relatedto</v>
      </c>
    </row>
    <row r="21" spans="1:19" ht="73.75" x14ac:dyDescent="0.75">
      <c r="B21" s="9" t="str">
        <f>Report!B18</f>
        <v>header.metadata.dateTime</v>
      </c>
      <c r="C21" s="9" t="str">
        <f>Report!C18</f>
        <v>A.1.8.3 Report date and time</v>
      </c>
      <c r="D21" s="14" t="s">
        <v>683</v>
      </c>
      <c r="E21" s="14"/>
      <c r="F21" s="78" t="s">
        <v>661</v>
      </c>
      <c r="G21" s="78"/>
      <c r="H21" s="79"/>
      <c r="I21" s="14" t="str">
        <f t="shared" si="15"/>
        <v>* group[=].element[+].code = #header.metadata.dateTime</v>
      </c>
      <c r="J21" s="14" t="str">
        <f t="shared" si="16"/>
        <v>* group[=].element[=].display = ##34#A.1.8.3 Report date and time##34#</v>
      </c>
      <c r="K21" s="14" t="str">
        <f t="shared" si="17"/>
        <v>* group[=].element[=].target.code = #DiagnosticReport.effectiveDateTime</v>
      </c>
      <c r="L21" s="14" t="str">
        <f t="shared" si="18"/>
        <v>* group[=].element[=].target.display = ##34###34#</v>
      </c>
      <c r="M21" s="14" t="str">
        <f t="shared" si="19"/>
        <v>* group[=].element[=].target.equivalence = #equivalent</v>
      </c>
      <c r="N21" s="14" t="str">
        <f t="shared" si="0"/>
        <v/>
      </c>
      <c r="P21" s="9">
        <v>12</v>
      </c>
      <c r="Q21" s="9">
        <f t="shared" si="6"/>
        <v>1</v>
      </c>
      <c r="R21" s="9">
        <f t="shared" si="7"/>
        <v>6</v>
      </c>
      <c r="S21" s="14" t="str" cm="1">
        <f t="array" ref="S21">INDEX('Report-ConceptMap'!$I$10:$N$265,Q21+1,R21)</f>
        <v/>
      </c>
    </row>
    <row r="22" spans="1:19" ht="44.25" x14ac:dyDescent="0.75">
      <c r="B22" s="9" t="str">
        <f>Report!B19</f>
        <v>header.metadata.title</v>
      </c>
      <c r="C22" s="9" t="str">
        <f>Report!C19</f>
        <v>A.1.8.4 Document title</v>
      </c>
      <c r="D22" s="14"/>
      <c r="E22" s="14"/>
      <c r="F22" s="78" t="s">
        <v>663</v>
      </c>
      <c r="G22" s="78"/>
      <c r="H22" s="79"/>
      <c r="I22" s="14" t="str">
        <f t="shared" si="15"/>
        <v>* group[=].element[+].code = #header.metadata.title</v>
      </c>
      <c r="J22" s="14" t="str">
        <f t="shared" si="16"/>
        <v>* group[=].element[=].display = ##34#A.1.8.4 Document title##34#</v>
      </c>
      <c r="K22" s="14" t="str">
        <f t="shared" si="17"/>
        <v>//-- unmatched</v>
      </c>
      <c r="L22" s="14" t="str">
        <f t="shared" si="18"/>
        <v>//-- unmatched</v>
      </c>
      <c r="M22" s="14" t="str">
        <f t="shared" si="19"/>
        <v>* group[=].element[=].target.equivalence = #unmatched</v>
      </c>
      <c r="N22" s="14" t="str">
        <f t="shared" si="0"/>
        <v/>
      </c>
      <c r="P22" s="9">
        <v>13</v>
      </c>
      <c r="Q22" s="9">
        <f t="shared" si="6"/>
        <v>2</v>
      </c>
      <c r="R22" s="9">
        <f t="shared" si="7"/>
        <v>1</v>
      </c>
      <c r="S22" s="14" t="str" cm="1">
        <f t="array" ref="S22">INDEX('Report-ConceptMap'!$I$10:$N$265,Q22+1,R22)</f>
        <v>* group[=].element[+].code = #header.payer</v>
      </c>
    </row>
    <row r="23" spans="1:19" ht="44.25" x14ac:dyDescent="0.75">
      <c r="B23" s="9" t="str">
        <f>Report!B20</f>
        <v>header.metadata.custodian</v>
      </c>
      <c r="C23" s="9" t="str">
        <f>Report!C20</f>
        <v>A.1.8.5 Report custodian</v>
      </c>
      <c r="D23" s="14"/>
      <c r="E23" s="14"/>
      <c r="F23" s="78" t="s">
        <v>663</v>
      </c>
      <c r="G23" s="78"/>
      <c r="H23" s="79"/>
      <c r="I23" s="14" t="str">
        <f t="shared" si="15"/>
        <v>* group[=].element[+].code = #header.metadata.custodian</v>
      </c>
      <c r="J23" s="14" t="str">
        <f t="shared" si="16"/>
        <v>* group[=].element[=].display = ##34#A.1.8.5 Report custodian##34#</v>
      </c>
      <c r="K23" s="14" t="str">
        <f t="shared" si="17"/>
        <v>//-- unmatched</v>
      </c>
      <c r="L23" s="14" t="str">
        <f t="shared" si="18"/>
        <v>//-- unmatched</v>
      </c>
      <c r="M23" s="14" t="str">
        <f t="shared" si="19"/>
        <v>* group[=].element[=].target.equivalence = #unmatched</v>
      </c>
      <c r="N23" s="14" t="str">
        <f t="shared" si="0"/>
        <v/>
      </c>
      <c r="P23" s="9">
        <v>14</v>
      </c>
      <c r="Q23" s="9">
        <f t="shared" si="6"/>
        <v>2</v>
      </c>
      <c r="R23" s="9">
        <f t="shared" si="7"/>
        <v>2</v>
      </c>
      <c r="S23" s="14" t="str" cm="1">
        <f t="array" ref="S23">INDEX('Report-ConceptMap'!$I$10:$N$265,Q23+1,R23)</f>
        <v>* group[=].element[=].display = ##34#A.1.3 Health insurance and payment information##34#</v>
      </c>
    </row>
    <row r="24" spans="1:19" ht="73.75" x14ac:dyDescent="0.75">
      <c r="B24" s="9" t="str">
        <f>Report!B21</f>
        <v>order</v>
      </c>
      <c r="C24" s="9" t="str">
        <f>Report!C21</f>
        <v>A.2-A.3 Order</v>
      </c>
      <c r="D24" s="14" t="s">
        <v>684</v>
      </c>
      <c r="E24" s="14"/>
      <c r="F24" s="78" t="s">
        <v>662</v>
      </c>
      <c r="G24" s="78"/>
      <c r="H24" s="79"/>
      <c r="I24" s="14" t="str">
        <f t="shared" si="15"/>
        <v>* group[=].element[+].code = #order</v>
      </c>
      <c r="J24" s="14" t="str">
        <f t="shared" si="16"/>
        <v>* group[=].element[=].display = ##34#A.2-A.3 Order##34#</v>
      </c>
      <c r="K24" s="14" t="str">
        <f t="shared" si="17"/>
        <v>* group[=].element[=].target.code = #DiagnosticReport.basedOn.resolve().ofType(ServiceRequest)</v>
      </c>
      <c r="L24" s="14" t="str">
        <f t="shared" si="18"/>
        <v>* group[=].element[=].target.display = ##34###34#</v>
      </c>
      <c r="M24" s="14" t="str">
        <f t="shared" si="19"/>
        <v>* group[=].element[=].target.equivalence = #relatedto</v>
      </c>
      <c r="N24" s="14" t="str">
        <f t="shared" si="0"/>
        <v/>
      </c>
      <c r="P24" s="9">
        <v>15</v>
      </c>
      <c r="Q24" s="9">
        <f t="shared" si="6"/>
        <v>2</v>
      </c>
      <c r="R24" s="9">
        <f t="shared" si="7"/>
        <v>3</v>
      </c>
      <c r="S24" s="14" t="str" cm="1">
        <f t="array" ref="S24">INDEX('Report-ConceptMap'!$I$10:$N$265,Q24+1,R24)</f>
        <v>* group[=].element[=].target.code = #DiagnosticReport.basedOn.resolve().ofType(ServiceRequest).insurance.resolve().ofType(Coverage)</v>
      </c>
    </row>
    <row r="25" spans="1:19" ht="73.75" x14ac:dyDescent="0.75">
      <c r="B25" s="9" t="str">
        <f>Report!B22</f>
        <v>specimen</v>
      </c>
      <c r="C25" s="9" t="str">
        <f>Report!C22</f>
        <v>A.4 Specimen information</v>
      </c>
      <c r="D25" s="14" t="s">
        <v>685</v>
      </c>
      <c r="E25" s="14"/>
      <c r="F25" s="78" t="s">
        <v>662</v>
      </c>
      <c r="G25" s="78"/>
      <c r="H25" s="79"/>
      <c r="I25" s="14" t="str">
        <f t="shared" si="15"/>
        <v>* group[=].element[+].code = #specimen</v>
      </c>
      <c r="J25" s="14" t="str">
        <f t="shared" si="16"/>
        <v>* group[=].element[=].display = ##34#A.4 Specimen information##34#</v>
      </c>
      <c r="K25" s="14" t="str">
        <f t="shared" si="17"/>
        <v>* group[=].element[=].target.code = #DiagnosticReport.specimen.resolve()</v>
      </c>
      <c r="L25" s="14" t="str">
        <f t="shared" si="18"/>
        <v>* group[=].element[=].target.display = ##34###34#</v>
      </c>
      <c r="M25" s="14" t="str">
        <f t="shared" si="19"/>
        <v>* group[=].element[=].target.equivalence = #relatedto</v>
      </c>
      <c r="N25" s="14" t="str">
        <f t="shared" si="0"/>
        <v/>
      </c>
      <c r="P25" s="9">
        <v>16</v>
      </c>
      <c r="Q25" s="9">
        <f t="shared" si="6"/>
        <v>2</v>
      </c>
      <c r="R25" s="9">
        <f t="shared" si="7"/>
        <v>4</v>
      </c>
      <c r="S25" s="14" t="str" cm="1">
        <f t="array" ref="S25">INDEX('Report-ConceptMap'!$I$10:$N$265,Q25+1,R25)</f>
        <v>* group[=].element[=].target.display = ##34###34#</v>
      </c>
    </row>
    <row r="26" spans="1:19" ht="73.75" x14ac:dyDescent="0.75">
      <c r="B26" s="9" t="str">
        <f>Report!B23</f>
        <v>result</v>
      </c>
      <c r="C26" s="9" t="str">
        <f>Report!C23</f>
        <v>A.5 Results data elements</v>
      </c>
      <c r="D26" s="14" t="s">
        <v>686</v>
      </c>
      <c r="E26" s="14"/>
      <c r="F26" s="78" t="s">
        <v>662</v>
      </c>
      <c r="G26" s="78"/>
      <c r="H26" s="79"/>
      <c r="I26" s="14" t="str">
        <f t="shared" si="15"/>
        <v>* group[=].element[+].code = #result</v>
      </c>
      <c r="J26" s="14" t="str">
        <f t="shared" si="16"/>
        <v>* group[=].element[=].display = ##34#A.5 Results data elements##34#</v>
      </c>
      <c r="K26" s="14" t="str">
        <f t="shared" si="17"/>
        <v>* group[=].element[=].target.code = #DiagnosticReport.result.resolve()</v>
      </c>
      <c r="L26" s="14" t="str">
        <f t="shared" si="18"/>
        <v>* group[=].element[=].target.display = ##34###34#</v>
      </c>
      <c r="M26" s="14" t="str">
        <f t="shared" si="19"/>
        <v>* group[=].element[=].target.equivalence = #relatedto</v>
      </c>
      <c r="N26" s="14" t="str">
        <f t="shared" si="0"/>
        <v/>
      </c>
      <c r="P26" s="9">
        <v>17</v>
      </c>
      <c r="Q26" s="9">
        <f t="shared" si="6"/>
        <v>2</v>
      </c>
      <c r="R26" s="9">
        <f t="shared" si="7"/>
        <v>5</v>
      </c>
      <c r="S26" s="14" t="str" cm="1">
        <f t="array" ref="S26">INDEX('Report-ConceptMap'!$I$10:$N$265,Q26+1,R26)</f>
        <v>* group[=].element[=].target.equivalence = #relatedto</v>
      </c>
    </row>
    <row r="27" spans="1:19" x14ac:dyDescent="0.75">
      <c r="B27" s="9"/>
      <c r="C27" s="9"/>
      <c r="D27" s="14"/>
      <c r="E27" s="14"/>
      <c r="F27" s="78"/>
      <c r="G27" s="78"/>
      <c r="H27" s="79"/>
      <c r="I27" s="14"/>
      <c r="J27" s="14"/>
      <c r="K27" s="14"/>
      <c r="L27" s="14"/>
      <c r="M27" s="14"/>
      <c r="N27" s="1"/>
      <c r="P27" s="9">
        <v>18</v>
      </c>
      <c r="Q27" s="9">
        <f t="shared" si="6"/>
        <v>2</v>
      </c>
      <c r="R27" s="9">
        <f t="shared" si="7"/>
        <v>6</v>
      </c>
      <c r="S27" s="14" t="str" cm="1">
        <f t="array" ref="S27">INDEX('Report-ConceptMap'!$I$10:$N$265,Q27+1,R27)</f>
        <v/>
      </c>
    </row>
    <row r="28" spans="1:19" x14ac:dyDescent="0.75">
      <c r="B28" s="9"/>
      <c r="C28" s="9"/>
      <c r="D28" s="14"/>
      <c r="E28" s="14"/>
      <c r="F28" s="78"/>
      <c r="G28" s="78"/>
      <c r="H28" s="79"/>
      <c r="I28" s="14"/>
      <c r="J28" s="14"/>
      <c r="K28" s="14"/>
      <c r="L28" s="14"/>
      <c r="M28" s="14"/>
      <c r="N28" s="1"/>
      <c r="P28" s="9">
        <v>19</v>
      </c>
      <c r="Q28" s="9">
        <f t="shared" si="6"/>
        <v>3</v>
      </c>
      <c r="R28" s="9">
        <f t="shared" si="7"/>
        <v>1</v>
      </c>
      <c r="S28" s="14" t="str" cm="1">
        <f t="array" ref="S28">INDEX('Report-ConceptMap'!$I$10:$N$265,Q28+1,R28)</f>
        <v>* group[=].element[+].code = #header.informationRecipient</v>
      </c>
    </row>
    <row r="29" spans="1:19" x14ac:dyDescent="0.75">
      <c r="B29" s="9"/>
      <c r="C29" s="9"/>
      <c r="D29" s="14"/>
      <c r="E29" s="14"/>
      <c r="F29" s="78"/>
      <c r="G29" s="78"/>
      <c r="H29" s="79"/>
      <c r="I29" s="14"/>
      <c r="J29" s="14"/>
      <c r="K29" s="14"/>
      <c r="L29" s="14"/>
      <c r="M29" s="14"/>
      <c r="N29" s="1"/>
      <c r="P29" s="9">
        <v>20</v>
      </c>
      <c r="Q29" s="9">
        <f t="shared" si="6"/>
        <v>3</v>
      </c>
      <c r="R29" s="9">
        <f t="shared" si="7"/>
        <v>2</v>
      </c>
      <c r="S29" s="14" t="str" cm="1">
        <f t="array" ref="S29">INDEX('Report-ConceptMap'!$I$10:$N$265,Q29+1,R29)</f>
        <v>* group[=].element[=].display = ##34#A.1.4 Information recipient##34#</v>
      </c>
    </row>
    <row r="30" spans="1:19" x14ac:dyDescent="0.75">
      <c r="B30" s="9"/>
      <c r="C30" s="9"/>
      <c r="D30" s="14"/>
      <c r="E30" s="14"/>
      <c r="F30" s="78"/>
      <c r="G30" s="78"/>
      <c r="H30" s="79"/>
      <c r="K30" s="79"/>
      <c r="L30" s="79"/>
      <c r="M30" s="77"/>
      <c r="N30" s="77"/>
      <c r="P30" s="9">
        <v>21</v>
      </c>
      <c r="Q30" s="9">
        <f t="shared" si="6"/>
        <v>3</v>
      </c>
      <c r="R30" s="9">
        <f t="shared" si="7"/>
        <v>3</v>
      </c>
      <c r="S30" s="14" t="str" cm="1">
        <f t="array" ref="S30">INDEX('Report-ConceptMap'!$I$10:$N$265,Q30+1,R30)</f>
        <v>//-- unmatched</v>
      </c>
    </row>
    <row r="31" spans="1:19" x14ac:dyDescent="0.75">
      <c r="B31" s="9"/>
      <c r="C31" s="9"/>
      <c r="D31" s="14"/>
      <c r="E31" s="14"/>
      <c r="F31" s="78"/>
      <c r="G31" s="78"/>
      <c r="H31" s="79"/>
      <c r="K31" s="79"/>
      <c r="L31" s="79"/>
      <c r="M31" s="77"/>
      <c r="N31" s="77"/>
      <c r="P31" s="9">
        <v>22</v>
      </c>
      <c r="Q31" s="9">
        <f t="shared" si="6"/>
        <v>3</v>
      </c>
      <c r="R31" s="9">
        <f t="shared" si="7"/>
        <v>4</v>
      </c>
      <c r="S31" s="14" t="str" cm="1">
        <f t="array" ref="S31">INDEX('Report-ConceptMap'!$I$10:$N$265,Q31+1,R31)</f>
        <v>//-- unmatched</v>
      </c>
    </row>
    <row r="32" spans="1:19" s="1" customFormat="1" x14ac:dyDescent="0.75">
      <c r="A32"/>
      <c r="B32" s="9"/>
      <c r="C32" s="9"/>
      <c r="D32" s="14"/>
      <c r="E32" s="14"/>
      <c r="F32" s="78"/>
      <c r="G32" s="79"/>
      <c r="H32" s="79"/>
      <c r="J32"/>
      <c r="K32" s="79"/>
      <c r="L32" s="79"/>
      <c r="M32" s="77"/>
      <c r="N32" s="77"/>
      <c r="P32" s="9">
        <v>23</v>
      </c>
      <c r="Q32" s="9">
        <f t="shared" si="6"/>
        <v>3</v>
      </c>
      <c r="R32" s="9">
        <f t="shared" si="7"/>
        <v>5</v>
      </c>
      <c r="S32" s="14" t="str" cm="1">
        <f t="array" ref="S32">INDEX('Report-ConceptMap'!$I$10:$N$265,Q32+1,R32)</f>
        <v>* group[=].element[=].target.equivalence = #unmatched</v>
      </c>
    </row>
    <row r="33" spans="1:19" s="1" customFormat="1" x14ac:dyDescent="0.75">
      <c r="A33"/>
      <c r="B33" s="9"/>
      <c r="C33" s="9"/>
      <c r="D33" s="60"/>
      <c r="F33" s="79"/>
      <c r="G33" s="79"/>
      <c r="H33" s="79"/>
      <c r="J33"/>
      <c r="K33" s="79"/>
      <c r="L33" s="79"/>
      <c r="M33" s="77"/>
      <c r="N33" s="77"/>
      <c r="P33" s="9">
        <v>24</v>
      </c>
      <c r="Q33" s="9">
        <f t="shared" si="6"/>
        <v>3</v>
      </c>
      <c r="R33" s="9">
        <f t="shared" si="7"/>
        <v>6</v>
      </c>
      <c r="S33" s="14" t="str" cm="1">
        <f t="array" ref="S33">INDEX('Report-ConceptMap'!$I$10:$N$265,Q33+1,R33)</f>
        <v/>
      </c>
    </row>
    <row r="34" spans="1:19" s="1" customFormat="1" x14ac:dyDescent="0.75">
      <c r="A34"/>
      <c r="B34" s="9"/>
      <c r="C34" s="9"/>
      <c r="F34" s="79"/>
      <c r="G34" s="79"/>
      <c r="H34" s="79"/>
      <c r="J34"/>
      <c r="K34" s="79"/>
      <c r="L34" s="79"/>
      <c r="M34" s="77"/>
      <c r="N34" s="77"/>
      <c r="P34" s="9">
        <v>25</v>
      </c>
      <c r="Q34" s="9">
        <f t="shared" si="6"/>
        <v>4</v>
      </c>
      <c r="R34" s="9">
        <f t="shared" si="7"/>
        <v>1</v>
      </c>
      <c r="S34" s="14" t="str" cm="1">
        <f t="array" ref="S34">INDEX('Report-ConceptMap'!$I$10:$N$265,Q34+1,R34)</f>
        <v>* group[=].element[+].code = #header.author</v>
      </c>
    </row>
    <row r="35" spans="1:19" s="1" customFormat="1" x14ac:dyDescent="0.75">
      <c r="A35"/>
      <c r="B35" s="9"/>
      <c r="C35" s="9"/>
      <c r="F35" s="79"/>
      <c r="G35" s="79"/>
      <c r="H35" s="79"/>
      <c r="J35" s="79"/>
      <c r="K35" s="79"/>
      <c r="L35" s="79"/>
      <c r="M35" s="77"/>
      <c r="N35" s="77"/>
      <c r="P35" s="9">
        <v>26</v>
      </c>
      <c r="Q35" s="9">
        <f t="shared" si="6"/>
        <v>4</v>
      </c>
      <c r="R35" s="9">
        <f t="shared" si="7"/>
        <v>2</v>
      </c>
      <c r="S35" s="14" t="str" cm="1">
        <f t="array" ref="S35">INDEX('Report-ConceptMap'!$I$10:$N$265,Q35+1,R35)</f>
        <v>* group[=].element[=].display = ##34#A.1.5 Author##34#</v>
      </c>
    </row>
    <row r="36" spans="1:19" s="1" customFormat="1" x14ac:dyDescent="0.75">
      <c r="A36"/>
      <c r="B36" s="9"/>
      <c r="C36" s="9"/>
      <c r="F36" s="79"/>
      <c r="G36" s="79"/>
      <c r="H36" s="79"/>
      <c r="J36" s="79"/>
      <c r="K36" s="79"/>
      <c r="L36" s="79"/>
      <c r="M36" s="77"/>
      <c r="N36" s="77"/>
      <c r="P36" s="9">
        <v>27</v>
      </c>
      <c r="Q36" s="9">
        <f t="shared" si="6"/>
        <v>4</v>
      </c>
      <c r="R36" s="9">
        <f t="shared" si="7"/>
        <v>3</v>
      </c>
      <c r="S36" s="14" t="str" cm="1">
        <f t="array" ref="S36">INDEX('Report-ConceptMap'!$I$10:$N$265,Q36+1,R36)</f>
        <v>* group[=].element[=].target.code = #DiagnosticReport.resultsInterpreter.resolve()</v>
      </c>
    </row>
    <row r="37" spans="1:19" s="1" customFormat="1" x14ac:dyDescent="0.75">
      <c r="A37"/>
      <c r="B37" s="9"/>
      <c r="C37" s="9"/>
      <c r="F37" s="79"/>
      <c r="G37" s="79"/>
      <c r="H37" s="79"/>
      <c r="J37" s="79"/>
      <c r="K37" s="79"/>
      <c r="L37" s="79"/>
      <c r="M37" s="77"/>
      <c r="N37" s="77"/>
      <c r="P37" s="9">
        <v>28</v>
      </c>
      <c r="Q37" s="9">
        <f t="shared" si="6"/>
        <v>4</v>
      </c>
      <c r="R37" s="9">
        <f t="shared" si="7"/>
        <v>4</v>
      </c>
      <c r="S37" s="14" t="str" cm="1">
        <f t="array" ref="S37">INDEX('Report-ConceptMap'!$I$10:$N$265,Q37+1,R37)</f>
        <v>* group[=].element[=].target.display = ##34###34#</v>
      </c>
    </row>
    <row r="38" spans="1:19" s="1" customFormat="1" x14ac:dyDescent="0.75">
      <c r="A38"/>
      <c r="B38" s="9"/>
      <c r="C38" s="9"/>
      <c r="F38" s="79"/>
      <c r="G38" s="79"/>
      <c r="H38" s="79"/>
      <c r="J38" s="79"/>
      <c r="K38" s="79"/>
      <c r="L38" s="79"/>
      <c r="M38" s="79"/>
      <c r="N38" s="79"/>
      <c r="P38" s="9">
        <v>29</v>
      </c>
      <c r="Q38" s="9">
        <f t="shared" si="6"/>
        <v>4</v>
      </c>
      <c r="R38" s="9">
        <f t="shared" si="7"/>
        <v>5</v>
      </c>
      <c r="S38" s="14" t="str" cm="1">
        <f t="array" ref="S38">INDEX('Report-ConceptMap'!$I$10:$N$265,Q38+1,R38)</f>
        <v>* group[=].element[=].target.equivalence = #relatedto</v>
      </c>
    </row>
    <row r="39" spans="1:19" s="1" customFormat="1" x14ac:dyDescent="0.75">
      <c r="A39"/>
      <c r="B39" s="9"/>
      <c r="C39"/>
      <c r="F39" s="79"/>
      <c r="G39" s="79"/>
      <c r="H39" s="79"/>
      <c r="J39" s="79"/>
      <c r="K39" s="79"/>
      <c r="L39" s="79"/>
      <c r="M39" s="79"/>
      <c r="N39" s="79"/>
      <c r="P39" s="9">
        <v>30</v>
      </c>
      <c r="Q39" s="9">
        <f t="shared" si="6"/>
        <v>4</v>
      </c>
      <c r="R39" s="9">
        <f t="shared" si="7"/>
        <v>6</v>
      </c>
      <c r="S39" s="14" t="str" cm="1">
        <f t="array" ref="S39">INDEX('Report-ConceptMap'!$I$10:$N$265,Q39+1,R39)</f>
        <v/>
      </c>
    </row>
    <row r="40" spans="1:19" s="1" customFormat="1" x14ac:dyDescent="0.75">
      <c r="A40"/>
      <c r="B40" s="9"/>
      <c r="C40"/>
      <c r="F40" s="79"/>
      <c r="G40" s="79"/>
      <c r="H40" s="79"/>
      <c r="J40" s="79"/>
      <c r="K40" s="79"/>
      <c r="L40" s="79"/>
      <c r="M40" s="79"/>
      <c r="N40" s="79"/>
      <c r="P40" s="9">
        <v>31</v>
      </c>
      <c r="Q40" s="9">
        <f t="shared" si="6"/>
        <v>5</v>
      </c>
      <c r="R40" s="9">
        <f t="shared" si="7"/>
        <v>1</v>
      </c>
      <c r="S40" s="14" t="str" cm="1">
        <f t="array" ref="S40">INDEX('Report-ConceptMap'!$I$10:$N$265,Q40+1,R40)</f>
        <v>* group[=].element[+].code = #header.author</v>
      </c>
    </row>
    <row r="41" spans="1:19" s="1" customFormat="1" x14ac:dyDescent="0.75">
      <c r="A41"/>
      <c r="B41" s="9"/>
      <c r="C41"/>
      <c r="F41" s="79"/>
      <c r="G41" s="79"/>
      <c r="H41" s="79"/>
      <c r="J41" s="79"/>
      <c r="K41" s="79"/>
      <c r="L41" s="79"/>
      <c r="M41" s="79"/>
      <c r="N41" s="79"/>
      <c r="P41" s="9">
        <v>32</v>
      </c>
      <c r="Q41" s="9">
        <f t="shared" si="6"/>
        <v>5</v>
      </c>
      <c r="R41" s="9">
        <f t="shared" si="7"/>
        <v>2</v>
      </c>
      <c r="S41" s="14" t="str" cm="1">
        <f t="array" ref="S41">INDEX('Report-ConceptMap'!$I$10:$N$265,Q41+1,R41)</f>
        <v>* group[=].element[=].display = ##34#A.1.5 Author##34#</v>
      </c>
    </row>
    <row r="42" spans="1:19" s="1" customFormat="1" x14ac:dyDescent="0.75">
      <c r="A42"/>
      <c r="B42" s="9"/>
      <c r="C42"/>
      <c r="F42" s="79"/>
      <c r="G42" s="79"/>
      <c r="H42" s="79"/>
      <c r="J42" s="79"/>
      <c r="K42" s="79"/>
      <c r="L42" s="79"/>
      <c r="M42" s="79"/>
      <c r="N42" s="79"/>
      <c r="P42" s="9">
        <v>33</v>
      </c>
      <c r="Q42" s="9">
        <f t="shared" si="6"/>
        <v>5</v>
      </c>
      <c r="R42" s="9">
        <f t="shared" si="7"/>
        <v>3</v>
      </c>
      <c r="S42" s="14" t="str" cm="1">
        <f t="array" ref="S42">INDEX('Report-ConceptMap'!$I$10:$N$265,Q42+1,R42)</f>
        <v>* group[=].element[=].target.code = #DiagnosticReport.performer.resolve()</v>
      </c>
    </row>
    <row r="43" spans="1:19" s="1" customFormat="1" x14ac:dyDescent="0.75">
      <c r="A43"/>
      <c r="B43" s="9"/>
      <c r="C43"/>
      <c r="F43" s="79"/>
      <c r="G43" s="79"/>
      <c r="H43" s="79"/>
      <c r="J43" s="79"/>
      <c r="K43" s="79"/>
      <c r="L43" s="79"/>
      <c r="M43" s="79"/>
      <c r="N43" s="79"/>
      <c r="P43" s="9">
        <v>34</v>
      </c>
      <c r="Q43" s="9">
        <f t="shared" si="6"/>
        <v>5</v>
      </c>
      <c r="R43" s="9">
        <f t="shared" si="7"/>
        <v>4</v>
      </c>
      <c r="S43" s="14" t="str" cm="1">
        <f t="array" ref="S43">INDEX('Report-ConceptMap'!$I$10:$N$265,Q43+1,R43)</f>
        <v>* group[=].element[=].target.display = ##34###34#</v>
      </c>
    </row>
    <row r="44" spans="1:19" x14ac:dyDescent="0.75">
      <c r="F44" s="79"/>
      <c r="G44" s="79"/>
      <c r="H44" s="79"/>
      <c r="J44" s="79"/>
      <c r="K44" s="79"/>
      <c r="L44" s="79"/>
      <c r="M44" s="79"/>
      <c r="N44" s="79"/>
      <c r="P44" s="9">
        <v>35</v>
      </c>
      <c r="Q44" s="9">
        <f t="shared" si="6"/>
        <v>5</v>
      </c>
      <c r="R44" s="9">
        <f t="shared" si="7"/>
        <v>5</v>
      </c>
      <c r="S44" s="14" t="str" cm="1">
        <f t="array" ref="S44">INDEX('Report-ConceptMap'!$I$10:$N$265,Q44+1,R44)</f>
        <v>* group[=].element[=].target.equivalence = #relatedto</v>
      </c>
    </row>
    <row r="45" spans="1:19" x14ac:dyDescent="0.75">
      <c r="F45" s="79"/>
      <c r="G45" s="79"/>
      <c r="H45" s="79"/>
      <c r="J45" s="79"/>
      <c r="K45" s="79"/>
      <c r="L45" s="79"/>
      <c r="M45" s="79"/>
      <c r="N45" s="79"/>
      <c r="P45" s="9">
        <v>36</v>
      </c>
      <c r="Q45" s="9">
        <f t="shared" si="6"/>
        <v>5</v>
      </c>
      <c r="R45" s="9">
        <f t="shared" si="7"/>
        <v>6</v>
      </c>
      <c r="S45" s="14" t="str" cm="1">
        <f t="array" ref="S45">INDEX('Report-ConceptMap'!$I$10:$N$265,Q45+1,R45)</f>
        <v>* group[=].element[=].target.comment = ##34#If resultsInterpreter does not exists##34#</v>
      </c>
    </row>
    <row r="46" spans="1:19" x14ac:dyDescent="0.75">
      <c r="F46" s="79"/>
      <c r="G46" s="79"/>
      <c r="H46" s="79"/>
      <c r="J46" s="79"/>
      <c r="K46" s="79"/>
      <c r="L46" s="79"/>
      <c r="M46" s="79"/>
      <c r="N46" s="79"/>
      <c r="P46" s="9">
        <v>37</v>
      </c>
      <c r="Q46" s="9">
        <f t="shared" si="6"/>
        <v>6</v>
      </c>
      <c r="R46" s="9">
        <f t="shared" si="7"/>
        <v>1</v>
      </c>
      <c r="S46" s="14" t="str" cm="1">
        <f t="array" ref="S46">INDEX('Report-ConceptMap'!$I$10:$N$265,Q46+1,R46)</f>
        <v>* group[=].element[+].code = #header.legalAuthenticator</v>
      </c>
    </row>
    <row r="47" spans="1:19" x14ac:dyDescent="0.75">
      <c r="F47" s="79"/>
      <c r="G47" s="79"/>
      <c r="H47" s="79"/>
      <c r="J47" s="79"/>
      <c r="K47" s="79"/>
      <c r="L47" s="79"/>
      <c r="M47" s="79"/>
      <c r="N47" s="79"/>
      <c r="P47" s="9">
        <v>38</v>
      </c>
      <c r="Q47" s="9">
        <f t="shared" si="6"/>
        <v>6</v>
      </c>
      <c r="R47" s="9">
        <f t="shared" si="7"/>
        <v>2</v>
      </c>
      <c r="S47" s="14" t="str" cm="1">
        <f t="array" ref="S47">INDEX('Report-ConceptMap'!$I$10:$N$265,Q47+1,R47)</f>
        <v>* group[=].element[=].display = ##34#A.1.6 Legal authenticator##34#</v>
      </c>
    </row>
    <row r="48" spans="1:19" ht="29.5" x14ac:dyDescent="0.75">
      <c r="B48" t="s">
        <v>650</v>
      </c>
      <c r="C48" t="s">
        <v>651</v>
      </c>
      <c r="D48" s="1" t="s">
        <v>652</v>
      </c>
      <c r="E48" t="s">
        <v>653</v>
      </c>
      <c r="P48" s="9">
        <v>39</v>
      </c>
      <c r="Q48" s="9">
        <f t="shared" si="6"/>
        <v>6</v>
      </c>
      <c r="R48" s="9">
        <f t="shared" si="7"/>
        <v>3</v>
      </c>
      <c r="S48" s="14" t="str" cm="1">
        <f t="array" ref="S48">INDEX('Report-ConceptMap'!$I$10:$N$265,Q48+1,R48)</f>
        <v>//-- unmatched</v>
      </c>
    </row>
    <row r="49" spans="16:19" x14ac:dyDescent="0.75">
      <c r="P49" s="9">
        <v>40</v>
      </c>
      <c r="Q49" s="9">
        <f t="shared" si="6"/>
        <v>6</v>
      </c>
      <c r="R49" s="9">
        <f t="shared" si="7"/>
        <v>4</v>
      </c>
      <c r="S49" s="14" t="str" cm="1">
        <f t="array" ref="S49">INDEX('Report-ConceptMap'!$I$10:$N$265,Q49+1,R49)</f>
        <v>//-- unmatched</v>
      </c>
    </row>
    <row r="50" spans="16:19" x14ac:dyDescent="0.75">
      <c r="P50" s="9">
        <v>41</v>
      </c>
      <c r="Q50" s="9">
        <f t="shared" si="6"/>
        <v>6</v>
      </c>
      <c r="R50" s="9">
        <f t="shared" si="7"/>
        <v>5</v>
      </c>
      <c r="S50" s="14" t="str" cm="1">
        <f t="array" ref="S50">INDEX('Report-ConceptMap'!$I$10:$N$265,Q50+1,R50)</f>
        <v>* group[=].element[=].target.equivalence = #unmatched</v>
      </c>
    </row>
    <row r="51" spans="16:19" x14ac:dyDescent="0.75">
      <c r="P51" s="9">
        <v>42</v>
      </c>
      <c r="Q51" s="9">
        <f t="shared" si="6"/>
        <v>6</v>
      </c>
      <c r="R51" s="9">
        <f t="shared" si="7"/>
        <v>6</v>
      </c>
      <c r="S51" s="14" t="str" cm="1">
        <f t="array" ref="S51">INDEX('Report-ConceptMap'!$I$10:$N$265,Q51+1,R51)</f>
        <v/>
      </c>
    </row>
    <row r="52" spans="16:19" x14ac:dyDescent="0.75">
      <c r="P52" s="9">
        <v>43</v>
      </c>
      <c r="Q52" s="9">
        <f t="shared" si="6"/>
        <v>7</v>
      </c>
      <c r="R52" s="9">
        <f t="shared" si="7"/>
        <v>1</v>
      </c>
      <c r="S52" s="14" t="str" cm="1">
        <f t="array" ref="S52">INDEX('Report-ConceptMap'!$I$10:$N$265,Q52+1,R52)</f>
        <v>* group[=].element[+].code = #header.validator</v>
      </c>
    </row>
    <row r="53" spans="16:19" x14ac:dyDescent="0.75">
      <c r="P53" s="9">
        <v>44</v>
      </c>
      <c r="Q53" s="9">
        <f t="shared" si="6"/>
        <v>7</v>
      </c>
      <c r="R53" s="9">
        <f t="shared" si="7"/>
        <v>2</v>
      </c>
      <c r="S53" s="14" t="str" cm="1">
        <f t="array" ref="S53">INDEX('Report-ConceptMap'!$I$10:$N$265,Q53+1,R53)</f>
        <v>* group[=].element[=].display = ##34#A.1.7 Result validator##34#</v>
      </c>
    </row>
    <row r="54" spans="16:19" x14ac:dyDescent="0.75">
      <c r="P54" s="9">
        <v>45</v>
      </c>
      <c r="Q54" s="9">
        <f t="shared" si="6"/>
        <v>7</v>
      </c>
      <c r="R54" s="9">
        <f t="shared" si="7"/>
        <v>3</v>
      </c>
      <c r="S54" s="14" t="str" cm="1">
        <f t="array" ref="S54">INDEX('Report-ConceptMap'!$I$10:$N$265,Q54+1,R54)</f>
        <v>//-- unmatched</v>
      </c>
    </row>
    <row r="55" spans="16:19" x14ac:dyDescent="0.75">
      <c r="P55" s="9">
        <v>46</v>
      </c>
      <c r="Q55" s="9">
        <f t="shared" si="6"/>
        <v>7</v>
      </c>
      <c r="R55" s="9">
        <f t="shared" si="7"/>
        <v>4</v>
      </c>
      <c r="S55" s="14" t="str" cm="1">
        <f t="array" ref="S55">INDEX('Report-ConceptMap'!$I$10:$N$265,Q55+1,R55)</f>
        <v>//-- unmatched</v>
      </c>
    </row>
    <row r="56" spans="16:19" x14ac:dyDescent="0.75">
      <c r="P56" s="9">
        <v>47</v>
      </c>
      <c r="Q56" s="9">
        <f t="shared" si="6"/>
        <v>7</v>
      </c>
      <c r="R56" s="9">
        <f t="shared" si="7"/>
        <v>5</v>
      </c>
      <c r="S56" s="14" t="str" cm="1">
        <f t="array" ref="S56">INDEX('Report-ConceptMap'!$I$10:$N$265,Q56+1,R56)</f>
        <v>* group[=].element[=].target.equivalence = #unmatched</v>
      </c>
    </row>
    <row r="57" spans="16:19" x14ac:dyDescent="0.75">
      <c r="P57" s="9">
        <v>48</v>
      </c>
      <c r="Q57" s="9">
        <f t="shared" si="6"/>
        <v>7</v>
      </c>
      <c r="R57" s="9">
        <f t="shared" si="7"/>
        <v>6</v>
      </c>
      <c r="S57" s="14" t="str" cm="1">
        <f t="array" ref="S57">INDEX('Report-ConceptMap'!$I$10:$N$265,Q57+1,R57)</f>
        <v/>
      </c>
    </row>
    <row r="58" spans="16:19" x14ac:dyDescent="0.75">
      <c r="P58" s="9">
        <v>49</v>
      </c>
      <c r="Q58" s="9">
        <f t="shared" si="6"/>
        <v>8</v>
      </c>
      <c r="R58" s="9">
        <f t="shared" si="7"/>
        <v>1</v>
      </c>
      <c r="S58" s="14" t="str" cm="1">
        <f t="array" ref="S58">INDEX('Report-ConceptMap'!$I$10:$N$265,Q58+1,R58)</f>
        <v>* group[=].element[+].code = #header.metadata</v>
      </c>
    </row>
    <row r="59" spans="16:19" x14ac:dyDescent="0.75">
      <c r="P59" s="9">
        <v>50</v>
      </c>
      <c r="Q59" s="9">
        <f t="shared" si="6"/>
        <v>8</v>
      </c>
      <c r="R59" s="9">
        <f t="shared" si="7"/>
        <v>2</v>
      </c>
      <c r="S59" s="14" t="str" cm="1">
        <f t="array" ref="S59">INDEX('Report-ConceptMap'!$I$10:$N$265,Q59+1,R59)</f>
        <v>* group[=].element[=].display = ##34#A.1.8 Laboratory report metadata##34#</v>
      </c>
    </row>
    <row r="60" spans="16:19" x14ac:dyDescent="0.75">
      <c r="P60" s="9">
        <v>51</v>
      </c>
      <c r="Q60" s="9">
        <f t="shared" si="6"/>
        <v>8</v>
      </c>
      <c r="R60" s="9">
        <f t="shared" si="7"/>
        <v>3</v>
      </c>
      <c r="S60" s="14" t="str" cm="1">
        <f t="array" ref="S60">INDEX('Report-ConceptMap'!$I$10:$N$265,Q60+1,R60)</f>
        <v>//-- unmatched</v>
      </c>
    </row>
    <row r="61" spans="16:19" x14ac:dyDescent="0.75">
      <c r="P61" s="9">
        <v>52</v>
      </c>
      <c r="Q61" s="9">
        <f t="shared" si="6"/>
        <v>8</v>
      </c>
      <c r="R61" s="9">
        <f t="shared" si="7"/>
        <v>4</v>
      </c>
      <c r="S61" s="14" t="str" cm="1">
        <f t="array" ref="S61">INDEX('Report-ConceptMap'!$I$10:$N$265,Q61+1,R61)</f>
        <v>//-- unmatched</v>
      </c>
    </row>
    <row r="62" spans="16:19" x14ac:dyDescent="0.75">
      <c r="P62" s="9">
        <v>53</v>
      </c>
      <c r="Q62" s="9">
        <f t="shared" si="6"/>
        <v>8</v>
      </c>
      <c r="R62" s="9">
        <f t="shared" si="7"/>
        <v>5</v>
      </c>
      <c r="S62" s="14" t="str" cm="1">
        <f t="array" ref="S62">INDEX('Report-ConceptMap'!$I$10:$N$265,Q62+1,R62)</f>
        <v>* group[=].element[=].target.equivalence = #unmatched</v>
      </c>
    </row>
    <row r="63" spans="16:19" x14ac:dyDescent="0.75">
      <c r="P63" s="9">
        <v>54</v>
      </c>
      <c r="Q63" s="9">
        <f t="shared" si="6"/>
        <v>8</v>
      </c>
      <c r="R63" s="9">
        <f t="shared" si="7"/>
        <v>6</v>
      </c>
      <c r="S63" s="14" t="str" cm="1">
        <f t="array" ref="S63">INDEX('Report-ConceptMap'!$I$10:$N$265,Q63+1,R63)</f>
        <v/>
      </c>
    </row>
    <row r="64" spans="16:19" x14ac:dyDescent="0.75">
      <c r="P64" s="9">
        <v>55</v>
      </c>
      <c r="Q64" s="9">
        <f t="shared" si="6"/>
        <v>9</v>
      </c>
      <c r="R64" s="9">
        <f t="shared" si="7"/>
        <v>1</v>
      </c>
      <c r="S64" s="14" t="str" cm="1">
        <f t="array" ref="S64">INDEX('Report-ConceptMap'!$I$10:$N$265,Q64+1,R64)</f>
        <v>* group[=].element[+].code = #header.metadata.type</v>
      </c>
    </row>
    <row r="65" spans="16:19" x14ac:dyDescent="0.75">
      <c r="P65" s="9">
        <v>56</v>
      </c>
      <c r="Q65" s="9">
        <f t="shared" si="6"/>
        <v>9</v>
      </c>
      <c r="R65" s="9">
        <f t="shared" si="7"/>
        <v>2</v>
      </c>
      <c r="S65" s="14" t="str" cm="1">
        <f t="array" ref="S65">INDEX('Report-ConceptMap'!$I$10:$N$265,Q65+1,R65)</f>
        <v>* group[=].element[=].display = ##34#A.1.8.1 Document type##34#</v>
      </c>
    </row>
    <row r="66" spans="16:19" x14ac:dyDescent="0.75">
      <c r="P66" s="9">
        <v>57</v>
      </c>
      <c r="Q66" s="9">
        <f t="shared" si="6"/>
        <v>9</v>
      </c>
      <c r="R66" s="9">
        <f t="shared" si="7"/>
        <v>3</v>
      </c>
      <c r="S66" s="14" t="str" cm="1">
        <f t="array" ref="S66">INDEX('Report-ConceptMap'!$I$10:$N$265,Q66+1,R66)</f>
        <v>* group[=].element[=].target.code = #DiagnosticReport.code</v>
      </c>
    </row>
    <row r="67" spans="16:19" x14ac:dyDescent="0.75">
      <c r="P67" s="9">
        <v>58</v>
      </c>
      <c r="Q67" s="9">
        <f t="shared" si="6"/>
        <v>9</v>
      </c>
      <c r="R67" s="9">
        <f t="shared" si="7"/>
        <v>4</v>
      </c>
      <c r="S67" s="14" t="str" cm="1">
        <f t="array" ref="S67">INDEX('Report-ConceptMap'!$I$10:$N$265,Q67+1,R67)</f>
        <v>* group[=].element[=].target.display = ##34###34#</v>
      </c>
    </row>
    <row r="68" spans="16:19" x14ac:dyDescent="0.75">
      <c r="P68" s="9">
        <v>59</v>
      </c>
      <c r="Q68" s="9">
        <f t="shared" si="6"/>
        <v>9</v>
      </c>
      <c r="R68" s="9">
        <f t="shared" si="7"/>
        <v>5</v>
      </c>
      <c r="S68" s="14" t="str" cm="1">
        <f t="array" ref="S68">INDEX('Report-ConceptMap'!$I$10:$N$265,Q68+1,R68)</f>
        <v>* group[=].element[=].target.equivalence = #equivalent</v>
      </c>
    </row>
    <row r="69" spans="16:19" x14ac:dyDescent="0.75">
      <c r="P69" s="9">
        <v>60</v>
      </c>
      <c r="Q69" s="9">
        <f t="shared" si="6"/>
        <v>9</v>
      </c>
      <c r="R69" s="9">
        <f t="shared" si="7"/>
        <v>6</v>
      </c>
      <c r="S69" s="14" t="str" cm="1">
        <f t="array" ref="S69">INDEX('Report-ConceptMap'!$I$10:$N$265,Q69+1,R69)</f>
        <v/>
      </c>
    </row>
    <row r="70" spans="16:19" x14ac:dyDescent="0.75">
      <c r="P70" s="9">
        <v>61</v>
      </c>
      <c r="Q70" s="9">
        <f t="shared" si="6"/>
        <v>10</v>
      </c>
      <c r="R70" s="9">
        <f t="shared" si="7"/>
        <v>1</v>
      </c>
      <c r="S70" s="14" t="str" cm="1">
        <f t="array" ref="S70">INDEX('Report-ConceptMap'!$I$10:$N$265,Q70+1,R70)</f>
        <v>* group[=].element[+].code = #header.metadata.status</v>
      </c>
    </row>
    <row r="71" spans="16:19" x14ac:dyDescent="0.75">
      <c r="P71" s="9">
        <v>62</v>
      </c>
      <c r="Q71" s="9">
        <f t="shared" si="6"/>
        <v>10</v>
      </c>
      <c r="R71" s="9">
        <f t="shared" si="7"/>
        <v>2</v>
      </c>
      <c r="S71" s="14" t="str" cm="1">
        <f t="array" ref="S71">INDEX('Report-ConceptMap'!$I$10:$N$265,Q71+1,R71)</f>
        <v>* group[=].element[=].display = ##34#A.1.8.2 Document status##34#</v>
      </c>
    </row>
    <row r="72" spans="16:19" x14ac:dyDescent="0.75">
      <c r="P72" s="9">
        <v>63</v>
      </c>
      <c r="Q72" s="9">
        <f t="shared" si="6"/>
        <v>10</v>
      </c>
      <c r="R72" s="9">
        <f t="shared" si="7"/>
        <v>3</v>
      </c>
      <c r="S72" s="14" t="str" cm="1">
        <f t="array" ref="S72">INDEX('Report-ConceptMap'!$I$10:$N$265,Q72+1,R72)</f>
        <v>* group[=].element[=].target.code = #DiagnosticReport.status</v>
      </c>
    </row>
    <row r="73" spans="16:19" x14ac:dyDescent="0.75">
      <c r="P73" s="9">
        <v>64</v>
      </c>
      <c r="Q73" s="9">
        <f t="shared" si="6"/>
        <v>10</v>
      </c>
      <c r="R73" s="9">
        <f t="shared" si="7"/>
        <v>4</v>
      </c>
      <c r="S73" s="14" t="str" cm="1">
        <f t="array" ref="S73">INDEX('Report-ConceptMap'!$I$10:$N$265,Q73+1,R73)</f>
        <v>* group[=].element[=].target.display = ##34###34#</v>
      </c>
    </row>
    <row r="74" spans="16:19" x14ac:dyDescent="0.75">
      <c r="P74" s="9">
        <v>65</v>
      </c>
      <c r="Q74" s="9">
        <f t="shared" si="6"/>
        <v>10</v>
      </c>
      <c r="R74" s="9">
        <f t="shared" si="7"/>
        <v>5</v>
      </c>
      <c r="S74" s="14" t="str" cm="1">
        <f t="array" ref="S74">INDEX('Report-ConceptMap'!$I$10:$N$265,Q74+1,R74)</f>
        <v>* group[=].element[=].target.equivalence = #relatedto</v>
      </c>
    </row>
    <row r="75" spans="16:19" x14ac:dyDescent="0.75">
      <c r="P75" s="9">
        <v>66</v>
      </c>
      <c r="Q75" s="9">
        <f t="shared" si="6"/>
        <v>10</v>
      </c>
      <c r="R75" s="9">
        <f t="shared" si="7"/>
        <v>6</v>
      </c>
      <c r="S75" s="14" t="str" cm="1">
        <f t="array" ref="S75">INDEX('Report-ConceptMap'!$I$10:$N$265,Q75+1,R75)</f>
        <v/>
      </c>
    </row>
    <row r="76" spans="16:19" x14ac:dyDescent="0.75">
      <c r="P76" s="9">
        <v>67</v>
      </c>
      <c r="Q76" s="9">
        <f t="shared" ref="Q76:Q139" si="20">IF(MOD(P76,$Q$3)=0,P76/$Q$3-1,INT(P76/$Q$3))</f>
        <v>11</v>
      </c>
      <c r="R76" s="9">
        <f t="shared" ref="R76:R139" si="21">IF(MOD(P76,$Q$3)=0,$Q$3,MOD(P76,$Q$3))</f>
        <v>1</v>
      </c>
      <c r="S76" s="14" t="str" cm="1">
        <f t="array" ref="S76">INDEX('Report-ConceptMap'!$I$10:$N$265,Q76+1,R76)</f>
        <v>* group[=].element[+].code = #header.metadata.dateTime</v>
      </c>
    </row>
    <row r="77" spans="16:19" x14ac:dyDescent="0.75">
      <c r="P77" s="9">
        <v>68</v>
      </c>
      <c r="Q77" s="9">
        <f t="shared" si="20"/>
        <v>11</v>
      </c>
      <c r="R77" s="9">
        <f t="shared" si="21"/>
        <v>2</v>
      </c>
      <c r="S77" s="14" t="str" cm="1">
        <f t="array" ref="S77">INDEX('Report-ConceptMap'!$I$10:$N$265,Q77+1,R77)</f>
        <v>* group[=].element[=].display = ##34#A.1.8.3 Report date and time##34#</v>
      </c>
    </row>
    <row r="78" spans="16:19" x14ac:dyDescent="0.75">
      <c r="P78" s="9">
        <v>69</v>
      </c>
      <c r="Q78" s="9">
        <f t="shared" si="20"/>
        <v>11</v>
      </c>
      <c r="R78" s="9">
        <f t="shared" si="21"/>
        <v>3</v>
      </c>
      <c r="S78" s="14" t="str" cm="1">
        <f t="array" ref="S78">INDEX('Report-ConceptMap'!$I$10:$N$265,Q78+1,R78)</f>
        <v>* group[=].element[=].target.code = #DiagnosticReport.effectiveDateTime</v>
      </c>
    </row>
    <row r="79" spans="16:19" x14ac:dyDescent="0.75">
      <c r="P79" s="9">
        <v>70</v>
      </c>
      <c r="Q79" s="9">
        <f t="shared" si="20"/>
        <v>11</v>
      </c>
      <c r="R79" s="9">
        <f t="shared" si="21"/>
        <v>4</v>
      </c>
      <c r="S79" s="14" t="str" cm="1">
        <f t="array" ref="S79">INDEX('Report-ConceptMap'!$I$10:$N$265,Q79+1,R79)</f>
        <v>* group[=].element[=].target.display = ##34###34#</v>
      </c>
    </row>
    <row r="80" spans="16:19" x14ac:dyDescent="0.75">
      <c r="P80" s="9">
        <v>71</v>
      </c>
      <c r="Q80" s="9">
        <f t="shared" si="20"/>
        <v>11</v>
      </c>
      <c r="R80" s="9">
        <f t="shared" si="21"/>
        <v>5</v>
      </c>
      <c r="S80" s="14" t="str" cm="1">
        <f t="array" ref="S80">INDEX('Report-ConceptMap'!$I$10:$N$265,Q80+1,R80)</f>
        <v>* group[=].element[=].target.equivalence = #equivalent</v>
      </c>
    </row>
    <row r="81" spans="16:19" x14ac:dyDescent="0.75">
      <c r="P81" s="9">
        <v>72</v>
      </c>
      <c r="Q81" s="9">
        <f t="shared" si="20"/>
        <v>11</v>
      </c>
      <c r="R81" s="9">
        <f t="shared" si="21"/>
        <v>6</v>
      </c>
      <c r="S81" s="14" t="str" cm="1">
        <f t="array" ref="S81">INDEX('Report-ConceptMap'!$I$10:$N$265,Q81+1,R81)</f>
        <v/>
      </c>
    </row>
    <row r="82" spans="16:19" x14ac:dyDescent="0.75">
      <c r="P82" s="9">
        <v>73</v>
      </c>
      <c r="Q82" s="9">
        <f t="shared" si="20"/>
        <v>12</v>
      </c>
      <c r="R82" s="9">
        <f t="shared" si="21"/>
        <v>1</v>
      </c>
      <c r="S82" s="14" t="str" cm="1">
        <f t="array" ref="S82">INDEX('Report-ConceptMap'!$I$10:$N$265,Q82+1,R82)</f>
        <v>* group[=].element[+].code = #header.metadata.title</v>
      </c>
    </row>
    <row r="83" spans="16:19" x14ac:dyDescent="0.75">
      <c r="P83" s="9">
        <v>74</v>
      </c>
      <c r="Q83" s="9">
        <f t="shared" si="20"/>
        <v>12</v>
      </c>
      <c r="R83" s="9">
        <f t="shared" si="21"/>
        <v>2</v>
      </c>
      <c r="S83" s="14" t="str" cm="1">
        <f t="array" ref="S83">INDEX('Report-ConceptMap'!$I$10:$N$265,Q83+1,R83)</f>
        <v>* group[=].element[=].display = ##34#A.1.8.4 Document title##34#</v>
      </c>
    </row>
    <row r="84" spans="16:19" x14ac:dyDescent="0.75">
      <c r="P84" s="9">
        <v>75</v>
      </c>
      <c r="Q84" s="9">
        <f t="shared" si="20"/>
        <v>12</v>
      </c>
      <c r="R84" s="9">
        <f t="shared" si="21"/>
        <v>3</v>
      </c>
      <c r="S84" s="14" t="str" cm="1">
        <f t="array" ref="S84">INDEX('Report-ConceptMap'!$I$10:$N$265,Q84+1,R84)</f>
        <v>//-- unmatched</v>
      </c>
    </row>
    <row r="85" spans="16:19" x14ac:dyDescent="0.75">
      <c r="P85" s="9">
        <v>76</v>
      </c>
      <c r="Q85" s="9">
        <f t="shared" si="20"/>
        <v>12</v>
      </c>
      <c r="R85" s="9">
        <f t="shared" si="21"/>
        <v>4</v>
      </c>
      <c r="S85" s="14" t="str" cm="1">
        <f t="array" ref="S85">INDEX('Report-ConceptMap'!$I$10:$N$265,Q85+1,R85)</f>
        <v>//-- unmatched</v>
      </c>
    </row>
    <row r="86" spans="16:19" x14ac:dyDescent="0.75">
      <c r="P86" s="9">
        <v>77</v>
      </c>
      <c r="Q86" s="9">
        <f t="shared" si="20"/>
        <v>12</v>
      </c>
      <c r="R86" s="9">
        <f t="shared" si="21"/>
        <v>5</v>
      </c>
      <c r="S86" s="14" t="str" cm="1">
        <f t="array" ref="S86">INDEX('Report-ConceptMap'!$I$10:$N$265,Q86+1,R86)</f>
        <v>* group[=].element[=].target.equivalence = #unmatched</v>
      </c>
    </row>
    <row r="87" spans="16:19" x14ac:dyDescent="0.75">
      <c r="P87" s="9">
        <v>78</v>
      </c>
      <c r="Q87" s="9">
        <f t="shared" si="20"/>
        <v>12</v>
      </c>
      <c r="R87" s="9">
        <f t="shared" si="21"/>
        <v>6</v>
      </c>
      <c r="S87" s="14" t="str" cm="1">
        <f t="array" ref="S87">INDEX('Report-ConceptMap'!$I$10:$N$265,Q87+1,R87)</f>
        <v/>
      </c>
    </row>
    <row r="88" spans="16:19" x14ac:dyDescent="0.75">
      <c r="P88" s="9">
        <v>79</v>
      </c>
      <c r="Q88" s="9">
        <f t="shared" si="20"/>
        <v>13</v>
      </c>
      <c r="R88" s="9">
        <f t="shared" si="21"/>
        <v>1</v>
      </c>
      <c r="S88" s="14" t="str" cm="1">
        <f t="array" ref="S88">INDEX('Report-ConceptMap'!$I$10:$N$265,Q88+1,R88)</f>
        <v>* group[=].element[+].code = #header.metadata.custodian</v>
      </c>
    </row>
    <row r="89" spans="16:19" x14ac:dyDescent="0.75">
      <c r="P89" s="9">
        <v>80</v>
      </c>
      <c r="Q89" s="9">
        <f t="shared" si="20"/>
        <v>13</v>
      </c>
      <c r="R89" s="9">
        <f t="shared" si="21"/>
        <v>2</v>
      </c>
      <c r="S89" s="14" t="str" cm="1">
        <f t="array" ref="S89">INDEX('Report-ConceptMap'!$I$10:$N$265,Q89+1,R89)</f>
        <v>* group[=].element[=].display = ##34#A.1.8.5 Report custodian##34#</v>
      </c>
    </row>
    <row r="90" spans="16:19" x14ac:dyDescent="0.75">
      <c r="P90" s="9">
        <v>81</v>
      </c>
      <c r="Q90" s="9">
        <f t="shared" si="20"/>
        <v>13</v>
      </c>
      <c r="R90" s="9">
        <f t="shared" si="21"/>
        <v>3</v>
      </c>
      <c r="S90" s="14" t="str" cm="1">
        <f t="array" ref="S90">INDEX('Report-ConceptMap'!$I$10:$N$265,Q90+1,R90)</f>
        <v>//-- unmatched</v>
      </c>
    </row>
    <row r="91" spans="16:19" x14ac:dyDescent="0.75">
      <c r="P91" s="9">
        <v>82</v>
      </c>
      <c r="Q91" s="9">
        <f t="shared" si="20"/>
        <v>13</v>
      </c>
      <c r="R91" s="9">
        <f t="shared" si="21"/>
        <v>4</v>
      </c>
      <c r="S91" s="14" t="str" cm="1">
        <f t="array" ref="S91">INDEX('Report-ConceptMap'!$I$10:$N$265,Q91+1,R91)</f>
        <v>//-- unmatched</v>
      </c>
    </row>
    <row r="92" spans="16:19" x14ac:dyDescent="0.75">
      <c r="P92" s="9">
        <v>83</v>
      </c>
      <c r="Q92" s="9">
        <f t="shared" si="20"/>
        <v>13</v>
      </c>
      <c r="R92" s="9">
        <f t="shared" si="21"/>
        <v>5</v>
      </c>
      <c r="S92" s="14" t="str" cm="1">
        <f t="array" ref="S92">INDEX('Report-ConceptMap'!$I$10:$N$265,Q92+1,R92)</f>
        <v>* group[=].element[=].target.equivalence = #unmatched</v>
      </c>
    </row>
    <row r="93" spans="16:19" x14ac:dyDescent="0.75">
      <c r="P93" s="9">
        <v>84</v>
      </c>
      <c r="Q93" s="9">
        <f t="shared" si="20"/>
        <v>13</v>
      </c>
      <c r="R93" s="9">
        <f t="shared" si="21"/>
        <v>6</v>
      </c>
      <c r="S93" s="14" t="str" cm="1">
        <f t="array" ref="S93">INDEX('Report-ConceptMap'!$I$10:$N$265,Q93+1,R93)</f>
        <v/>
      </c>
    </row>
    <row r="94" spans="16:19" x14ac:dyDescent="0.75">
      <c r="P94" s="9">
        <v>85</v>
      </c>
      <c r="Q94" s="9">
        <f t="shared" si="20"/>
        <v>14</v>
      </c>
      <c r="R94" s="9">
        <f t="shared" si="21"/>
        <v>1</v>
      </c>
      <c r="S94" s="14" t="str" cm="1">
        <f t="array" ref="S94">INDEX('Report-ConceptMap'!$I$10:$N$265,Q94+1,R94)</f>
        <v>* group[=].element[+].code = #order</v>
      </c>
    </row>
    <row r="95" spans="16:19" x14ac:dyDescent="0.75">
      <c r="P95" s="9">
        <v>86</v>
      </c>
      <c r="Q95" s="9">
        <f t="shared" si="20"/>
        <v>14</v>
      </c>
      <c r="R95" s="9">
        <f t="shared" si="21"/>
        <v>2</v>
      </c>
      <c r="S95" s="14" t="str" cm="1">
        <f t="array" ref="S95">INDEX('Report-ConceptMap'!$I$10:$N$265,Q95+1,R95)</f>
        <v>* group[=].element[=].display = ##34#A.2-A.3 Order##34#</v>
      </c>
    </row>
    <row r="96" spans="16:19" x14ac:dyDescent="0.75">
      <c r="P96" s="9">
        <v>87</v>
      </c>
      <c r="Q96" s="9">
        <f t="shared" si="20"/>
        <v>14</v>
      </c>
      <c r="R96" s="9">
        <f t="shared" si="21"/>
        <v>3</v>
      </c>
      <c r="S96" s="14" t="str" cm="1">
        <f t="array" ref="S96">INDEX('Report-ConceptMap'!$I$10:$N$265,Q96+1,R96)</f>
        <v>* group[=].element[=].target.code = #DiagnosticReport.basedOn.resolve().ofType(ServiceRequest)</v>
      </c>
    </row>
    <row r="97" spans="16:19" x14ac:dyDescent="0.75">
      <c r="P97" s="9">
        <v>88</v>
      </c>
      <c r="Q97" s="9">
        <f t="shared" si="20"/>
        <v>14</v>
      </c>
      <c r="R97" s="9">
        <f t="shared" si="21"/>
        <v>4</v>
      </c>
      <c r="S97" s="14" t="str" cm="1">
        <f t="array" ref="S97">INDEX('Report-ConceptMap'!$I$10:$N$265,Q97+1,R97)</f>
        <v>* group[=].element[=].target.display = ##34###34#</v>
      </c>
    </row>
    <row r="98" spans="16:19" x14ac:dyDescent="0.75">
      <c r="P98" s="9">
        <v>89</v>
      </c>
      <c r="Q98" s="9">
        <f t="shared" si="20"/>
        <v>14</v>
      </c>
      <c r="R98" s="9">
        <f t="shared" si="21"/>
        <v>5</v>
      </c>
      <c r="S98" s="14" t="str" cm="1">
        <f t="array" ref="S98">INDEX('Report-ConceptMap'!$I$10:$N$265,Q98+1,R98)</f>
        <v>* group[=].element[=].target.equivalence = #relatedto</v>
      </c>
    </row>
    <row r="99" spans="16:19" x14ac:dyDescent="0.75">
      <c r="P99" s="9">
        <v>90</v>
      </c>
      <c r="Q99" s="9">
        <f t="shared" si="20"/>
        <v>14</v>
      </c>
      <c r="R99" s="9">
        <f t="shared" si="21"/>
        <v>6</v>
      </c>
      <c r="S99" s="14" t="str" cm="1">
        <f t="array" ref="S99">INDEX('Report-ConceptMap'!$I$10:$N$265,Q99+1,R99)</f>
        <v/>
      </c>
    </row>
    <row r="100" spans="16:19" x14ac:dyDescent="0.75">
      <c r="P100" s="9">
        <v>91</v>
      </c>
      <c r="Q100" s="9">
        <f t="shared" si="20"/>
        <v>15</v>
      </c>
      <c r="R100" s="9">
        <f t="shared" si="21"/>
        <v>1</v>
      </c>
      <c r="S100" s="14" t="str" cm="1">
        <f t="array" ref="S100">INDEX('Report-ConceptMap'!$I$10:$N$265,Q100+1,R100)</f>
        <v>* group[=].element[+].code = #specimen</v>
      </c>
    </row>
    <row r="101" spans="16:19" x14ac:dyDescent="0.75">
      <c r="P101" s="9">
        <v>92</v>
      </c>
      <c r="Q101" s="9">
        <f t="shared" si="20"/>
        <v>15</v>
      </c>
      <c r="R101" s="9">
        <f t="shared" si="21"/>
        <v>2</v>
      </c>
      <c r="S101" s="14" t="str" cm="1">
        <f t="array" ref="S101">INDEX('Report-ConceptMap'!$I$10:$N$265,Q101+1,R101)</f>
        <v>* group[=].element[=].display = ##34#A.4 Specimen information##34#</v>
      </c>
    </row>
    <row r="102" spans="16:19" x14ac:dyDescent="0.75">
      <c r="P102" s="9">
        <v>93</v>
      </c>
      <c r="Q102" s="9">
        <f t="shared" si="20"/>
        <v>15</v>
      </c>
      <c r="R102" s="9">
        <f t="shared" si="21"/>
        <v>3</v>
      </c>
      <c r="S102" s="14" t="str" cm="1">
        <f t="array" ref="S102">INDEX('Report-ConceptMap'!$I$10:$N$265,Q102+1,R102)</f>
        <v>* group[=].element[=].target.code = #DiagnosticReport.specimen.resolve()</v>
      </c>
    </row>
    <row r="103" spans="16:19" x14ac:dyDescent="0.75">
      <c r="P103" s="9">
        <v>94</v>
      </c>
      <c r="Q103" s="9">
        <f t="shared" si="20"/>
        <v>15</v>
      </c>
      <c r="R103" s="9">
        <f t="shared" si="21"/>
        <v>4</v>
      </c>
      <c r="S103" s="14" t="str" cm="1">
        <f t="array" ref="S103">INDEX('Report-ConceptMap'!$I$10:$N$265,Q103+1,R103)</f>
        <v>* group[=].element[=].target.display = ##34###34#</v>
      </c>
    </row>
    <row r="104" spans="16:19" x14ac:dyDescent="0.75">
      <c r="P104" s="9">
        <v>95</v>
      </c>
      <c r="Q104" s="9">
        <f t="shared" si="20"/>
        <v>15</v>
      </c>
      <c r="R104" s="9">
        <f t="shared" si="21"/>
        <v>5</v>
      </c>
      <c r="S104" s="14" t="str" cm="1">
        <f t="array" ref="S104">INDEX('Report-ConceptMap'!$I$10:$N$265,Q104+1,R104)</f>
        <v>* group[=].element[=].target.equivalence = #relatedto</v>
      </c>
    </row>
    <row r="105" spans="16:19" x14ac:dyDescent="0.75">
      <c r="P105" s="9">
        <v>96</v>
      </c>
      <c r="Q105" s="9">
        <f t="shared" si="20"/>
        <v>15</v>
      </c>
      <c r="R105" s="9">
        <f t="shared" si="21"/>
        <v>6</v>
      </c>
      <c r="S105" s="14" t="str" cm="1">
        <f t="array" ref="S105">INDEX('Report-ConceptMap'!$I$10:$N$265,Q105+1,R105)</f>
        <v/>
      </c>
    </row>
    <row r="106" spans="16:19" x14ac:dyDescent="0.75">
      <c r="P106" s="9">
        <v>97</v>
      </c>
      <c r="Q106" s="9">
        <f t="shared" si="20"/>
        <v>16</v>
      </c>
      <c r="R106" s="9">
        <f t="shared" si="21"/>
        <v>1</v>
      </c>
      <c r="S106" s="14" t="str" cm="1">
        <f t="array" ref="S106">INDEX('Report-ConceptMap'!$I$10:$N$265,Q106+1,R106)</f>
        <v>* group[=].element[+].code = #result</v>
      </c>
    </row>
    <row r="107" spans="16:19" x14ac:dyDescent="0.75">
      <c r="P107" s="9">
        <v>98</v>
      </c>
      <c r="Q107" s="9">
        <f t="shared" si="20"/>
        <v>16</v>
      </c>
      <c r="R107" s="9">
        <f t="shared" si="21"/>
        <v>2</v>
      </c>
      <c r="S107" s="14" t="str" cm="1">
        <f t="array" ref="S107">INDEX('Report-ConceptMap'!$I$10:$N$265,Q107+1,R107)</f>
        <v>* group[=].element[=].display = ##34#A.5 Results data elements##34#</v>
      </c>
    </row>
    <row r="108" spans="16:19" x14ac:dyDescent="0.75">
      <c r="P108" s="9">
        <v>99</v>
      </c>
      <c r="Q108" s="9">
        <f t="shared" si="20"/>
        <v>16</v>
      </c>
      <c r="R108" s="9">
        <f t="shared" si="21"/>
        <v>3</v>
      </c>
      <c r="S108" s="14" t="str" cm="1">
        <f t="array" ref="S108">INDEX('Report-ConceptMap'!$I$10:$N$265,Q108+1,R108)</f>
        <v>* group[=].element[=].target.code = #DiagnosticReport.result.resolve()</v>
      </c>
    </row>
    <row r="109" spans="16:19" x14ac:dyDescent="0.75">
      <c r="P109" s="9">
        <v>100</v>
      </c>
      <c r="Q109" s="9">
        <f t="shared" si="20"/>
        <v>16</v>
      </c>
      <c r="R109" s="9">
        <f t="shared" si="21"/>
        <v>4</v>
      </c>
      <c r="S109" s="14" t="str" cm="1">
        <f t="array" ref="S109">INDEX('Report-ConceptMap'!$I$10:$N$265,Q109+1,R109)</f>
        <v>* group[=].element[=].target.display = ##34###34#</v>
      </c>
    </row>
    <row r="110" spans="16:19" x14ac:dyDescent="0.75">
      <c r="P110" s="9">
        <v>101</v>
      </c>
      <c r="Q110" s="9">
        <f t="shared" si="20"/>
        <v>16</v>
      </c>
      <c r="R110" s="9">
        <f t="shared" si="21"/>
        <v>5</v>
      </c>
      <c r="S110" s="14" t="str" cm="1">
        <f t="array" ref="S110">INDEX('Report-ConceptMap'!$I$10:$N$265,Q110+1,R110)</f>
        <v>* group[=].element[=].target.equivalence = #relatedto</v>
      </c>
    </row>
    <row r="111" spans="16:19" x14ac:dyDescent="0.75">
      <c r="P111" s="9">
        <v>102</v>
      </c>
      <c r="Q111" s="9">
        <f t="shared" si="20"/>
        <v>16</v>
      </c>
      <c r="R111" s="9">
        <f t="shared" si="21"/>
        <v>6</v>
      </c>
      <c r="S111" s="14" t="str" cm="1">
        <f t="array" ref="S111">INDEX('Report-ConceptMap'!$I$10:$N$265,Q111+1,R111)</f>
        <v/>
      </c>
    </row>
    <row r="112" spans="16:19" x14ac:dyDescent="0.75">
      <c r="P112" s="9">
        <v>103</v>
      </c>
      <c r="Q112" s="9">
        <f t="shared" si="20"/>
        <v>17</v>
      </c>
      <c r="R112" s="9">
        <f t="shared" si="21"/>
        <v>1</v>
      </c>
      <c r="S112" s="14" cm="1">
        <f t="array" ref="S112">INDEX('Report-ConceptMap'!$I$10:$N$265,Q112+1,R112)</f>
        <v>0</v>
      </c>
    </row>
    <row r="113" spans="16:19" x14ac:dyDescent="0.75">
      <c r="P113" s="9">
        <v>104</v>
      </c>
      <c r="Q113" s="9">
        <f t="shared" si="20"/>
        <v>17</v>
      </c>
      <c r="R113" s="9">
        <f t="shared" si="21"/>
        <v>2</v>
      </c>
      <c r="S113" s="14" cm="1">
        <f t="array" ref="S113">INDEX('Report-ConceptMap'!$I$10:$N$265,Q113+1,R113)</f>
        <v>0</v>
      </c>
    </row>
    <row r="114" spans="16:19" x14ac:dyDescent="0.75">
      <c r="P114" s="9">
        <v>105</v>
      </c>
      <c r="Q114" s="9">
        <f t="shared" si="20"/>
        <v>17</v>
      </c>
      <c r="R114" s="9">
        <f t="shared" si="21"/>
        <v>3</v>
      </c>
      <c r="S114" s="14" cm="1">
        <f t="array" ref="S114">INDEX('Report-ConceptMap'!$I$10:$N$265,Q114+1,R114)</f>
        <v>0</v>
      </c>
    </row>
    <row r="115" spans="16:19" x14ac:dyDescent="0.75">
      <c r="P115" s="9">
        <v>106</v>
      </c>
      <c r="Q115" s="9">
        <f t="shared" si="20"/>
        <v>17</v>
      </c>
      <c r="R115" s="9">
        <f t="shared" si="21"/>
        <v>4</v>
      </c>
      <c r="S115" s="14" cm="1">
        <f t="array" ref="S115">INDEX('Report-ConceptMap'!$I$10:$N$265,Q115+1,R115)</f>
        <v>0</v>
      </c>
    </row>
    <row r="116" spans="16:19" x14ac:dyDescent="0.75">
      <c r="P116" s="9">
        <v>107</v>
      </c>
      <c r="Q116" s="9">
        <f t="shared" si="20"/>
        <v>17</v>
      </c>
      <c r="R116" s="9">
        <f t="shared" si="21"/>
        <v>5</v>
      </c>
      <c r="S116" s="14" cm="1">
        <f t="array" ref="S116">INDEX('Report-ConceptMap'!$I$10:$N$265,Q116+1,R116)</f>
        <v>0</v>
      </c>
    </row>
    <row r="117" spans="16:19" x14ac:dyDescent="0.75">
      <c r="P117" s="9">
        <v>108</v>
      </c>
      <c r="Q117" s="9">
        <f t="shared" si="20"/>
        <v>17</v>
      </c>
      <c r="R117" s="9">
        <f t="shared" si="21"/>
        <v>6</v>
      </c>
      <c r="S117" s="14" cm="1">
        <f t="array" ref="S117">INDEX('Report-ConceptMap'!$I$10:$N$265,Q117+1,R117)</f>
        <v>0</v>
      </c>
    </row>
    <row r="118" spans="16:19" x14ac:dyDescent="0.75">
      <c r="P118" s="9">
        <v>109</v>
      </c>
      <c r="Q118" s="9">
        <f t="shared" si="20"/>
        <v>18</v>
      </c>
      <c r="R118" s="9">
        <f t="shared" si="21"/>
        <v>1</v>
      </c>
      <c r="S118" s="14" cm="1">
        <f t="array" ref="S118">INDEX('Report-ConceptMap'!$I$10:$N$265,Q118+1,R118)</f>
        <v>0</v>
      </c>
    </row>
    <row r="119" spans="16:19" x14ac:dyDescent="0.75">
      <c r="P119" s="9">
        <v>110</v>
      </c>
      <c r="Q119" s="9">
        <f t="shared" si="20"/>
        <v>18</v>
      </c>
      <c r="R119" s="9">
        <f t="shared" si="21"/>
        <v>2</v>
      </c>
      <c r="S119" s="14" cm="1">
        <f t="array" ref="S119">INDEX('Report-ConceptMap'!$I$10:$N$265,Q119+1,R119)</f>
        <v>0</v>
      </c>
    </row>
    <row r="120" spans="16:19" x14ac:dyDescent="0.75">
      <c r="P120" s="9">
        <v>111</v>
      </c>
      <c r="Q120" s="9">
        <f t="shared" si="20"/>
        <v>18</v>
      </c>
      <c r="R120" s="9">
        <f t="shared" si="21"/>
        <v>3</v>
      </c>
      <c r="S120" s="14" cm="1">
        <f t="array" ref="S120">INDEX('Report-ConceptMap'!$I$10:$N$265,Q120+1,R120)</f>
        <v>0</v>
      </c>
    </row>
    <row r="121" spans="16:19" x14ac:dyDescent="0.75">
      <c r="P121" s="9">
        <v>112</v>
      </c>
      <c r="Q121" s="9">
        <f t="shared" si="20"/>
        <v>18</v>
      </c>
      <c r="R121" s="9">
        <f t="shared" si="21"/>
        <v>4</v>
      </c>
      <c r="S121" s="14" cm="1">
        <f t="array" ref="S121">INDEX('Report-ConceptMap'!$I$10:$N$265,Q121+1,R121)</f>
        <v>0</v>
      </c>
    </row>
    <row r="122" spans="16:19" x14ac:dyDescent="0.75">
      <c r="P122" s="9">
        <v>113</v>
      </c>
      <c r="Q122" s="9">
        <f t="shared" si="20"/>
        <v>18</v>
      </c>
      <c r="R122" s="9">
        <f t="shared" si="21"/>
        <v>5</v>
      </c>
      <c r="S122" s="14" cm="1">
        <f t="array" ref="S122">INDEX('Report-ConceptMap'!$I$10:$N$265,Q122+1,R122)</f>
        <v>0</v>
      </c>
    </row>
    <row r="123" spans="16:19" x14ac:dyDescent="0.75">
      <c r="P123" s="9">
        <v>114</v>
      </c>
      <c r="Q123" s="9">
        <f t="shared" si="20"/>
        <v>18</v>
      </c>
      <c r="R123" s="9">
        <f t="shared" si="21"/>
        <v>6</v>
      </c>
      <c r="S123" s="14" cm="1">
        <f t="array" ref="S123">INDEX('Report-ConceptMap'!$I$10:$N$265,Q123+1,R123)</f>
        <v>0</v>
      </c>
    </row>
    <row r="124" spans="16:19" x14ac:dyDescent="0.75">
      <c r="P124" s="9">
        <v>115</v>
      </c>
      <c r="Q124" s="9">
        <f t="shared" si="20"/>
        <v>19</v>
      </c>
      <c r="R124" s="9">
        <f t="shared" si="21"/>
        <v>1</v>
      </c>
      <c r="S124" s="14" cm="1">
        <f t="array" ref="S124">INDEX('Report-ConceptMap'!$I$10:$N$265,Q124+1,R124)</f>
        <v>0</v>
      </c>
    </row>
    <row r="125" spans="16:19" x14ac:dyDescent="0.75">
      <c r="P125" s="9">
        <v>116</v>
      </c>
      <c r="Q125" s="9">
        <f t="shared" si="20"/>
        <v>19</v>
      </c>
      <c r="R125" s="9">
        <f t="shared" si="21"/>
        <v>2</v>
      </c>
      <c r="S125" s="14" cm="1">
        <f t="array" ref="S125">INDEX('Report-ConceptMap'!$I$10:$N$265,Q125+1,R125)</f>
        <v>0</v>
      </c>
    </row>
    <row r="126" spans="16:19" x14ac:dyDescent="0.75">
      <c r="P126" s="9">
        <v>117</v>
      </c>
      <c r="Q126" s="9">
        <f t="shared" si="20"/>
        <v>19</v>
      </c>
      <c r="R126" s="9">
        <f t="shared" si="21"/>
        <v>3</v>
      </c>
      <c r="S126" s="14" cm="1">
        <f t="array" ref="S126">INDEX('Report-ConceptMap'!$I$10:$N$265,Q126+1,R126)</f>
        <v>0</v>
      </c>
    </row>
    <row r="127" spans="16:19" x14ac:dyDescent="0.75">
      <c r="P127" s="9">
        <v>118</v>
      </c>
      <c r="Q127" s="9">
        <f t="shared" si="20"/>
        <v>19</v>
      </c>
      <c r="R127" s="9">
        <f t="shared" si="21"/>
        <v>4</v>
      </c>
      <c r="S127" s="14" cm="1">
        <f t="array" ref="S127">INDEX('Report-ConceptMap'!$I$10:$N$265,Q127+1,R127)</f>
        <v>0</v>
      </c>
    </row>
    <row r="128" spans="16:19" x14ac:dyDescent="0.75">
      <c r="P128" s="9">
        <v>119</v>
      </c>
      <c r="Q128" s="9">
        <f t="shared" si="20"/>
        <v>19</v>
      </c>
      <c r="R128" s="9">
        <f t="shared" si="21"/>
        <v>5</v>
      </c>
      <c r="S128" s="14" cm="1">
        <f t="array" ref="S128">INDEX('Report-ConceptMap'!$I$10:$N$265,Q128+1,R128)</f>
        <v>0</v>
      </c>
    </row>
    <row r="129" spans="16:19" x14ac:dyDescent="0.75">
      <c r="P129" s="9">
        <v>120</v>
      </c>
      <c r="Q129" s="9">
        <f t="shared" si="20"/>
        <v>19</v>
      </c>
      <c r="R129" s="9">
        <f t="shared" si="21"/>
        <v>6</v>
      </c>
      <c r="S129" s="14" cm="1">
        <f t="array" ref="S129">INDEX('Report-ConceptMap'!$I$10:$N$265,Q129+1,R129)</f>
        <v>0</v>
      </c>
    </row>
    <row r="130" spans="16:19" x14ac:dyDescent="0.75">
      <c r="P130" s="9">
        <v>121</v>
      </c>
      <c r="Q130" s="9">
        <f t="shared" si="20"/>
        <v>20</v>
      </c>
      <c r="R130" s="9">
        <f t="shared" si="21"/>
        <v>1</v>
      </c>
      <c r="S130" s="14" cm="1">
        <f t="array" ref="S130">INDEX('Report-ConceptMap'!$I$10:$N$265,Q130+1,R130)</f>
        <v>0</v>
      </c>
    </row>
    <row r="131" spans="16:19" x14ac:dyDescent="0.75">
      <c r="P131" s="9">
        <v>122</v>
      </c>
      <c r="Q131" s="9">
        <f t="shared" si="20"/>
        <v>20</v>
      </c>
      <c r="R131" s="9">
        <f t="shared" si="21"/>
        <v>2</v>
      </c>
      <c r="S131" s="14" cm="1">
        <f t="array" ref="S131">INDEX('Report-ConceptMap'!$I$10:$N$265,Q131+1,R131)</f>
        <v>0</v>
      </c>
    </row>
    <row r="132" spans="16:19" x14ac:dyDescent="0.75">
      <c r="P132" s="9">
        <v>123</v>
      </c>
      <c r="Q132" s="9">
        <f t="shared" si="20"/>
        <v>20</v>
      </c>
      <c r="R132" s="9">
        <f t="shared" si="21"/>
        <v>3</v>
      </c>
      <c r="S132" s="14" cm="1">
        <f t="array" ref="S132">INDEX('Report-ConceptMap'!$I$10:$N$265,Q132+1,R132)</f>
        <v>0</v>
      </c>
    </row>
    <row r="133" spans="16:19" x14ac:dyDescent="0.75">
      <c r="P133" s="9">
        <v>124</v>
      </c>
      <c r="Q133" s="9">
        <f t="shared" si="20"/>
        <v>20</v>
      </c>
      <c r="R133" s="9">
        <f t="shared" si="21"/>
        <v>4</v>
      </c>
      <c r="S133" s="14" cm="1">
        <f t="array" ref="S133">INDEX('Report-ConceptMap'!$I$10:$N$265,Q133+1,R133)</f>
        <v>0</v>
      </c>
    </row>
    <row r="134" spans="16:19" x14ac:dyDescent="0.75">
      <c r="P134" s="9">
        <v>125</v>
      </c>
      <c r="Q134" s="9">
        <f t="shared" si="20"/>
        <v>20</v>
      </c>
      <c r="R134" s="9">
        <f t="shared" si="21"/>
        <v>5</v>
      </c>
      <c r="S134" s="14" cm="1">
        <f t="array" ref="S134">INDEX('Report-ConceptMap'!$I$10:$N$265,Q134+1,R134)</f>
        <v>0</v>
      </c>
    </row>
    <row r="135" spans="16:19" x14ac:dyDescent="0.75">
      <c r="P135" s="9">
        <v>126</v>
      </c>
      <c r="Q135" s="9">
        <f t="shared" si="20"/>
        <v>20</v>
      </c>
      <c r="R135" s="9">
        <f t="shared" si="21"/>
        <v>6</v>
      </c>
      <c r="S135" s="14" cm="1">
        <f t="array" ref="S135">INDEX('Report-ConceptMap'!$I$10:$N$265,Q135+1,R135)</f>
        <v>0</v>
      </c>
    </row>
    <row r="136" spans="16:19" x14ac:dyDescent="0.75">
      <c r="P136" s="9">
        <v>127</v>
      </c>
      <c r="Q136" s="9">
        <f t="shared" si="20"/>
        <v>21</v>
      </c>
      <c r="R136" s="9">
        <f t="shared" si="21"/>
        <v>1</v>
      </c>
      <c r="S136" s="14" cm="1">
        <f t="array" ref="S136">INDEX('Report-ConceptMap'!$I$10:$N$265,Q136+1,R136)</f>
        <v>0</v>
      </c>
    </row>
    <row r="137" spans="16:19" x14ac:dyDescent="0.75">
      <c r="P137" s="9">
        <v>128</v>
      </c>
      <c r="Q137" s="9">
        <f t="shared" si="20"/>
        <v>21</v>
      </c>
      <c r="R137" s="9">
        <f t="shared" si="21"/>
        <v>2</v>
      </c>
      <c r="S137" s="14" cm="1">
        <f t="array" ref="S137">INDEX('Report-ConceptMap'!$I$10:$N$265,Q137+1,R137)</f>
        <v>0</v>
      </c>
    </row>
    <row r="138" spans="16:19" x14ac:dyDescent="0.75">
      <c r="P138" s="9">
        <v>129</v>
      </c>
      <c r="Q138" s="9">
        <f t="shared" si="20"/>
        <v>21</v>
      </c>
      <c r="R138" s="9">
        <f t="shared" si="21"/>
        <v>3</v>
      </c>
      <c r="S138" s="14" cm="1">
        <f t="array" ref="S138">INDEX('Report-ConceptMap'!$I$10:$N$265,Q138+1,R138)</f>
        <v>0</v>
      </c>
    </row>
    <row r="139" spans="16:19" x14ac:dyDescent="0.75">
      <c r="P139" s="9">
        <v>130</v>
      </c>
      <c r="Q139" s="9">
        <f t="shared" si="20"/>
        <v>21</v>
      </c>
      <c r="R139" s="9">
        <f t="shared" si="21"/>
        <v>4</v>
      </c>
      <c r="S139" s="14" cm="1">
        <f t="array" ref="S139">INDEX('Report-ConceptMap'!$I$10:$N$265,Q139+1,R139)</f>
        <v>0</v>
      </c>
    </row>
    <row r="140" spans="16:19" x14ac:dyDescent="0.75">
      <c r="P140" s="9">
        <v>131</v>
      </c>
      <c r="Q140" s="9">
        <f t="shared" ref="Q140:Q185" si="22">IF(MOD(P140,$Q$3)=0,P140/$Q$3-1,INT(P140/$Q$3))</f>
        <v>21</v>
      </c>
      <c r="R140" s="9">
        <f t="shared" ref="R140:R185" si="23">IF(MOD(P140,$Q$3)=0,$Q$3,MOD(P140,$Q$3))</f>
        <v>5</v>
      </c>
      <c r="S140" s="14" cm="1">
        <f t="array" ref="S140">INDEX('Report-ConceptMap'!$I$10:$N$265,Q140+1,R140)</f>
        <v>0</v>
      </c>
    </row>
    <row r="141" spans="16:19" x14ac:dyDescent="0.75">
      <c r="P141" s="9">
        <v>132</v>
      </c>
      <c r="Q141" s="9">
        <f t="shared" si="22"/>
        <v>21</v>
      </c>
      <c r="R141" s="9">
        <f t="shared" si="23"/>
        <v>6</v>
      </c>
      <c r="S141" s="14" cm="1">
        <f t="array" ref="S141">INDEX('Report-ConceptMap'!$I$10:$N$265,Q141+1,R141)</f>
        <v>0</v>
      </c>
    </row>
    <row r="142" spans="16:19" x14ac:dyDescent="0.75">
      <c r="P142" s="9">
        <v>133</v>
      </c>
      <c r="Q142" s="9">
        <f t="shared" si="22"/>
        <v>22</v>
      </c>
      <c r="R142" s="9">
        <f t="shared" si="23"/>
        <v>1</v>
      </c>
      <c r="S142" s="14" cm="1">
        <f t="array" ref="S142">INDEX('Report-ConceptMap'!$I$10:$N$265,Q142+1,R142)</f>
        <v>0</v>
      </c>
    </row>
    <row r="143" spans="16:19" x14ac:dyDescent="0.75">
      <c r="P143" s="9">
        <v>134</v>
      </c>
      <c r="Q143" s="9">
        <f t="shared" si="22"/>
        <v>22</v>
      </c>
      <c r="R143" s="9">
        <f t="shared" si="23"/>
        <v>2</v>
      </c>
      <c r="S143" s="14" cm="1">
        <f t="array" ref="S143">INDEX('Report-ConceptMap'!$I$10:$N$265,Q143+1,R143)</f>
        <v>0</v>
      </c>
    </row>
    <row r="144" spans="16:19" x14ac:dyDescent="0.75">
      <c r="P144" s="9">
        <v>135</v>
      </c>
      <c r="Q144" s="9">
        <f t="shared" si="22"/>
        <v>22</v>
      </c>
      <c r="R144" s="9">
        <f t="shared" si="23"/>
        <v>3</v>
      </c>
      <c r="S144" s="14" cm="1">
        <f t="array" ref="S144">INDEX('Report-ConceptMap'!$I$10:$N$265,Q144+1,R144)</f>
        <v>0</v>
      </c>
    </row>
    <row r="145" spans="16:19" x14ac:dyDescent="0.75">
      <c r="P145" s="9">
        <v>136</v>
      </c>
      <c r="Q145" s="9">
        <f t="shared" si="22"/>
        <v>22</v>
      </c>
      <c r="R145" s="9">
        <f t="shared" si="23"/>
        <v>4</v>
      </c>
      <c r="S145" s="14" cm="1">
        <f t="array" ref="S145">INDEX('Report-ConceptMap'!$I$10:$N$265,Q145+1,R145)</f>
        <v>0</v>
      </c>
    </row>
    <row r="146" spans="16:19" x14ac:dyDescent="0.75">
      <c r="P146" s="9">
        <v>137</v>
      </c>
      <c r="Q146" s="9">
        <f t="shared" si="22"/>
        <v>22</v>
      </c>
      <c r="R146" s="9">
        <f t="shared" si="23"/>
        <v>5</v>
      </c>
      <c r="S146" s="14" cm="1">
        <f t="array" ref="S146">INDEX('Report-ConceptMap'!$I$10:$N$265,Q146+1,R146)</f>
        <v>0</v>
      </c>
    </row>
    <row r="147" spans="16:19" x14ac:dyDescent="0.75">
      <c r="P147" s="9">
        <v>138</v>
      </c>
      <c r="Q147" s="9">
        <f t="shared" si="22"/>
        <v>22</v>
      </c>
      <c r="R147" s="9">
        <f t="shared" si="23"/>
        <v>6</v>
      </c>
      <c r="S147" s="14" cm="1">
        <f t="array" ref="S147">INDEX('Report-ConceptMap'!$I$10:$N$265,Q147+1,R147)</f>
        <v>0</v>
      </c>
    </row>
    <row r="148" spans="16:19" x14ac:dyDescent="0.75">
      <c r="P148" s="9">
        <v>139</v>
      </c>
      <c r="Q148" s="9">
        <f t="shared" si="22"/>
        <v>23</v>
      </c>
      <c r="R148" s="9">
        <f t="shared" si="23"/>
        <v>1</v>
      </c>
      <c r="S148" s="14" cm="1">
        <f t="array" ref="S148">INDEX('Report-ConceptMap'!$I$10:$N$265,Q148+1,R148)</f>
        <v>0</v>
      </c>
    </row>
    <row r="149" spans="16:19" x14ac:dyDescent="0.75">
      <c r="P149" s="9">
        <v>140</v>
      </c>
      <c r="Q149" s="9">
        <f t="shared" si="22"/>
        <v>23</v>
      </c>
      <c r="R149" s="9">
        <f t="shared" si="23"/>
        <v>2</v>
      </c>
      <c r="S149" s="14" cm="1">
        <f t="array" ref="S149">INDEX('Report-ConceptMap'!$I$10:$N$265,Q149+1,R149)</f>
        <v>0</v>
      </c>
    </row>
    <row r="150" spans="16:19" x14ac:dyDescent="0.75">
      <c r="P150" s="9">
        <v>141</v>
      </c>
      <c r="Q150" s="9">
        <f t="shared" si="22"/>
        <v>23</v>
      </c>
      <c r="R150" s="9">
        <f t="shared" si="23"/>
        <v>3</v>
      </c>
      <c r="S150" s="14" cm="1">
        <f t="array" ref="S150">INDEX('Report-ConceptMap'!$I$10:$N$265,Q150+1,R150)</f>
        <v>0</v>
      </c>
    </row>
    <row r="151" spans="16:19" x14ac:dyDescent="0.75">
      <c r="P151" s="9">
        <v>142</v>
      </c>
      <c r="Q151" s="9">
        <f t="shared" si="22"/>
        <v>23</v>
      </c>
      <c r="R151" s="9">
        <f t="shared" si="23"/>
        <v>4</v>
      </c>
      <c r="S151" s="14" cm="1">
        <f t="array" ref="S151">INDEX('Report-ConceptMap'!$I$10:$N$265,Q151+1,R151)</f>
        <v>0</v>
      </c>
    </row>
    <row r="152" spans="16:19" x14ac:dyDescent="0.75">
      <c r="P152" s="9">
        <v>143</v>
      </c>
      <c r="Q152" s="9">
        <f t="shared" si="22"/>
        <v>23</v>
      </c>
      <c r="R152" s="9">
        <f t="shared" si="23"/>
        <v>5</v>
      </c>
      <c r="S152" s="14" cm="1">
        <f t="array" ref="S152">INDEX('Report-ConceptMap'!$I$10:$N$265,Q152+1,R152)</f>
        <v>0</v>
      </c>
    </row>
    <row r="153" spans="16:19" x14ac:dyDescent="0.75">
      <c r="P153" s="9">
        <v>144</v>
      </c>
      <c r="Q153" s="9">
        <f t="shared" si="22"/>
        <v>23</v>
      </c>
      <c r="R153" s="9">
        <f t="shared" si="23"/>
        <v>6</v>
      </c>
      <c r="S153" s="14" cm="1">
        <f t="array" ref="S153">INDEX('Report-ConceptMap'!$I$10:$N$265,Q153+1,R153)</f>
        <v>0</v>
      </c>
    </row>
    <row r="154" spans="16:19" x14ac:dyDescent="0.75">
      <c r="P154" s="9">
        <v>145</v>
      </c>
      <c r="Q154" s="9">
        <f t="shared" si="22"/>
        <v>24</v>
      </c>
      <c r="R154" s="9">
        <f t="shared" si="23"/>
        <v>1</v>
      </c>
      <c r="S154" s="14" cm="1">
        <f t="array" ref="S154">INDEX('Report-ConceptMap'!$I$10:$N$265,Q154+1,R154)</f>
        <v>0</v>
      </c>
    </row>
    <row r="155" spans="16:19" x14ac:dyDescent="0.75">
      <c r="P155" s="9">
        <v>146</v>
      </c>
      <c r="Q155" s="9">
        <f t="shared" si="22"/>
        <v>24</v>
      </c>
      <c r="R155" s="9">
        <f t="shared" si="23"/>
        <v>2</v>
      </c>
      <c r="S155" s="14" cm="1">
        <f t="array" ref="S155">INDEX('Report-ConceptMap'!$I$10:$N$265,Q155+1,R155)</f>
        <v>0</v>
      </c>
    </row>
    <row r="156" spans="16:19" x14ac:dyDescent="0.75">
      <c r="P156" s="9">
        <v>147</v>
      </c>
      <c r="Q156" s="9">
        <f t="shared" si="22"/>
        <v>24</v>
      </c>
      <c r="R156" s="9">
        <f t="shared" si="23"/>
        <v>3</v>
      </c>
      <c r="S156" s="14" cm="1">
        <f t="array" ref="S156">INDEX('Report-ConceptMap'!$I$10:$N$265,Q156+1,R156)</f>
        <v>0</v>
      </c>
    </row>
    <row r="157" spans="16:19" x14ac:dyDescent="0.75">
      <c r="P157" s="9">
        <v>148</v>
      </c>
      <c r="Q157" s="9">
        <f t="shared" si="22"/>
        <v>24</v>
      </c>
      <c r="R157" s="9">
        <f t="shared" si="23"/>
        <v>4</v>
      </c>
      <c r="S157" s="14" cm="1">
        <f t="array" ref="S157">INDEX('Report-ConceptMap'!$I$10:$N$265,Q157+1,R157)</f>
        <v>0</v>
      </c>
    </row>
    <row r="158" spans="16:19" x14ac:dyDescent="0.75">
      <c r="P158" s="9">
        <v>149</v>
      </c>
      <c r="Q158" s="9">
        <f t="shared" si="22"/>
        <v>24</v>
      </c>
      <c r="R158" s="9">
        <f t="shared" si="23"/>
        <v>5</v>
      </c>
      <c r="S158" s="14" cm="1">
        <f t="array" ref="S158">INDEX('Report-ConceptMap'!$I$10:$N$265,Q158+1,R158)</f>
        <v>0</v>
      </c>
    </row>
    <row r="159" spans="16:19" x14ac:dyDescent="0.75">
      <c r="P159" s="9">
        <v>150</v>
      </c>
      <c r="Q159" s="9">
        <f t="shared" si="22"/>
        <v>24</v>
      </c>
      <c r="R159" s="9">
        <f t="shared" si="23"/>
        <v>6</v>
      </c>
      <c r="S159" s="14" cm="1">
        <f t="array" ref="S159">INDEX('Report-ConceptMap'!$I$10:$N$265,Q159+1,R159)</f>
        <v>0</v>
      </c>
    </row>
    <row r="160" spans="16:19" x14ac:dyDescent="0.75">
      <c r="P160" s="9">
        <v>151</v>
      </c>
      <c r="Q160" s="9">
        <f t="shared" si="22"/>
        <v>25</v>
      </c>
      <c r="R160" s="9">
        <f t="shared" si="23"/>
        <v>1</v>
      </c>
      <c r="S160" s="14" cm="1">
        <f t="array" ref="S160">INDEX('Report-ConceptMap'!$I$10:$N$265,Q160+1,R160)</f>
        <v>0</v>
      </c>
    </row>
    <row r="161" spans="16:19" x14ac:dyDescent="0.75">
      <c r="P161" s="9">
        <v>152</v>
      </c>
      <c r="Q161" s="9">
        <f t="shared" si="22"/>
        <v>25</v>
      </c>
      <c r="R161" s="9">
        <f t="shared" si="23"/>
        <v>2</v>
      </c>
      <c r="S161" s="14" cm="1">
        <f t="array" ref="S161">INDEX('Report-ConceptMap'!$I$10:$N$265,Q161+1,R161)</f>
        <v>0</v>
      </c>
    </row>
    <row r="162" spans="16:19" x14ac:dyDescent="0.75">
      <c r="P162" s="9">
        <v>153</v>
      </c>
      <c r="Q162" s="9">
        <f t="shared" si="22"/>
        <v>25</v>
      </c>
      <c r="R162" s="9">
        <f t="shared" si="23"/>
        <v>3</v>
      </c>
      <c r="S162" s="14" cm="1">
        <f t="array" ref="S162">INDEX('Report-ConceptMap'!$I$10:$N$265,Q162+1,R162)</f>
        <v>0</v>
      </c>
    </row>
    <row r="163" spans="16:19" x14ac:dyDescent="0.75">
      <c r="P163" s="9">
        <v>154</v>
      </c>
      <c r="Q163" s="9">
        <f t="shared" si="22"/>
        <v>25</v>
      </c>
      <c r="R163" s="9">
        <f t="shared" si="23"/>
        <v>4</v>
      </c>
      <c r="S163" s="14" cm="1">
        <f t="array" ref="S163">INDEX('Report-ConceptMap'!$I$10:$N$265,Q163+1,R163)</f>
        <v>0</v>
      </c>
    </row>
    <row r="164" spans="16:19" x14ac:dyDescent="0.75">
      <c r="P164" s="9">
        <v>155</v>
      </c>
      <c r="Q164" s="9">
        <f t="shared" si="22"/>
        <v>25</v>
      </c>
      <c r="R164" s="9">
        <f t="shared" si="23"/>
        <v>5</v>
      </c>
      <c r="S164" s="14" cm="1">
        <f t="array" ref="S164">INDEX('Report-ConceptMap'!$I$10:$N$265,Q164+1,R164)</f>
        <v>0</v>
      </c>
    </row>
    <row r="165" spans="16:19" x14ac:dyDescent="0.75">
      <c r="P165" s="9">
        <v>156</v>
      </c>
      <c r="Q165" s="9">
        <f t="shared" si="22"/>
        <v>25</v>
      </c>
      <c r="R165" s="9">
        <f t="shared" si="23"/>
        <v>6</v>
      </c>
      <c r="S165" s="14" cm="1">
        <f t="array" ref="S165">INDEX('Report-ConceptMap'!$I$10:$N$265,Q165+1,R165)</f>
        <v>0</v>
      </c>
    </row>
    <row r="166" spans="16:19" x14ac:dyDescent="0.75">
      <c r="P166" s="9">
        <v>157</v>
      </c>
      <c r="Q166" s="9">
        <f t="shared" si="22"/>
        <v>26</v>
      </c>
      <c r="R166" s="9">
        <f t="shared" si="23"/>
        <v>1</v>
      </c>
      <c r="S166" s="14" cm="1">
        <f t="array" ref="S166">INDEX('Report-ConceptMap'!$I$10:$N$265,Q166+1,R166)</f>
        <v>0</v>
      </c>
    </row>
    <row r="167" spans="16:19" x14ac:dyDescent="0.75">
      <c r="P167" s="9">
        <v>158</v>
      </c>
      <c r="Q167" s="9">
        <f t="shared" si="22"/>
        <v>26</v>
      </c>
      <c r="R167" s="9">
        <f t="shared" si="23"/>
        <v>2</v>
      </c>
      <c r="S167" s="14" cm="1">
        <f t="array" ref="S167">INDEX('Report-ConceptMap'!$I$10:$N$265,Q167+1,R167)</f>
        <v>0</v>
      </c>
    </row>
    <row r="168" spans="16:19" x14ac:dyDescent="0.75">
      <c r="P168" s="9">
        <v>159</v>
      </c>
      <c r="Q168" s="9">
        <f t="shared" si="22"/>
        <v>26</v>
      </c>
      <c r="R168" s="9">
        <f t="shared" si="23"/>
        <v>3</v>
      </c>
      <c r="S168" s="14" cm="1">
        <f t="array" ref="S168">INDEX('Report-ConceptMap'!$I$10:$N$265,Q168+1,R168)</f>
        <v>0</v>
      </c>
    </row>
    <row r="169" spans="16:19" x14ac:dyDescent="0.75">
      <c r="P169" s="9">
        <v>160</v>
      </c>
      <c r="Q169" s="9">
        <f t="shared" si="22"/>
        <v>26</v>
      </c>
      <c r="R169" s="9">
        <f t="shared" si="23"/>
        <v>4</v>
      </c>
      <c r="S169" s="14" cm="1">
        <f t="array" ref="S169">INDEX('Report-ConceptMap'!$I$10:$N$265,Q169+1,R169)</f>
        <v>0</v>
      </c>
    </row>
    <row r="170" spans="16:19" x14ac:dyDescent="0.75">
      <c r="P170" s="9">
        <v>161</v>
      </c>
      <c r="Q170" s="9">
        <f t="shared" si="22"/>
        <v>26</v>
      </c>
      <c r="R170" s="9">
        <f t="shared" si="23"/>
        <v>5</v>
      </c>
      <c r="S170" s="14" cm="1">
        <f t="array" ref="S170">INDEX('Report-ConceptMap'!$I$10:$N$265,Q170+1,R170)</f>
        <v>0</v>
      </c>
    </row>
    <row r="171" spans="16:19" x14ac:dyDescent="0.75">
      <c r="P171" s="9">
        <v>162</v>
      </c>
      <c r="Q171" s="9">
        <f t="shared" si="22"/>
        <v>26</v>
      </c>
      <c r="R171" s="9">
        <f t="shared" si="23"/>
        <v>6</v>
      </c>
      <c r="S171" s="14" cm="1">
        <f t="array" ref="S171">INDEX('Report-ConceptMap'!$I$10:$N$265,Q171+1,R171)</f>
        <v>0</v>
      </c>
    </row>
    <row r="172" spans="16:19" x14ac:dyDescent="0.75">
      <c r="P172" s="9">
        <v>163</v>
      </c>
      <c r="Q172" s="9">
        <f t="shared" si="22"/>
        <v>27</v>
      </c>
      <c r="R172" s="9">
        <f t="shared" si="23"/>
        <v>1</v>
      </c>
      <c r="S172" s="14" cm="1">
        <f t="array" ref="S172">INDEX('Report-ConceptMap'!$I$10:$N$265,Q172+1,R172)</f>
        <v>0</v>
      </c>
    </row>
    <row r="173" spans="16:19" x14ac:dyDescent="0.75">
      <c r="P173" s="9">
        <v>164</v>
      </c>
      <c r="Q173" s="9">
        <f t="shared" si="22"/>
        <v>27</v>
      </c>
      <c r="R173" s="9">
        <f t="shared" si="23"/>
        <v>2</v>
      </c>
      <c r="S173" s="14" cm="1">
        <f t="array" ref="S173">INDEX('Report-ConceptMap'!$I$10:$N$265,Q173+1,R173)</f>
        <v>0</v>
      </c>
    </row>
    <row r="174" spans="16:19" x14ac:dyDescent="0.75">
      <c r="P174" s="9">
        <v>165</v>
      </c>
      <c r="Q174" s="9">
        <f t="shared" si="22"/>
        <v>27</v>
      </c>
      <c r="R174" s="9">
        <f t="shared" si="23"/>
        <v>3</v>
      </c>
      <c r="S174" s="14" cm="1">
        <f t="array" ref="S174">INDEX('Report-ConceptMap'!$I$10:$N$265,Q174+1,R174)</f>
        <v>0</v>
      </c>
    </row>
    <row r="175" spans="16:19" x14ac:dyDescent="0.75">
      <c r="P175" s="9">
        <v>166</v>
      </c>
      <c r="Q175" s="9">
        <f t="shared" si="22"/>
        <v>27</v>
      </c>
      <c r="R175" s="9">
        <f t="shared" si="23"/>
        <v>4</v>
      </c>
      <c r="S175" s="14" cm="1">
        <f t="array" ref="S175">INDEX('Report-ConceptMap'!$I$10:$N$265,Q175+1,R175)</f>
        <v>0</v>
      </c>
    </row>
    <row r="176" spans="16:19" x14ac:dyDescent="0.75">
      <c r="P176" s="9">
        <v>167</v>
      </c>
      <c r="Q176" s="9">
        <f t="shared" si="22"/>
        <v>27</v>
      </c>
      <c r="R176" s="9">
        <f t="shared" si="23"/>
        <v>5</v>
      </c>
      <c r="S176" s="14" cm="1">
        <f t="array" ref="S176">INDEX('Report-ConceptMap'!$I$10:$N$265,Q176+1,R176)</f>
        <v>0</v>
      </c>
    </row>
    <row r="177" spans="16:19" x14ac:dyDescent="0.75">
      <c r="P177" s="9">
        <v>168</v>
      </c>
      <c r="Q177" s="9">
        <f t="shared" si="22"/>
        <v>27</v>
      </c>
      <c r="R177" s="9">
        <f t="shared" si="23"/>
        <v>6</v>
      </c>
      <c r="S177" s="14" cm="1">
        <f t="array" ref="S177">INDEX('Report-ConceptMap'!$I$10:$N$265,Q177+1,R177)</f>
        <v>0</v>
      </c>
    </row>
    <row r="178" spans="16:19" x14ac:dyDescent="0.75">
      <c r="P178" s="9">
        <v>169</v>
      </c>
      <c r="Q178" s="9">
        <f t="shared" si="22"/>
        <v>28</v>
      </c>
      <c r="R178" s="9">
        <f t="shared" si="23"/>
        <v>1</v>
      </c>
      <c r="S178" s="14" cm="1">
        <f t="array" ref="S178">INDEX('Report-ConceptMap'!$I$10:$N$265,Q178+1,R178)</f>
        <v>0</v>
      </c>
    </row>
    <row r="179" spans="16:19" x14ac:dyDescent="0.75">
      <c r="P179" s="9">
        <v>170</v>
      </c>
      <c r="Q179" s="9">
        <f t="shared" si="22"/>
        <v>28</v>
      </c>
      <c r="R179" s="9">
        <f t="shared" si="23"/>
        <v>2</v>
      </c>
      <c r="S179" s="14" cm="1">
        <f t="array" ref="S179">INDEX('Report-ConceptMap'!$I$10:$N$265,Q179+1,R179)</f>
        <v>0</v>
      </c>
    </row>
    <row r="180" spans="16:19" x14ac:dyDescent="0.75">
      <c r="P180" s="9">
        <v>171</v>
      </c>
      <c r="Q180" s="9">
        <f t="shared" si="22"/>
        <v>28</v>
      </c>
      <c r="R180" s="9">
        <f t="shared" si="23"/>
        <v>3</v>
      </c>
      <c r="S180" s="14" cm="1">
        <f t="array" ref="S180">INDEX('Report-ConceptMap'!$I$10:$N$265,Q180+1,R180)</f>
        <v>0</v>
      </c>
    </row>
    <row r="181" spans="16:19" x14ac:dyDescent="0.75">
      <c r="P181" s="9">
        <v>172</v>
      </c>
      <c r="Q181" s="9">
        <f t="shared" si="22"/>
        <v>28</v>
      </c>
      <c r="R181" s="9">
        <f t="shared" si="23"/>
        <v>4</v>
      </c>
      <c r="S181" s="14" cm="1">
        <f t="array" ref="S181">INDEX('Report-ConceptMap'!$I$10:$N$265,Q181+1,R181)</f>
        <v>0</v>
      </c>
    </row>
    <row r="182" spans="16:19" x14ac:dyDescent="0.75">
      <c r="P182" s="9">
        <v>173</v>
      </c>
      <c r="Q182" s="9">
        <f t="shared" si="22"/>
        <v>28</v>
      </c>
      <c r="R182" s="9">
        <f t="shared" si="23"/>
        <v>5</v>
      </c>
      <c r="S182" s="14" cm="1">
        <f t="array" ref="S182">INDEX('Report-ConceptMap'!$I$10:$N$265,Q182+1,R182)</f>
        <v>0</v>
      </c>
    </row>
    <row r="183" spans="16:19" x14ac:dyDescent="0.75">
      <c r="P183" s="9">
        <v>174</v>
      </c>
      <c r="Q183" s="9">
        <f t="shared" si="22"/>
        <v>28</v>
      </c>
      <c r="R183" s="9">
        <f t="shared" si="23"/>
        <v>6</v>
      </c>
      <c r="S183" s="14" cm="1">
        <f t="array" ref="S183">INDEX('Report-ConceptMap'!$I$10:$N$265,Q183+1,R183)</f>
        <v>0</v>
      </c>
    </row>
    <row r="184" spans="16:19" x14ac:dyDescent="0.75">
      <c r="P184" s="9">
        <v>175</v>
      </c>
      <c r="Q184" s="9">
        <f t="shared" si="22"/>
        <v>29</v>
      </c>
      <c r="R184" s="9">
        <f t="shared" si="23"/>
        <v>1</v>
      </c>
      <c r="S184" s="14" cm="1">
        <f t="array" ref="S184">INDEX('Report-ConceptMap'!$I$10:$N$265,Q184+1,R184)</f>
        <v>0</v>
      </c>
    </row>
    <row r="185" spans="16:19" x14ac:dyDescent="0.75">
      <c r="P185" s="9">
        <v>176</v>
      </c>
      <c r="Q185" s="9">
        <f t="shared" si="22"/>
        <v>29</v>
      </c>
      <c r="R185" s="9">
        <f t="shared" si="23"/>
        <v>2</v>
      </c>
      <c r="S185" s="14" cm="1">
        <f t="array" ref="S185">INDEX('Report-ConceptMap'!$I$10:$N$265,Q185+1,R185)</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123"/>
  <sheetViews>
    <sheetView tabSelected="1" workbookViewId="0">
      <selection activeCell="B20" sqref="B20:B123"/>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678</v>
      </c>
    </row>
    <row r="3" spans="2:7" x14ac:dyDescent="0.75">
      <c r="B3" s="33" t="s">
        <v>37</v>
      </c>
    </row>
    <row r="4" spans="2:7" x14ac:dyDescent="0.75">
      <c r="B4" s="80" t="s">
        <v>672</v>
      </c>
    </row>
    <row r="5" spans="2:7" x14ac:dyDescent="0.75">
      <c r="B5" s="80" t="s">
        <v>665</v>
      </c>
    </row>
    <row r="6" spans="2:7" x14ac:dyDescent="0.75">
      <c r="B6" s="80" t="s">
        <v>666</v>
      </c>
    </row>
    <row r="7" spans="2:7" x14ac:dyDescent="0.75">
      <c r="B7" s="80" t="s">
        <v>667</v>
      </c>
    </row>
    <row r="8" spans="2:7" x14ac:dyDescent="0.75">
      <c r="B8" s="80" t="s">
        <v>673</v>
      </c>
    </row>
    <row r="9" spans="2:7" x14ac:dyDescent="0.75">
      <c r="B9" s="80" t="s">
        <v>688</v>
      </c>
    </row>
    <row r="10" spans="2:7" x14ac:dyDescent="0.75">
      <c r="B10" s="80" t="s">
        <v>668</v>
      </c>
    </row>
    <row r="11" spans="2:7" x14ac:dyDescent="0.75">
      <c r="B11" s="80" t="s">
        <v>669</v>
      </c>
    </row>
    <row r="12" spans="2:7" x14ac:dyDescent="0.75">
      <c r="B12" s="80" t="s">
        <v>689</v>
      </c>
    </row>
    <row r="13" spans="2:7" x14ac:dyDescent="0.75">
      <c r="B13" s="80" t="s">
        <v>690</v>
      </c>
    </row>
    <row r="14" spans="2:7" x14ac:dyDescent="0.75">
      <c r="B14" s="81" t="s">
        <v>674</v>
      </c>
    </row>
    <row r="15" spans="2:7" x14ac:dyDescent="0.75">
      <c r="B15" s="81" t="s">
        <v>675</v>
      </c>
    </row>
    <row r="16" spans="2:7" x14ac:dyDescent="0.75">
      <c r="B16" s="80"/>
    </row>
    <row r="17" spans="2:7" x14ac:dyDescent="0.75">
      <c r="B17" s="82" t="s">
        <v>676</v>
      </c>
    </row>
    <row r="18" spans="2:7" x14ac:dyDescent="0.75">
      <c r="B18" s="82" t="s">
        <v>677</v>
      </c>
    </row>
    <row r="19" spans="2:7" x14ac:dyDescent="0.75">
      <c r="B19" s="83"/>
    </row>
    <row r="20" spans="2:7" x14ac:dyDescent="0.75">
      <c r="B20" s="14" t="str">
        <f>IF('Report-ConceptMap'!S10=0,"//---END",'Report-ConceptMap'!S10)</f>
        <v>* group[=].element[+].code = #header</v>
      </c>
    </row>
    <row r="21" spans="2:7" x14ac:dyDescent="0.75">
      <c r="B21" s="14" t="str">
        <f>IF('Report-ConceptMap'!S11=0,"//---END",'Report-ConceptMap'!S11)</f>
        <v>* group[=].element[=].display = ##34#A.1 Report header data elements##34#</v>
      </c>
    </row>
    <row r="22" spans="2:7" x14ac:dyDescent="0.75">
      <c r="B22" s="14" t="str">
        <f>IF('Report-ConceptMap'!S12=0,"//---END",'Report-ConceptMap'!S12)</f>
        <v>* group[=].element[=].target.code = #DiagnosticReport.DiagnosticReport</v>
      </c>
    </row>
    <row r="23" spans="2:7" x14ac:dyDescent="0.75">
      <c r="B23" s="14" t="str">
        <f>IF('Report-ConceptMap'!S13=0,"//---END",'Report-ConceptMap'!S13)</f>
        <v>* group[=].element[=].target.display = ##34###34#</v>
      </c>
    </row>
    <row r="24" spans="2:7" x14ac:dyDescent="0.75">
      <c r="B24" s="14" t="str">
        <f>IF('Report-ConceptMap'!S14=0,"//---END",'Report-ConceptMap'!S14)</f>
        <v>* group[=].element[=].target.equivalence = #relatedto</v>
      </c>
    </row>
    <row r="25" spans="2:7" x14ac:dyDescent="0.75">
      <c r="B25" s="14" t="str">
        <f>IF('Report-ConceptMap'!S15=0,"//---END",'Report-ConceptMap'!S15)</f>
        <v/>
      </c>
      <c r="G25" s="10"/>
    </row>
    <row r="26" spans="2:7" x14ac:dyDescent="0.75">
      <c r="B26" s="14" t="str">
        <f>IF('Report-ConceptMap'!S16=0,"//---END",'Report-ConceptMap'!S16)</f>
        <v>* group[=].element[+].code = #header.subject</v>
      </c>
    </row>
    <row r="27" spans="2:7" x14ac:dyDescent="0.75">
      <c r="B27" s="14" t="str">
        <f>IF('Report-ConceptMap'!S17=0,"//---END",'Report-ConceptMap'!S17)</f>
        <v>* group[=].element[=].display = ##34#A.1.1 - A1.2 Patient/subject##34#</v>
      </c>
    </row>
    <row r="28" spans="2:7" x14ac:dyDescent="0.75">
      <c r="B28" s="14" t="str">
        <f>IF('Report-ConceptMap'!S18=0,"//---END",'Report-ConceptMap'!S18)</f>
        <v>* group[=].element[=].target.code = #DiagnosticReport.subject</v>
      </c>
    </row>
    <row r="29" spans="2:7" x14ac:dyDescent="0.75">
      <c r="B29" s="14" t="str">
        <f>IF('Report-ConceptMap'!S19=0,"//---END",'Report-ConceptMap'!S19)</f>
        <v>* group[=].element[=].target.display = ##34###34#</v>
      </c>
    </row>
    <row r="30" spans="2:7" x14ac:dyDescent="0.75">
      <c r="B30" s="14" t="str">
        <f>IF('Report-ConceptMap'!S20=0,"//---END",'Report-ConceptMap'!S20)</f>
        <v>* group[=].element[=].target.equivalence = #relatedto</v>
      </c>
    </row>
    <row r="31" spans="2:7" x14ac:dyDescent="0.75">
      <c r="B31" s="14" t="str">
        <f>IF('Report-ConceptMap'!S21=0,"//---END",'Report-ConceptMap'!S21)</f>
        <v/>
      </c>
    </row>
    <row r="32" spans="2:7" x14ac:dyDescent="0.75">
      <c r="B32" s="14" t="str">
        <f>IF('Report-ConceptMap'!S22=0,"//---END",'Report-ConceptMap'!S22)</f>
        <v>* group[=].element[+].code = #header.payer</v>
      </c>
    </row>
    <row r="33" spans="2:2" x14ac:dyDescent="0.75">
      <c r="B33" s="14" t="str">
        <f>IF('Report-ConceptMap'!S23=0,"//---END",'Report-ConceptMap'!S23)</f>
        <v>* group[=].element[=].display = ##34#A.1.3 Health insurance and payment information##34#</v>
      </c>
    </row>
    <row r="34" spans="2:2" x14ac:dyDescent="0.75">
      <c r="B34" s="14" t="str">
        <f>IF('Report-ConceptMap'!S24=0,"//---END",'Report-ConceptMap'!S24)</f>
        <v>* group[=].element[=].target.code = #DiagnosticReport.basedOn.resolve().ofType(ServiceRequest).insurance.resolve().ofType(Coverage)</v>
      </c>
    </row>
    <row r="35" spans="2:2" x14ac:dyDescent="0.75">
      <c r="B35" s="14" t="str">
        <f>IF('Report-ConceptMap'!S25=0,"//---END",'Report-ConceptMap'!S25)</f>
        <v>* group[=].element[=].target.display = ##34###34#</v>
      </c>
    </row>
    <row r="36" spans="2:2" x14ac:dyDescent="0.75">
      <c r="B36" s="14" t="str">
        <f>IF('Report-ConceptMap'!S26=0,"//---END",'Report-ConceptMap'!S26)</f>
        <v>* group[=].element[=].target.equivalence = #relatedto</v>
      </c>
    </row>
    <row r="37" spans="2:2" x14ac:dyDescent="0.75">
      <c r="B37" s="14" t="str">
        <f>IF('Report-ConceptMap'!S27=0,"//---END",'Report-ConceptMap'!S27)</f>
        <v/>
      </c>
    </row>
    <row r="38" spans="2:2" x14ac:dyDescent="0.75">
      <c r="B38" s="14" t="str">
        <f>IF('Report-ConceptMap'!S28=0,"//---END",'Report-ConceptMap'!S28)</f>
        <v>* group[=].element[+].code = #header.informationRecipient</v>
      </c>
    </row>
    <row r="39" spans="2:2" x14ac:dyDescent="0.75">
      <c r="B39" s="14" t="str">
        <f>IF('Report-ConceptMap'!S29=0,"//---END",'Report-ConceptMap'!S29)</f>
        <v>* group[=].element[=].display = ##34#A.1.4 Information recipient##34#</v>
      </c>
    </row>
    <row r="40" spans="2:2" x14ac:dyDescent="0.75">
      <c r="B40" s="14" t="str">
        <f>IF('Report-ConceptMap'!S30=0,"//---END",'Report-ConceptMap'!S30)</f>
        <v>//-- unmatched</v>
      </c>
    </row>
    <row r="41" spans="2:2" x14ac:dyDescent="0.75">
      <c r="B41" s="14" t="str">
        <f>IF('Report-ConceptMap'!S31=0,"//---END",'Report-ConceptMap'!S31)</f>
        <v>//-- unmatched</v>
      </c>
    </row>
    <row r="42" spans="2:2" x14ac:dyDescent="0.75">
      <c r="B42" s="14" t="str">
        <f>IF('Report-ConceptMap'!S32=0,"//---END",'Report-ConceptMap'!S32)</f>
        <v>* group[=].element[=].target.equivalence = #unmatched</v>
      </c>
    </row>
    <row r="43" spans="2:2" x14ac:dyDescent="0.75">
      <c r="B43" s="14" t="str">
        <f>IF('Report-ConceptMap'!S33=0,"//---END",'Report-ConceptMap'!S33)</f>
        <v/>
      </c>
    </row>
    <row r="44" spans="2:2" x14ac:dyDescent="0.75">
      <c r="B44" s="14" t="str">
        <f>IF('Report-ConceptMap'!S34=0,"//---END",'Report-ConceptMap'!S34)</f>
        <v>* group[=].element[+].code = #header.author</v>
      </c>
    </row>
    <row r="45" spans="2:2" x14ac:dyDescent="0.75">
      <c r="B45" s="14" t="str">
        <f>IF('Report-ConceptMap'!S35=0,"//---END",'Report-ConceptMap'!S35)</f>
        <v>* group[=].element[=].display = ##34#A.1.5 Author##34#</v>
      </c>
    </row>
    <row r="46" spans="2:2" x14ac:dyDescent="0.75">
      <c r="B46" s="14" t="str">
        <f>IF('Report-ConceptMap'!S36=0,"//---END",'Report-ConceptMap'!S36)</f>
        <v>* group[=].element[=].target.code = #DiagnosticReport.resultsInterpreter.resolve()</v>
      </c>
    </row>
    <row r="47" spans="2:2" x14ac:dyDescent="0.75">
      <c r="B47" s="14" t="str">
        <f>IF('Report-ConceptMap'!S37=0,"//---END",'Report-ConceptMap'!S37)</f>
        <v>* group[=].element[=].target.display = ##34###34#</v>
      </c>
    </row>
    <row r="48" spans="2:2" x14ac:dyDescent="0.75">
      <c r="B48" s="14" t="str">
        <f>IF('Report-ConceptMap'!S38=0,"//---END",'Report-ConceptMap'!S38)</f>
        <v>* group[=].element[=].target.equivalence = #relatedto</v>
      </c>
    </row>
    <row r="49" spans="2:2" x14ac:dyDescent="0.75">
      <c r="B49" s="14" t="str">
        <f>IF('Report-ConceptMap'!S39=0,"//---END",'Report-ConceptMap'!S39)</f>
        <v/>
      </c>
    </row>
    <row r="50" spans="2:2" x14ac:dyDescent="0.75">
      <c r="B50" s="14" t="str">
        <f>IF('Report-ConceptMap'!S40=0,"//---END",'Report-ConceptMap'!S40)</f>
        <v>* group[=].element[+].code = #header.author</v>
      </c>
    </row>
    <row r="51" spans="2:2" x14ac:dyDescent="0.75">
      <c r="B51" s="14" t="str">
        <f>IF('Report-ConceptMap'!S41=0,"//---END",'Report-ConceptMap'!S41)</f>
        <v>* group[=].element[=].display = ##34#A.1.5 Author##34#</v>
      </c>
    </row>
    <row r="52" spans="2:2" x14ac:dyDescent="0.75">
      <c r="B52" s="14" t="str">
        <f>IF('Report-ConceptMap'!S42=0,"//---END",'Report-ConceptMap'!S42)</f>
        <v>* group[=].element[=].target.code = #DiagnosticReport.performer.resolve()</v>
      </c>
    </row>
    <row r="53" spans="2:2" x14ac:dyDescent="0.75">
      <c r="B53" s="14" t="str">
        <f>IF('Report-ConceptMap'!S43=0,"//---END",'Report-ConceptMap'!S43)</f>
        <v>* group[=].element[=].target.display = ##34###34#</v>
      </c>
    </row>
    <row r="54" spans="2:2" x14ac:dyDescent="0.75">
      <c r="B54" s="14" t="str">
        <f>IF('Report-ConceptMap'!S44=0,"//---END",'Report-ConceptMap'!S44)</f>
        <v>* group[=].element[=].target.equivalence = #relatedto</v>
      </c>
    </row>
    <row r="55" spans="2:2" x14ac:dyDescent="0.75">
      <c r="B55" s="14" t="str">
        <f>IF('Report-ConceptMap'!S45=0,"//---END",'Report-ConceptMap'!S45)</f>
        <v>* group[=].element[=].target.comment = ##34#If resultsInterpreter does not exists##34#</v>
      </c>
    </row>
    <row r="56" spans="2:2" x14ac:dyDescent="0.75">
      <c r="B56" s="14" t="str">
        <f>IF('Report-ConceptMap'!S46=0,"//---END",'Report-ConceptMap'!S46)</f>
        <v>* group[=].element[+].code = #header.legalAuthenticator</v>
      </c>
    </row>
    <row r="57" spans="2:2" x14ac:dyDescent="0.75">
      <c r="B57" s="14" t="str">
        <f>IF('Report-ConceptMap'!S47=0,"//---END",'Report-ConceptMap'!S47)</f>
        <v>* group[=].element[=].display = ##34#A.1.6 Legal authenticator##34#</v>
      </c>
    </row>
    <row r="58" spans="2:2" x14ac:dyDescent="0.75">
      <c r="B58" s="14" t="str">
        <f>IF('Report-ConceptMap'!S48=0,"//---END",'Report-ConceptMap'!S48)</f>
        <v>//-- unmatched</v>
      </c>
    </row>
    <row r="59" spans="2:2" x14ac:dyDescent="0.75">
      <c r="B59" s="14" t="str">
        <f>IF('Report-ConceptMap'!S49=0,"//---END",'Report-ConceptMap'!S49)</f>
        <v>//-- unmatched</v>
      </c>
    </row>
    <row r="60" spans="2:2" x14ac:dyDescent="0.75">
      <c r="B60" s="14" t="str">
        <f>IF('Report-ConceptMap'!S50=0,"//---END",'Report-ConceptMap'!S50)</f>
        <v>* group[=].element[=].target.equivalence = #unmatched</v>
      </c>
    </row>
    <row r="61" spans="2:2" x14ac:dyDescent="0.75">
      <c r="B61" s="14" t="str">
        <f>IF('Report-ConceptMap'!S51=0,"//---END",'Report-ConceptMap'!S51)</f>
        <v/>
      </c>
    </row>
    <row r="62" spans="2:2" x14ac:dyDescent="0.75">
      <c r="B62" s="14" t="str">
        <f>IF('Report-ConceptMap'!S52=0,"//---END",'Report-ConceptMap'!S52)</f>
        <v>* group[=].element[+].code = #header.validator</v>
      </c>
    </row>
    <row r="63" spans="2:2" x14ac:dyDescent="0.75">
      <c r="B63" s="14" t="str">
        <f>IF('Report-ConceptMap'!S53=0,"//---END",'Report-ConceptMap'!S53)</f>
        <v>* group[=].element[=].display = ##34#A.1.7 Result validator##34#</v>
      </c>
    </row>
    <row r="64" spans="2:2" x14ac:dyDescent="0.75">
      <c r="B64" s="14" t="str">
        <f>IF('Report-ConceptMap'!S54=0,"//---END",'Report-ConceptMap'!S54)</f>
        <v>//-- unmatched</v>
      </c>
    </row>
    <row r="65" spans="2:4" x14ac:dyDescent="0.75">
      <c r="B65" s="14" t="str">
        <f>IF('Report-ConceptMap'!S55=0,"//---END",'Report-ConceptMap'!S55)</f>
        <v>//-- unmatched</v>
      </c>
    </row>
    <row r="66" spans="2:4" x14ac:dyDescent="0.75">
      <c r="B66" s="14" t="str">
        <f>IF('Report-ConceptMap'!S56=0,"//---END",'Report-ConceptMap'!S56)</f>
        <v>* group[=].element[=].target.equivalence = #unmatched</v>
      </c>
    </row>
    <row r="67" spans="2:4" x14ac:dyDescent="0.75">
      <c r="B67" s="14" t="str">
        <f>IF('Report-ConceptMap'!S57=0,"//---END",'Report-ConceptMap'!S57)</f>
        <v/>
      </c>
    </row>
    <row r="68" spans="2:4" x14ac:dyDescent="0.75">
      <c r="B68" s="14" t="str">
        <f>IF('Report-ConceptMap'!S58=0,"//---END",'Report-ConceptMap'!S58)</f>
        <v>* group[=].element[+].code = #header.metadata</v>
      </c>
    </row>
    <row r="69" spans="2:4" x14ac:dyDescent="0.75">
      <c r="B69" s="14" t="str">
        <f>IF('Report-ConceptMap'!S59=0,"//---END",'Report-ConceptMap'!S59)</f>
        <v>* group[=].element[=].display = ##34#A.1.8 Laboratory report metadata##34#</v>
      </c>
    </row>
    <row r="70" spans="2:4" x14ac:dyDescent="0.75">
      <c r="B70" s="14" t="str">
        <f>IF('Report-ConceptMap'!S60=0,"//---END",'Report-ConceptMap'!S60)</f>
        <v>//-- unmatched</v>
      </c>
      <c r="D70" s="79"/>
    </row>
    <row r="71" spans="2:4" x14ac:dyDescent="0.75">
      <c r="B71" s="14" t="str">
        <f>IF('Report-ConceptMap'!S61=0,"//---END",'Report-ConceptMap'!S61)</f>
        <v>//-- unmatched</v>
      </c>
    </row>
    <row r="72" spans="2:4" x14ac:dyDescent="0.75">
      <c r="B72" s="14" t="str">
        <f>IF('Report-ConceptMap'!S62=0,"//---END",'Report-ConceptMap'!S62)</f>
        <v>* group[=].element[=].target.equivalence = #unmatched</v>
      </c>
    </row>
    <row r="73" spans="2:4" x14ac:dyDescent="0.75">
      <c r="B73" s="14" t="str">
        <f>IF('Report-ConceptMap'!S63=0,"//---END",'Report-ConceptMap'!S63)</f>
        <v/>
      </c>
    </row>
    <row r="74" spans="2:4" x14ac:dyDescent="0.75">
      <c r="B74" s="14" t="str">
        <f>IF('Report-ConceptMap'!S64=0,"//---END",'Report-ConceptMap'!S64)</f>
        <v>* group[=].element[+].code = #header.metadata.type</v>
      </c>
    </row>
    <row r="75" spans="2:4" x14ac:dyDescent="0.75">
      <c r="B75" s="14" t="str">
        <f>IF('Report-ConceptMap'!S65=0,"//---END",'Report-ConceptMap'!S65)</f>
        <v>* group[=].element[=].display = ##34#A.1.8.1 Document type##34#</v>
      </c>
    </row>
    <row r="76" spans="2:4" x14ac:dyDescent="0.75">
      <c r="B76" s="14" t="str">
        <f>IF('Report-ConceptMap'!S66=0,"//---END",'Report-ConceptMap'!S66)</f>
        <v>* group[=].element[=].target.code = #DiagnosticReport.code</v>
      </c>
    </row>
    <row r="77" spans="2:4" x14ac:dyDescent="0.75">
      <c r="B77" s="14" t="str">
        <f>IF('Report-ConceptMap'!S67=0,"//---END",'Report-ConceptMap'!S67)</f>
        <v>* group[=].element[=].target.display = ##34###34#</v>
      </c>
    </row>
    <row r="78" spans="2:4" x14ac:dyDescent="0.75">
      <c r="B78" s="14" t="str">
        <f>IF('Report-ConceptMap'!S68=0,"//---END",'Report-ConceptMap'!S68)</f>
        <v>* group[=].element[=].target.equivalence = #equivalent</v>
      </c>
    </row>
    <row r="79" spans="2:4" x14ac:dyDescent="0.75">
      <c r="B79" s="14" t="str">
        <f>IF('Report-ConceptMap'!S69=0,"//---END",'Report-ConceptMap'!S69)</f>
        <v/>
      </c>
    </row>
    <row r="80" spans="2:4" x14ac:dyDescent="0.75">
      <c r="B80" s="14" t="str">
        <f>IF('Report-ConceptMap'!S70=0,"//---END",'Report-ConceptMap'!S70)</f>
        <v>* group[=].element[+].code = #header.metadata.status</v>
      </c>
    </row>
    <row r="81" spans="2:2" x14ac:dyDescent="0.75">
      <c r="B81" s="14" t="str">
        <f>IF('Report-ConceptMap'!S71=0,"//---END",'Report-ConceptMap'!S71)</f>
        <v>* group[=].element[=].display = ##34#A.1.8.2 Document status##34#</v>
      </c>
    </row>
    <row r="82" spans="2:2" x14ac:dyDescent="0.75">
      <c r="B82" s="14" t="str">
        <f>IF('Report-ConceptMap'!S72=0,"//---END",'Report-ConceptMap'!S72)</f>
        <v>* group[=].element[=].target.code = #DiagnosticReport.status</v>
      </c>
    </row>
    <row r="83" spans="2:2" x14ac:dyDescent="0.75">
      <c r="B83" s="14" t="str">
        <f>IF('Report-ConceptMap'!S73=0,"//---END",'Report-ConceptMap'!S73)</f>
        <v>* group[=].element[=].target.display = ##34###34#</v>
      </c>
    </row>
    <row r="84" spans="2:2" x14ac:dyDescent="0.75">
      <c r="B84" s="14" t="str">
        <f>IF('Report-ConceptMap'!S74=0,"//---END",'Report-ConceptMap'!S74)</f>
        <v>* group[=].element[=].target.equivalence = #relatedto</v>
      </c>
    </row>
    <row r="85" spans="2:2" x14ac:dyDescent="0.75">
      <c r="B85" s="14" t="str">
        <f>IF('Report-ConceptMap'!S75=0,"//---END",'Report-ConceptMap'!S75)</f>
        <v/>
      </c>
    </row>
    <row r="86" spans="2:2" x14ac:dyDescent="0.75">
      <c r="B86" s="14" t="str">
        <f>IF('Report-ConceptMap'!S76=0,"//---END",'Report-ConceptMap'!S76)</f>
        <v>* group[=].element[+].code = #header.metadata.dateTime</v>
      </c>
    </row>
    <row r="87" spans="2:2" x14ac:dyDescent="0.75">
      <c r="B87" s="14" t="str">
        <f>IF('Report-ConceptMap'!S77=0,"//---END",'Report-ConceptMap'!S77)</f>
        <v>* group[=].element[=].display = ##34#A.1.8.3 Report date and time##34#</v>
      </c>
    </row>
    <row r="88" spans="2:2" x14ac:dyDescent="0.75">
      <c r="B88" s="14" t="str">
        <f>IF('Report-ConceptMap'!S78=0,"//---END",'Report-ConceptMap'!S78)</f>
        <v>* group[=].element[=].target.code = #DiagnosticReport.effectiveDateTime</v>
      </c>
    </row>
    <row r="89" spans="2:2" x14ac:dyDescent="0.75">
      <c r="B89" s="14" t="str">
        <f>IF('Report-ConceptMap'!S79=0,"//---END",'Report-ConceptMap'!S79)</f>
        <v>* group[=].element[=].target.display = ##34###34#</v>
      </c>
    </row>
    <row r="90" spans="2:2" x14ac:dyDescent="0.75">
      <c r="B90" s="14" t="str">
        <f>IF('Report-ConceptMap'!S80=0,"//---END",'Report-ConceptMap'!S80)</f>
        <v>* group[=].element[=].target.equivalence = #equivalent</v>
      </c>
    </row>
    <row r="91" spans="2:2" x14ac:dyDescent="0.75">
      <c r="B91" s="14" t="str">
        <f>IF('Report-ConceptMap'!S81=0,"//---END",'Report-ConceptMap'!S81)</f>
        <v/>
      </c>
    </row>
    <row r="92" spans="2:2" x14ac:dyDescent="0.75">
      <c r="B92" s="14" t="str">
        <f>IF('Report-ConceptMap'!S82=0,"//---END",'Report-ConceptMap'!S82)</f>
        <v>* group[=].element[+].code = #header.metadata.title</v>
      </c>
    </row>
    <row r="93" spans="2:2" x14ac:dyDescent="0.75">
      <c r="B93" s="14" t="str">
        <f>IF('Report-ConceptMap'!S83=0,"//---END",'Report-ConceptMap'!S83)</f>
        <v>* group[=].element[=].display = ##34#A.1.8.4 Document title##34#</v>
      </c>
    </row>
    <row r="94" spans="2:2" x14ac:dyDescent="0.75">
      <c r="B94" s="14" t="str">
        <f>IF('Report-ConceptMap'!S84=0,"//---END",'Report-ConceptMap'!S84)</f>
        <v>//-- unmatched</v>
      </c>
    </row>
    <row r="95" spans="2:2" x14ac:dyDescent="0.75">
      <c r="B95" s="14" t="str">
        <f>IF('Report-ConceptMap'!S85=0,"//---END",'Report-ConceptMap'!S85)</f>
        <v>//-- unmatched</v>
      </c>
    </row>
    <row r="96" spans="2:2" x14ac:dyDescent="0.75">
      <c r="B96" s="14" t="str">
        <f>IF('Report-ConceptMap'!S86=0,"//---END",'Report-ConceptMap'!S86)</f>
        <v>* group[=].element[=].target.equivalence = #unmatched</v>
      </c>
    </row>
    <row r="97" spans="2:2" x14ac:dyDescent="0.75">
      <c r="B97" s="14" t="str">
        <f>IF('Report-ConceptMap'!S87=0,"//---END",'Report-ConceptMap'!S87)</f>
        <v/>
      </c>
    </row>
    <row r="98" spans="2:2" x14ac:dyDescent="0.75">
      <c r="B98" s="14" t="str">
        <f>IF('Report-ConceptMap'!S88=0,"//---END",'Report-ConceptMap'!S88)</f>
        <v>* group[=].element[+].code = #header.metadata.custodian</v>
      </c>
    </row>
    <row r="99" spans="2:2" x14ac:dyDescent="0.75">
      <c r="B99" s="14" t="str">
        <f>IF('Report-ConceptMap'!S89=0,"//---END",'Report-ConceptMap'!S89)</f>
        <v>* group[=].element[=].display = ##34#A.1.8.5 Report custodian##34#</v>
      </c>
    </row>
    <row r="100" spans="2:2" x14ac:dyDescent="0.75">
      <c r="B100" s="14" t="str">
        <f>IF('Report-ConceptMap'!S90=0,"//---END",'Report-ConceptMap'!S90)</f>
        <v>//-- unmatched</v>
      </c>
    </row>
    <row r="101" spans="2:2" x14ac:dyDescent="0.75">
      <c r="B101" s="14" t="str">
        <f>IF('Report-ConceptMap'!S91=0,"//---END",'Report-ConceptMap'!S91)</f>
        <v>//-- unmatched</v>
      </c>
    </row>
    <row r="102" spans="2:2" x14ac:dyDescent="0.75">
      <c r="B102" s="14" t="str">
        <f>IF('Report-ConceptMap'!S92=0,"//---END",'Report-ConceptMap'!S92)</f>
        <v>* group[=].element[=].target.equivalence = #unmatched</v>
      </c>
    </row>
    <row r="103" spans="2:2" x14ac:dyDescent="0.75">
      <c r="B103" s="14" t="str">
        <f>IF('Report-ConceptMap'!S93=0,"//---END",'Report-ConceptMap'!S93)</f>
        <v/>
      </c>
    </row>
    <row r="104" spans="2:2" x14ac:dyDescent="0.75">
      <c r="B104" s="14" t="str">
        <f>IF('Report-ConceptMap'!S94=0,"//---END",'Report-ConceptMap'!S94)</f>
        <v>* group[=].element[+].code = #order</v>
      </c>
    </row>
    <row r="105" spans="2:2" x14ac:dyDescent="0.75">
      <c r="B105" s="14" t="str">
        <f>IF('Report-ConceptMap'!S95=0,"//---END",'Report-ConceptMap'!S95)</f>
        <v>* group[=].element[=].display = ##34#A.2-A.3 Order##34#</v>
      </c>
    </row>
    <row r="106" spans="2:2" x14ac:dyDescent="0.75">
      <c r="B106" s="14" t="str">
        <f>IF('Report-ConceptMap'!S96=0,"//---END",'Report-ConceptMap'!S96)</f>
        <v>* group[=].element[=].target.code = #DiagnosticReport.basedOn.resolve().ofType(ServiceRequest)</v>
      </c>
    </row>
    <row r="107" spans="2:2" x14ac:dyDescent="0.75">
      <c r="B107" s="14" t="str">
        <f>IF('Report-ConceptMap'!S97=0,"//---END",'Report-ConceptMap'!S97)</f>
        <v>* group[=].element[=].target.display = ##34###34#</v>
      </c>
    </row>
    <row r="108" spans="2:2" x14ac:dyDescent="0.75">
      <c r="B108" s="14" t="str">
        <f>IF('Report-ConceptMap'!S98=0,"//---END",'Report-ConceptMap'!S98)</f>
        <v>* group[=].element[=].target.equivalence = #relatedto</v>
      </c>
    </row>
    <row r="109" spans="2:2" x14ac:dyDescent="0.75">
      <c r="B109" s="14" t="str">
        <f>IF('Report-ConceptMap'!S99=0,"//---END",'Report-ConceptMap'!S99)</f>
        <v/>
      </c>
    </row>
    <row r="110" spans="2:2" x14ac:dyDescent="0.75">
      <c r="B110" s="14" t="str">
        <f>IF('Report-ConceptMap'!S100=0,"//---END",'Report-ConceptMap'!S100)</f>
        <v>* group[=].element[+].code = #specimen</v>
      </c>
    </row>
    <row r="111" spans="2:2" x14ac:dyDescent="0.75">
      <c r="B111" s="14" t="str">
        <f>IF('Report-ConceptMap'!S101=0,"//---END",'Report-ConceptMap'!S101)</f>
        <v>* group[=].element[=].display = ##34#A.4 Specimen information##34#</v>
      </c>
    </row>
    <row r="112" spans="2:2" x14ac:dyDescent="0.75">
      <c r="B112" s="14" t="str">
        <f>IF('Report-ConceptMap'!S102=0,"//---END",'Report-ConceptMap'!S102)</f>
        <v>* group[=].element[=].target.code = #DiagnosticReport.specimen.resolve()</v>
      </c>
    </row>
    <row r="113" spans="2:2" x14ac:dyDescent="0.75">
      <c r="B113" s="14" t="str">
        <f>IF('Report-ConceptMap'!S103=0,"//---END",'Report-ConceptMap'!S103)</f>
        <v>* group[=].element[=].target.display = ##34###34#</v>
      </c>
    </row>
    <row r="114" spans="2:2" x14ac:dyDescent="0.75">
      <c r="B114" s="14" t="str">
        <f>IF('Report-ConceptMap'!S104=0,"//---END",'Report-ConceptMap'!S104)</f>
        <v>* group[=].element[=].target.equivalence = #relatedto</v>
      </c>
    </row>
    <row r="115" spans="2:2" x14ac:dyDescent="0.75">
      <c r="B115" s="14" t="str">
        <f>IF('Report-ConceptMap'!S105=0,"//---END",'Report-ConceptMap'!S105)</f>
        <v/>
      </c>
    </row>
    <row r="116" spans="2:2" x14ac:dyDescent="0.75">
      <c r="B116" s="14" t="str">
        <f>IF('Report-ConceptMap'!S106=0,"//---END",'Report-ConceptMap'!S106)</f>
        <v>* group[=].element[+].code = #result</v>
      </c>
    </row>
    <row r="117" spans="2:2" x14ac:dyDescent="0.75">
      <c r="B117" s="14" t="str">
        <f>IF('Report-ConceptMap'!S107=0,"//---END",'Report-ConceptMap'!S107)</f>
        <v>* group[=].element[=].display = ##34#A.5 Results data elements##34#</v>
      </c>
    </row>
    <row r="118" spans="2:2" x14ac:dyDescent="0.75">
      <c r="B118" s="14" t="str">
        <f>IF('Report-ConceptMap'!S108=0,"//---END",'Report-ConceptMap'!S108)</f>
        <v>* group[=].element[=].target.code = #DiagnosticReport.result.resolve()</v>
      </c>
    </row>
    <row r="119" spans="2:2" x14ac:dyDescent="0.75">
      <c r="B119" s="14" t="str">
        <f>IF('Report-ConceptMap'!S109=0,"//---END",'Report-ConceptMap'!S109)</f>
        <v>* group[=].element[=].target.display = ##34###34#</v>
      </c>
    </row>
    <row r="120" spans="2:2" x14ac:dyDescent="0.75">
      <c r="B120" s="14" t="str">
        <f>IF('Report-ConceptMap'!S110=0,"//---END",'Report-ConceptMap'!S110)</f>
        <v>* group[=].element[=].target.equivalence = #relatedto</v>
      </c>
    </row>
    <row r="121" spans="2:2" x14ac:dyDescent="0.75">
      <c r="B121" s="14" t="str">
        <f>IF('Report-ConceptMap'!S111=0,"//---END",'Report-ConceptMap'!S111)</f>
        <v/>
      </c>
    </row>
    <row r="122" spans="2:2" x14ac:dyDescent="0.75">
      <c r="B122" s="14" t="str">
        <f>IF('Report-ConceptMap'!S112=0,"//---END",'Report-ConceptMap'!S112)</f>
        <v>//---END</v>
      </c>
    </row>
    <row r="123" spans="2:2" x14ac:dyDescent="0.75">
      <c r="B123" s="14" t="str">
        <f>IF('Report-ConceptMap'!S113=0,"//---END",'Report-ConceptMap'!S113)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433</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529</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530</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531</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640</v>
      </c>
      <c r="C14" s="16" t="s">
        <v>563</v>
      </c>
      <c r="D14" s="52" t="s">
        <v>563</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641</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642</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2" t="s">
        <v>57</v>
      </c>
      <c r="D28" s="92" t="s">
        <v>58</v>
      </c>
      <c r="E28" s="40" t="s">
        <v>59</v>
      </c>
      <c r="F28" s="95"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3"/>
      <c r="D29" s="93"/>
      <c r="E29" s="41"/>
      <c r="F29" s="96"/>
      <c r="I29" s="1" t="str">
        <f t="shared" si="2"/>
        <v xml:space="preserve"> - Preferred system(s): </v>
      </c>
    </row>
    <row r="30" spans="2:9" ht="30.25" customHeight="1" thickBot="1" x14ac:dyDescent="0.9">
      <c r="B30" t="str">
        <f t="shared" si="1"/>
        <v xml:space="preserve"> </v>
      </c>
      <c r="C30" s="94"/>
      <c r="D30" s="94"/>
      <c r="E30" s="37" t="s">
        <v>61</v>
      </c>
      <c r="F30" s="9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84" t="s">
        <v>323</v>
      </c>
      <c r="D31" s="85"/>
      <c r="E31" s="85"/>
      <c r="F31" s="86"/>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532</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84" t="s">
        <v>331</v>
      </c>
      <c r="D23" s="85"/>
      <c r="E23" s="85"/>
      <c r="F23" s="86"/>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638</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572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571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570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434</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533</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84" t="s">
        <v>332</v>
      </c>
      <c r="D26" s="85"/>
      <c r="E26" s="85"/>
      <c r="F26" s="86"/>
    </row>
    <row r="27" spans="2:9" ht="409.6" thickBot="1" x14ac:dyDescent="0.9">
      <c r="B27" t="str">
        <f t="shared" ref="B27:B29" si="2">CONCATENATE(C27," ",D27)</f>
        <v>A.1.4.1 Recipient identifier</v>
      </c>
      <c r="C27" s="36" t="s">
        <v>84</v>
      </c>
      <c r="D27" s="37" t="s">
        <v>85</v>
      </c>
      <c r="E27" s="37" t="s">
        <v>534</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535</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575</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574</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577</v>
      </c>
      <c r="E13" s="4" t="str">
        <f t="shared" si="0"/>
        <v>* -&gt; ##34#RelatedPerson##34#</v>
      </c>
      <c r="H13" s="10"/>
      <c r="I13" s="10"/>
      <c r="J13" s="10"/>
      <c r="K13" s="10"/>
      <c r="L13" s="10"/>
      <c r="M13" s="10"/>
      <c r="N13" s="10"/>
      <c r="O13" s="10"/>
    </row>
    <row r="14" spans="1:15" x14ac:dyDescent="0.75">
      <c r="A14" s="9"/>
      <c r="B14" s="9" t="str">
        <f>'A1.4 Recipient'!B8</f>
        <v>identifier</v>
      </c>
      <c r="C14" s="9" t="s">
        <v>576</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578</v>
      </c>
      <c r="E15" s="14" t="str">
        <f t="shared" si="1"/>
        <v>* name -&gt; ##34#Organization.name##34#</v>
      </c>
      <c r="G15" s="1"/>
      <c r="H15" s="10"/>
      <c r="I15" s="10"/>
      <c r="J15" s="10"/>
      <c r="K15" s="10"/>
      <c r="L15" s="10"/>
      <c r="M15" s="10"/>
      <c r="N15" s="10"/>
      <c r="O15" s="10"/>
    </row>
    <row r="16" spans="1:15" x14ac:dyDescent="0.75">
      <c r="A16" s="9"/>
      <c r="B16" s="9" t="str">
        <f>'A1.4 Recipient'!$B$9</f>
        <v>name</v>
      </c>
      <c r="C16" s="8" t="s">
        <v>582</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581</v>
      </c>
      <c r="E17" s="14" t="str">
        <f t="shared" si="1"/>
        <v>* name -&gt; ##34#Practictioner.name##34#</v>
      </c>
      <c r="G17" s="1"/>
      <c r="H17" s="10"/>
      <c r="I17" s="10"/>
      <c r="J17" s="10"/>
      <c r="K17" s="10"/>
      <c r="L17" s="10"/>
      <c r="M17" s="10"/>
      <c r="N17" s="10"/>
      <c r="O17" s="10"/>
    </row>
    <row r="18" spans="1:15" x14ac:dyDescent="0.75">
      <c r="A18" s="9"/>
      <c r="B18" s="9" t="str">
        <f>'A1.4 Recipient'!$B$9</f>
        <v>name</v>
      </c>
      <c r="C18" s="8" t="s">
        <v>579</v>
      </c>
      <c r="E18" s="14" t="str">
        <f t="shared" si="1"/>
        <v>* name -&gt; ##34#Patientn.name##34#</v>
      </c>
      <c r="G18" s="1"/>
      <c r="H18" s="10"/>
      <c r="I18" s="10"/>
      <c r="J18" s="10"/>
      <c r="K18" s="10"/>
      <c r="L18" s="10"/>
      <c r="M18" s="10"/>
      <c r="N18" s="10"/>
      <c r="O18" s="10"/>
    </row>
    <row r="19" spans="1:15" x14ac:dyDescent="0.75">
      <c r="A19" s="9"/>
      <c r="B19" s="9" t="str">
        <f>'A1.4 Recipient'!$B$9</f>
        <v>name</v>
      </c>
      <c r="C19" s="8" t="s">
        <v>580</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583</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537</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4" t="s">
        <v>93</v>
      </c>
      <c r="D26" s="85"/>
      <c r="E26" s="85"/>
      <c r="F26" s="86"/>
    </row>
    <row r="27" spans="2:9" ht="409.6" thickBot="1" x14ac:dyDescent="0.9">
      <c r="B27" t="str">
        <f t="shared" ref="B27:B29" si="2">CONCATENATE(C27," ",D27)</f>
        <v>A.1.5.1 Author identifier</v>
      </c>
      <c r="C27" s="36" t="s">
        <v>94</v>
      </c>
      <c r="D27" s="37" t="s">
        <v>95</v>
      </c>
      <c r="E27" s="37" t="s">
        <v>539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540</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584</v>
      </c>
      <c r="E9" s="4" t="str">
        <f>CONCATENATE("* -&gt; ##34#",C9,"##34#")</f>
        <v>* -&gt; ##34#Composition.author.resolve()##34#</v>
      </c>
      <c r="H9" s="10"/>
      <c r="I9" s="10"/>
      <c r="J9" s="10"/>
      <c r="K9" s="10"/>
      <c r="L9" s="10"/>
      <c r="M9" s="10"/>
      <c r="N9" s="10"/>
      <c r="O9" s="10"/>
    </row>
    <row r="10" spans="1:15" ht="44.25" x14ac:dyDescent="0.75">
      <c r="A10" s="9"/>
      <c r="B10" s="62" t="str">
        <f>'A1.5 Author'!$B$8</f>
        <v>identifier</v>
      </c>
      <c r="C10" s="9" t="s">
        <v>585</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586</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587</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588</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542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541</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4" t="s">
        <v>102</v>
      </c>
      <c r="D26" s="85"/>
      <c r="E26" s="85"/>
      <c r="F26" s="86"/>
    </row>
    <row r="27" spans="2:9" ht="384.75" customHeight="1" thickBot="1" x14ac:dyDescent="0.9">
      <c r="B27" t="str">
        <f t="shared" ref="B27:B30" si="2">CONCATENATE(C27," ",D27)</f>
        <v>A.1.6.1 Legal authenticator identifier</v>
      </c>
      <c r="C27" s="36" t="s">
        <v>103</v>
      </c>
      <c r="D27" s="39" t="s">
        <v>104</v>
      </c>
      <c r="E27" s="37" t="s">
        <v>543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544</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589</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590</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594</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585</v>
      </c>
    </row>
    <row r="31" spans="1:15" x14ac:dyDescent="0.75">
      <c r="C31" s="9" t="s">
        <v>586</v>
      </c>
      <c r="E31" s="22"/>
    </row>
    <row r="32" spans="1:15" x14ac:dyDescent="0.75">
      <c r="C32" s="9" t="s">
        <v>587</v>
      </c>
    </row>
    <row r="33" spans="3:3" x14ac:dyDescent="0.75">
      <c r="C33" s="9" t="s">
        <v>588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639</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546</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550</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4" t="s">
        <v>114</v>
      </c>
      <c r="D26" s="85"/>
      <c r="E26" s="85"/>
      <c r="F26" s="86"/>
    </row>
    <row r="27" spans="2:9" ht="384.75" thickBot="1" x14ac:dyDescent="0.9">
      <c r="B27" t="str">
        <f t="shared" ref="B27:B30" si="2">CONCATENATE(C27," ",D27)</f>
        <v>A.1.7.1 Result validator identifier</v>
      </c>
      <c r="C27" s="36" t="s">
        <v>115</v>
      </c>
      <c r="D27" s="39" t="s">
        <v>116</v>
      </c>
      <c r="E27" s="37" t="s">
        <v>547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548</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549</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589</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590</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594</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U6" sqref="U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427</v>
      </c>
      <c r="I6" s="26" t="str">
        <f>CONCATENATE("Title: ##34#",B6,"##34#")</f>
        <v>Title: ##34#Order (A2, A3)##34#</v>
      </c>
    </row>
    <row r="7" spans="1:11" x14ac:dyDescent="0.75">
      <c r="A7" s="46" t="s">
        <v>5</v>
      </c>
      <c r="B7" s="19" t="s">
        <v>428</v>
      </c>
      <c r="C7" s="12"/>
      <c r="D7" s="2"/>
      <c r="E7" s="57"/>
      <c r="F7" s="3" t="s">
        <v>9</v>
      </c>
      <c r="G7" s="3" t="s">
        <v>10</v>
      </c>
      <c r="I7" s="26" t="str">
        <f>CONCATENATE("Description: "," ##334#",B7,"##334#",)</f>
        <v>Description:  ##334#Order information (A.2) and reason (A3)##334#</v>
      </c>
    </row>
    <row r="8" spans="1:11" ht="44.25" x14ac:dyDescent="0.75">
      <c r="A8" s="9">
        <v>1</v>
      </c>
      <c r="B8" s="9" t="s">
        <v>440</v>
      </c>
      <c r="C8" s="14" t="s">
        <v>431</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441</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442</v>
      </c>
      <c r="C10" s="14" t="s">
        <v>418</v>
      </c>
      <c r="D10" s="14" t="s">
        <v>429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443</v>
      </c>
      <c r="C11" s="1" t="s">
        <v>419</v>
      </c>
      <c r="D11" s="60" t="s">
        <v>551</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444</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445</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446</v>
      </c>
      <c r="C14" s="52" t="s">
        <v>553</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437</v>
      </c>
      <c r="C15" s="14" t="s">
        <v>430</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438</v>
      </c>
      <c r="C16" s="14" t="s">
        <v>423</v>
      </c>
      <c r="D16" s="14" t="s">
        <v>439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98" t="s">
        <v>144</v>
      </c>
      <c r="D26" s="99"/>
      <c r="E26" s="99"/>
      <c r="F26" s="100"/>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551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552</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1" t="s">
        <v>162</v>
      </c>
      <c r="D33" s="102"/>
      <c r="E33" s="102"/>
      <c r="F33" s="103"/>
    </row>
    <row r="34" spans="2:9" ht="80" x14ac:dyDescent="0.75">
      <c r="B34" t="str">
        <f t="shared" si="1"/>
        <v>A.3.1 Problem / diagnosis / condition description</v>
      </c>
      <c r="C34" s="92" t="s">
        <v>163</v>
      </c>
      <c r="D34" s="92" t="s">
        <v>164</v>
      </c>
      <c r="E34" s="9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3"/>
      <c r="D35" s="93"/>
      <c r="E35" s="93"/>
      <c r="F35" s="43" t="s">
        <v>167</v>
      </c>
      <c r="I35" s="1" t="str">
        <f t="shared" si="2"/>
        <v xml:space="preserve"> - Preferred system(s): SNOMED CT</v>
      </c>
    </row>
    <row r="36" spans="2:9" ht="32.75" thickBot="1" x14ac:dyDescent="0.9">
      <c r="C36" s="94"/>
      <c r="D36" s="94"/>
      <c r="E36" s="94"/>
      <c r="F36" s="39" t="s">
        <v>168</v>
      </c>
      <c r="I36" s="1" t="str">
        <f t="shared" si="2"/>
        <v xml:space="preserve"> - Preferred system(s): Orphacode</v>
      </c>
    </row>
    <row r="39" spans="2:9" ht="59" x14ac:dyDescent="0.75">
      <c r="D39" s="1"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Order!B9</f>
        <v>orderDetails.identifier</v>
      </c>
      <c r="C11" s="9" t="s">
        <v>597</v>
      </c>
      <c r="E11" s="14" t="str">
        <f t="shared" si="0"/>
        <v>* orderDetails.identifier -&gt; ##34#ServiceRequest.identifier##34#</v>
      </c>
      <c r="H11" s="10"/>
      <c r="I11" s="10"/>
      <c r="J11" s="10"/>
      <c r="K11" s="10"/>
      <c r="L11" s="10"/>
      <c r="M11" s="10"/>
      <c r="N11" s="10"/>
      <c r="O11" s="10"/>
    </row>
    <row r="12" spans="1:15" x14ac:dyDescent="0.75">
      <c r="A12" s="9"/>
      <c r="B12" s="9" t="str">
        <f>Order!B10</f>
        <v>orderDetails.dateTime</v>
      </c>
      <c r="C12" s="9" t="s">
        <v>598</v>
      </c>
      <c r="E12" s="14" t="str">
        <f t="shared" si="0"/>
        <v>* orderDetails.dateTime -&gt; ##34#ServiceRequest.authoredOn##34#</v>
      </c>
      <c r="H12" s="10"/>
      <c r="I12" s="10"/>
      <c r="J12" s="10"/>
      <c r="K12" s="10"/>
      <c r="L12" s="10"/>
      <c r="M12" s="10"/>
      <c r="N12" s="10"/>
      <c r="O12" s="10"/>
    </row>
    <row r="13" spans="1:15" ht="29.5" x14ac:dyDescent="0.75">
      <c r="A13" s="9"/>
      <c r="B13" s="62" t="str">
        <f>Order!$B$11</f>
        <v>orderDetails.orderPlacerIdentifier</v>
      </c>
      <c r="C13" s="9" t="s">
        <v>599</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Order!$B$11</f>
        <v>orderDetails.orderPlacerIdentifier</v>
      </c>
      <c r="C14" s="9" t="s">
        <v>600</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Order!B12</f>
        <v>orderDetails.orderPlacerName</v>
      </c>
      <c r="C15" s="9" t="s">
        <v>601</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Order!$B$13</f>
        <v>orderDetails.orderPlacerContacts</v>
      </c>
      <c r="C16" s="9" t="s">
        <v>604</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Order!$B$13</f>
        <v>orderDetails.orderPlacerContacts</v>
      </c>
      <c r="C17" s="9" t="s">
        <v>605</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Order!$B$14</f>
        <v>orderDetails.orderPlacerOrganization</v>
      </c>
      <c r="C18" s="9" t="s">
        <v>602</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Order!$B$14</f>
        <v>orderDetails.orderPlacerOrganization</v>
      </c>
      <c r="C19" s="9" t="s">
        <v>603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Order!B15</f>
        <v>reason</v>
      </c>
      <c r="C20" s="9" t="s">
        <v>606</v>
      </c>
      <c r="E20" s="14" t="str">
        <f t="shared" si="0"/>
        <v>* reason -&gt; ##34#ServiceRequest.reasonCode##34#</v>
      </c>
    </row>
    <row r="21" spans="1:15" x14ac:dyDescent="0.75">
      <c r="A21" s="9"/>
      <c r="B21" s="9" t="str">
        <f>Order!B16</f>
        <v>reason.code</v>
      </c>
      <c r="C21" s="9" t="s">
        <v>606</v>
      </c>
      <c r="E21" s="14" t="str">
        <f t="shared" si="0"/>
        <v>* reason.code -&gt; ##34#ServiceRequest.reasonCode##34#</v>
      </c>
    </row>
    <row r="22" spans="1:15" x14ac:dyDescent="0.75">
      <c r="A22" s="9"/>
      <c r="B22" s="9">
        <f>Order!B17</f>
        <v>0</v>
      </c>
      <c r="C22" s="53" t="s">
        <v>354</v>
      </c>
      <c r="E22" s="14" t="str">
        <f t="shared" si="0"/>
        <v>*  -&gt; ##34###34#</v>
      </c>
    </row>
    <row r="23" spans="1:15" x14ac:dyDescent="0.75">
      <c r="A23" s="9"/>
      <c r="B23" s="9">
        <f>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Order!I1</f>
        <v>// -------------------------------------------------------------------------------</v>
      </c>
    </row>
    <row r="2" spans="3:7" ht="16.75" thickBot="1" x14ac:dyDescent="0.9">
      <c r="C2" s="33" t="str">
        <f>Order!I2</f>
        <v>//  Logical Model</v>
      </c>
      <c r="G2" s="56" t="s">
        <v>447</v>
      </c>
    </row>
    <row r="3" spans="3:7" x14ac:dyDescent="0.75">
      <c r="C3" s="33" t="str">
        <f>Order!I3</f>
        <v>// -------------------------------------------------------------------------------</v>
      </c>
    </row>
    <row r="4" spans="3:7" x14ac:dyDescent="0.75">
      <c r="C4" s="25" t="str">
        <f>Order!I4</f>
        <v>Logical: OrderLabEhn</v>
      </c>
    </row>
    <row r="5" spans="3:7" x14ac:dyDescent="0.75">
      <c r="C5" s="25" t="str">
        <f>Order!I5</f>
        <v>Id: Order</v>
      </c>
    </row>
    <row r="6" spans="3:7" x14ac:dyDescent="0.75">
      <c r="C6" s="25" t="str">
        <f>Order!I6</f>
        <v>Title: ##34#Order (A2, A3)##34#</v>
      </c>
    </row>
    <row r="7" spans="3:7" x14ac:dyDescent="0.75">
      <c r="C7" s="25" t="str">
        <f>Order!I7</f>
        <v>Description:  ##334#Order information (A.2) and reason (A3)##334#</v>
      </c>
    </row>
    <row r="8" spans="3:7" ht="29.5" x14ac:dyDescent="0.75">
      <c r="C8" s="14" t="str">
        <f>IF(Order!I8="*  ..  ##34###34# ##334###334#","//--- END",Order!I8)</f>
        <v>* orderDetails 0..1 BackboneElement ##34#A.2 Order information##34# ##334#A.2 Order information (Laboratory Result Report could respond to multiple test orders) ##334#</v>
      </c>
    </row>
    <row r="9" spans="3:7" ht="29.5" x14ac:dyDescent="0.75">
      <c r="C9" s="14" t="str">
        <f>IF(Order!I9="*  ..  ##34###34# ##334###334#","//--- END",Order!I9)</f>
        <v>* orderDetails.identifier 0..* Identifier ##34#A.2.1 Order Id##34# ##334#An identifier of the laboratory test order. Laboratory Result Report may respond to multiple orders.##334#</v>
      </c>
    </row>
    <row r="10" spans="3:7" ht="29.5" x14ac:dyDescent="0.75">
      <c r="C10" s="14" t="str">
        <f>IF(Order!I10="*  ..  ##34###34# ##334###334#","//--- END",Order!I10)</f>
        <v>* orderDetails.dateTime 0..* dateTime ##34#A.2.2 Order date and time##34# ##334#Date and time of the order placement. - Preferred system(s): ISO 8601##334#</v>
      </c>
      <c r="E10" t="s">
        <v>307</v>
      </c>
    </row>
    <row r="11" spans="3:7" ht="59" x14ac:dyDescent="0.75">
      <c r="C11" s="14"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IF(Order!I12="*  ..  ##34###34# ##334###334#","//--- END",Order!I12)</f>
        <v>* orderDetails.orderPlacerName 0..* HumanName ##34#A.2.4 Order placer name##34# ##334#Person name.##334#</v>
      </c>
    </row>
    <row r="13" spans="3:7" ht="29.5" x14ac:dyDescent="0.75">
      <c r="C13" s="14" t="str">
        <f>IF(Order!I13="*  ..  ##34###34# ##334###334#","//--- END",Order!I13)</f>
        <v>* orderDetails.orderPlacerContacts 0..* BackboneElement ##34#A.2.5 Order placer contact details##34# ##334#Contact details of order placer (address and telecom details).##334#</v>
      </c>
    </row>
    <row r="14" spans="3:7" ht="29.5" x14ac:dyDescent="0.75">
      <c r="C14" s="14" t="str">
        <f>IF(Order!I14="*  ..  ##34###34# ##334###334#","//--- END",Order!I14)</f>
        <v>* orderDetails.orderPlacerOrganization 0..* Organization ##34#A.2.6 Order placer organization##34# ##334#Order placer organization information.##334#</v>
      </c>
    </row>
    <row r="15" spans="3:7" ht="29.5" x14ac:dyDescent="0.75">
      <c r="C15" s="14" t="str">
        <f>IF(Order!I15="*  ..  ##34###34# ##334###334#","//--- END",Order!I15)</f>
        <v>* reason 0..* BackboneElement ##34#A.3 Order reason##34# ##334#A.3 Order reason (Laboratory Result Report could respond to multiple reasons) ##334#</v>
      </c>
    </row>
    <row r="16" spans="3:7" ht="88.5" x14ac:dyDescent="0.75">
      <c r="C16" s="14"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IF(Order!I17="*  ..  ##34###34# ##334###334#","//--- END",Order!I17)</f>
        <v>//--- END</v>
      </c>
    </row>
    <row r="18" spans="3:3" x14ac:dyDescent="0.75">
      <c r="C18" s="14" t="str">
        <f>IF(Order!I18="*  ..  ##34###34# ##334###334#","//--- END",Order!I18)</f>
        <v>//--- END</v>
      </c>
    </row>
    <row r="19" spans="3:3" x14ac:dyDescent="0.75">
      <c r="C19" s="14" t="str">
        <f>IF(Order!I19="*  ..  ##34###34# ##334###334#","//--- END",Order!I19)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459</v>
      </c>
      <c r="I4" s="25" t="str">
        <f>CONCATENATE("Logical: ",B4)</f>
        <v>Logical: SpecimenLabEhn</v>
      </c>
    </row>
    <row r="5" spans="1:11" x14ac:dyDescent="0.75">
      <c r="A5" s="18" t="s">
        <v>19</v>
      </c>
      <c r="B5" s="34" t="s">
        <v>565</v>
      </c>
      <c r="I5" s="25" t="str">
        <f>CONCATENATE("Id: ",B5)</f>
        <v>Id: SpecimenLab</v>
      </c>
    </row>
    <row r="6" spans="1:11" x14ac:dyDescent="0.75">
      <c r="A6" s="18" t="s">
        <v>13</v>
      </c>
      <c r="B6" s="19" t="s">
        <v>458</v>
      </c>
      <c r="I6" s="26" t="str">
        <f>CONCATENATE("Title: ##34#",B6,"##34#")</f>
        <v>Title: ##34#Specimen information (A.4)##34#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449</v>
      </c>
      <c r="D8" s="14" t="s">
        <v>463</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472</v>
      </c>
      <c r="C9" s="14" t="s">
        <v>450</v>
      </c>
      <c r="D9" s="37" t="s">
        <v>464</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473</v>
      </c>
      <c r="C10" s="1" t="s">
        <v>451</v>
      </c>
      <c r="D10" s="14" t="s">
        <v>465</v>
      </c>
      <c r="E10" s="9">
        <v>0</v>
      </c>
      <c r="F10" s="9" t="s">
        <v>11</v>
      </c>
      <c r="G10" s="9" t="s">
        <v>1</v>
      </c>
      <c r="H10" s="23"/>
      <c r="I10" s="14" t="str">
        <f t="shared" si="0"/>
        <v>* material 0..* CodeableConcept ##34#A.4.3 Material##34# ##334#Specimen material. - Preferred system(s): SNOMED CT##334#</v>
      </c>
    </row>
    <row r="11" spans="1:11" ht="29.5" x14ac:dyDescent="0.75">
      <c r="A11" s="59">
        <v>4</v>
      </c>
      <c r="B11" s="9" t="s">
        <v>2</v>
      </c>
      <c r="C11" s="14" t="s">
        <v>452</v>
      </c>
      <c r="D11" s="60" t="s">
        <v>466</v>
      </c>
      <c r="E11" s="59">
        <v>0</v>
      </c>
      <c r="F11" s="59" t="s">
        <v>11</v>
      </c>
      <c r="G11" s="9" t="s">
        <v>2</v>
      </c>
      <c r="H11" s="23"/>
      <c r="I11" s="14" t="str">
        <f t="shared" si="0"/>
        <v>* dateTime 0..* dateTime ##34#A.4.4 Collection period##34# ##334#Collection date time or period. - Preferred system(s): ISO 8601##334#</v>
      </c>
    </row>
    <row r="12" spans="1:11" ht="44.25" x14ac:dyDescent="0.75">
      <c r="A12" s="9">
        <v>5</v>
      </c>
      <c r="B12" s="9" t="s">
        <v>474</v>
      </c>
      <c r="C12" s="52" t="s">
        <v>453</v>
      </c>
      <c r="D12" s="14" t="s">
        <v>467</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476</v>
      </c>
      <c r="C13" s="52" t="s">
        <v>454</v>
      </c>
      <c r="D13" s="14" t="s">
        <v>468</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475</v>
      </c>
      <c r="C14" s="14" t="s">
        <v>455</v>
      </c>
      <c r="D14" s="52" t="s">
        <v>471</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477</v>
      </c>
      <c r="C15" t="s">
        <v>456</v>
      </c>
      <c r="D15" s="1" t="s">
        <v>469</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478</v>
      </c>
      <c r="C16" t="s">
        <v>457</v>
      </c>
      <c r="D16" s="1" t="s">
        <v>470</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1" t="s">
        <v>169</v>
      </c>
      <c r="D26" s="102"/>
      <c r="E26" s="102"/>
      <c r="F26" s="103"/>
    </row>
    <row r="27" spans="2:9" ht="112.75" thickBot="1" x14ac:dyDescent="0.9">
      <c r="B27" t="str">
        <f t="shared" si="1"/>
        <v>A.4.1 Specimen identifier</v>
      </c>
      <c r="C27" s="36" t="s">
        <v>170</v>
      </c>
      <c r="D27" s="39" t="s">
        <v>171</v>
      </c>
      <c r="E27" s="37" t="s">
        <v>460</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2" t="s">
        <v>188</v>
      </c>
      <c r="D33" s="95" t="s">
        <v>189</v>
      </c>
      <c r="E33" s="9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3"/>
      <c r="D34" s="96"/>
      <c r="E34" s="93"/>
      <c r="F34" s="41"/>
      <c r="I34" s="1" t="str">
        <f t="shared" si="2"/>
        <v xml:space="preserve"> - Preferred system(s): </v>
      </c>
    </row>
    <row r="35" spans="2:9" ht="16.75" thickBot="1" x14ac:dyDescent="0.9">
      <c r="B35" t="str">
        <f t="shared" si="1"/>
        <v xml:space="preserve"> </v>
      </c>
      <c r="C35" s="94"/>
      <c r="D35" s="97"/>
      <c r="E35" s="9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461</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462</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Specimen!B8</f>
        <v>identifier</v>
      </c>
      <c r="C10" s="9" t="s">
        <v>607</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Specimen!B9</f>
        <v>speciesType</v>
      </c>
      <c r="C11" s="9" t="s">
        <v>608</v>
      </c>
      <c r="E11" s="14" t="str">
        <f t="shared" si="0"/>
        <v>* speciesType -&gt; ##34#Specimen.type##34#</v>
      </c>
      <c r="G11" s="1" t="s">
        <v>26</v>
      </c>
      <c r="H11" s="10"/>
      <c r="I11" s="10"/>
      <c r="J11" s="10"/>
      <c r="K11" s="10"/>
      <c r="L11" s="10"/>
      <c r="M11" s="10"/>
      <c r="N11" s="10"/>
      <c r="O11" s="10"/>
    </row>
    <row r="12" spans="1:15" ht="44.25" x14ac:dyDescent="0.75">
      <c r="A12" s="9">
        <v>3</v>
      </c>
      <c r="B12" s="9" t="str">
        <f>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Specimen!B11</f>
        <v>dateTime</v>
      </c>
      <c r="C13" s="9" t="s">
        <v>609</v>
      </c>
      <c r="E13" s="14" t="str">
        <f>IF(B13=0,"*  -&gt; ##34###34#",CONCATENATE("* ",B13," -&gt; ##34#",C13,"##34#"))</f>
        <v>* dateTime -&gt; ##34#Specimen.collection.collected[x]##34#</v>
      </c>
      <c r="G13" s="1" t="s">
        <v>28</v>
      </c>
      <c r="H13" s="10"/>
      <c r="I13" s="10"/>
      <c r="J13" s="10"/>
      <c r="K13" s="10"/>
      <c r="L13" s="10"/>
      <c r="M13" s="10"/>
      <c r="N13" s="10"/>
      <c r="O13" s="10"/>
    </row>
    <row r="14" spans="1:15" x14ac:dyDescent="0.75">
      <c r="A14" s="9">
        <v>5</v>
      </c>
      <c r="B14" s="9" t="str">
        <f>Specimen!B12</f>
        <v>anatomicLocation</v>
      </c>
      <c r="C14" s="9" t="s">
        <v>610</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Specimen!B13</f>
        <v>morphology</v>
      </c>
      <c r="C15" s="66" t="s">
        <v>611</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Specimen!B14</f>
        <v>sourceDevice</v>
      </c>
      <c r="C16" s="9" t="s">
        <v>612</v>
      </c>
      <c r="E16" s="14" t="str">
        <f t="shared" si="1"/>
        <v>* sourceDevice -&gt; ##34#Specimen.container##34#</v>
      </c>
      <c r="G16" s="1" t="s">
        <v>31</v>
      </c>
      <c r="H16" s="10"/>
      <c r="I16" s="10"/>
      <c r="J16" s="10"/>
      <c r="K16" s="10"/>
      <c r="L16" s="10"/>
      <c r="M16" s="10"/>
      <c r="N16" s="10"/>
      <c r="O16" s="10"/>
    </row>
    <row r="17" spans="1:7" ht="29.5" x14ac:dyDescent="0.75">
      <c r="A17" s="9">
        <v>8</v>
      </c>
      <c r="B17" s="9" t="str">
        <f>Specimen!B15</f>
        <v>collectionMethod</v>
      </c>
      <c r="C17" s="9" t="s">
        <v>613</v>
      </c>
      <c r="E17" s="14" t="str">
        <f t="shared" si="1"/>
        <v>* collectionMethod -&gt; ##34#Specimen.collection.method##34#</v>
      </c>
      <c r="G17" s="1" t="s">
        <v>32</v>
      </c>
    </row>
    <row r="18" spans="1:7" x14ac:dyDescent="0.75">
      <c r="A18" s="9">
        <v>9</v>
      </c>
      <c r="B18" s="9" t="str">
        <f>Specimen!B16</f>
        <v>receivedDateTime</v>
      </c>
      <c r="C18" s="9" t="s">
        <v>614</v>
      </c>
      <c r="E18" s="14" t="str">
        <f t="shared" si="1"/>
        <v>* receivedDateTime -&gt; ##34#Specimen.receivedTime##34#</v>
      </c>
      <c r="G18" s="1" t="s">
        <v>33</v>
      </c>
    </row>
    <row r="19" spans="1:7" x14ac:dyDescent="0.75">
      <c r="A19" s="9">
        <v>10</v>
      </c>
      <c r="B19" s="9">
        <f>Specimen!B17</f>
        <v>0</v>
      </c>
      <c r="C19" s="9" t="s">
        <v>354</v>
      </c>
      <c r="E19" s="14" t="str">
        <f t="shared" si="1"/>
        <v>*  -&gt; ##34###34#</v>
      </c>
    </row>
    <row r="20" spans="1:7" x14ac:dyDescent="0.75">
      <c r="A20" s="9"/>
      <c r="B20" s="9">
        <f>Specimen!B18</f>
        <v>0</v>
      </c>
      <c r="C20" s="9" t="s">
        <v>354</v>
      </c>
      <c r="E20" s="14" t="str">
        <f t="shared" si="1"/>
        <v>*  -&gt; ##34###34#</v>
      </c>
    </row>
    <row r="21" spans="1:7" x14ac:dyDescent="0.75">
      <c r="B21" s="9">
        <f>Specimen!B19</f>
        <v>0</v>
      </c>
      <c r="C21" s="9" t="s">
        <v>354</v>
      </c>
      <c r="E21" s="14" t="str">
        <f t="shared" si="1"/>
        <v>*  -&gt; ##34###34#</v>
      </c>
    </row>
    <row r="22" spans="1:7" x14ac:dyDescent="0.75">
      <c r="B22" s="9">
        <f>Specimen!B20</f>
        <v>0</v>
      </c>
      <c r="E22" s="14"/>
    </row>
    <row r="23" spans="1:7" x14ac:dyDescent="0.75">
      <c r="E23" s="14"/>
    </row>
    <row r="24" spans="1:7" x14ac:dyDescent="0.75">
      <c r="E24" s="22"/>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Specimen!I1</f>
        <v>// -------------------------------------------------------------------------------</v>
      </c>
    </row>
    <row r="2" spans="3:7" ht="16.75" thickBot="1" x14ac:dyDescent="0.9">
      <c r="C2" s="33" t="str">
        <f>Specimen!I2</f>
        <v>//  Logical Model</v>
      </c>
      <c r="G2" s="56" t="s">
        <v>479</v>
      </c>
    </row>
    <row r="3" spans="3:7" x14ac:dyDescent="0.75">
      <c r="C3" s="33" t="str">
        <f>Specimen!I3</f>
        <v>// -------------------------------------------------------------------------------</v>
      </c>
    </row>
    <row r="4" spans="3:7" x14ac:dyDescent="0.75">
      <c r="C4" s="25" t="str">
        <f>Specimen!I4</f>
        <v>Logical: SpecimenLabEhn</v>
      </c>
    </row>
    <row r="5" spans="3:7" x14ac:dyDescent="0.75">
      <c r="C5" s="25" t="str">
        <f>Specimen!I5</f>
        <v>Id: SpecimenLab</v>
      </c>
    </row>
    <row r="6" spans="3:7" x14ac:dyDescent="0.75">
      <c r="C6" s="25" t="str">
        <f>Specimen!I6</f>
        <v>Title: ##34#Specimen information (A.4)##34#</v>
      </c>
    </row>
    <row r="7" spans="3:7" x14ac:dyDescent="0.75">
      <c r="C7" s="25" t="str">
        <f>Specimen!I7</f>
        <v>Description:  ##334#A.4 Specimen information##334#</v>
      </c>
    </row>
    <row r="8" spans="3:7" ht="44.25" x14ac:dyDescent="0.75">
      <c r="C8" s="14"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IF(Specimen!I9="*  ..  ##34###34# ##334###334#","//--- END",Specimen!I9)</f>
        <v>* speciesType 0..* CodeableConcept ##34#A.4.2 Type of species##34# ##334#Biologic type of species for laboratory result reports bound to non-human subjects. - Preferred system(s): SNOMED CT##334#</v>
      </c>
    </row>
    <row r="10" spans="3:7" ht="29.5" x14ac:dyDescent="0.75">
      <c r="C10" s="14" t="str">
        <f>IF(Specimen!I10="*  ..  ##34###34# ##334###334#","//--- END",Specimen!I10)</f>
        <v>* material 0..* CodeableConcept ##34#A.4.3 Material##34# ##334#Specimen material. - Preferred system(s): SNOMED CT##334#</v>
      </c>
      <c r="E10" t="s">
        <v>307</v>
      </c>
    </row>
    <row r="11" spans="3:7" ht="29.5" x14ac:dyDescent="0.75">
      <c r="C11" s="14" t="str">
        <f>IF(Specimen!I11="*  ..  ##34###34# ##334###334#","//--- END",Specimen!I11)</f>
        <v>* dateTime 0..* dateTime ##34#A.4.4 Collection period##34# ##334#Collection date time or period. - Preferred system(s): ISO 8601##334#</v>
      </c>
    </row>
    <row r="12" spans="3:7" ht="29.5" x14ac:dyDescent="0.75">
      <c r="C12" s="14"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4"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4"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IF(Specimen!I15="*  ..  ##34###34# ##334###334#","//--- END",Specimen!I15)</f>
        <v>* collectionMethod 0..* CodeableConcept ##34#A.4.8 Collection procedure/method##34# ##334#If relevant for the results, the method of obtaining the specimen. - Preferred system(s): SNOMED CT##334#</v>
      </c>
    </row>
    <row r="16" spans="3:7" ht="29.5" x14ac:dyDescent="0.75">
      <c r="C16" s="14"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4" t="str">
        <f>IF(Specimen!I17="*  ..  ##34###34# ##334###334#","//--- END",Specimen!I17)</f>
        <v>//--- END</v>
      </c>
    </row>
    <row r="18" spans="3:3" x14ac:dyDescent="0.75">
      <c r="C18" s="14" t="str">
        <f>IF(Specimen!I18="*  ..  ##34###34# ##334###334#","//--- END",Specimen!I18)</f>
        <v>//--- END</v>
      </c>
    </row>
    <row r="19" spans="3:3" x14ac:dyDescent="0.75">
      <c r="C19" s="14" t="str">
        <f>IF(Specimen!I19="*  ..  ##34###34# ##334###334#","//--- END",Specimen!I19)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dateTime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480</v>
      </c>
      <c r="I4" s="25" t="str">
        <f>CONCATENATE("Logical: ",B4)</f>
        <v>Logical: ResultLabEhn</v>
      </c>
    </row>
    <row r="5" spans="1:11" x14ac:dyDescent="0.75">
      <c r="A5" s="18" t="s">
        <v>19</v>
      </c>
      <c r="B5" s="34" t="s">
        <v>481</v>
      </c>
      <c r="I5" s="25" t="str">
        <f>CONCATENATE("Id: ",B5)</f>
        <v>Id: Result</v>
      </c>
    </row>
    <row r="6" spans="1:11" x14ac:dyDescent="0.75">
      <c r="A6" s="18" t="s">
        <v>13</v>
      </c>
      <c r="B6" s="14" t="s">
        <v>502</v>
      </c>
      <c r="I6" s="26" t="str">
        <f>CONCATENATE("Title: ##34#",B6,"##34#")</f>
        <v>Title: ##34#Results data elements (A.5)##34#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503</v>
      </c>
      <c r="C8" s="14" t="s">
        <v>554</v>
      </c>
      <c r="D8" s="14" t="s">
        <v>554</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504</v>
      </c>
      <c r="C9" s="1" t="s">
        <v>485</v>
      </c>
      <c r="D9" s="14" t="s">
        <v>616</v>
      </c>
      <c r="E9" s="9">
        <v>0</v>
      </c>
      <c r="F9" s="9" t="s">
        <v>11</v>
      </c>
      <c r="G9" s="9" t="s">
        <v>507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505</v>
      </c>
      <c r="C10" s="14" t="s">
        <v>486</v>
      </c>
      <c r="D10" s="60" t="s">
        <v>205</v>
      </c>
      <c r="E10" s="9">
        <v>0</v>
      </c>
      <c r="F10" s="9" t="s">
        <v>11</v>
      </c>
      <c r="G10" s="9" t="s">
        <v>507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506</v>
      </c>
      <c r="C11" s="52" t="s">
        <v>508</v>
      </c>
      <c r="D11" s="52" t="s">
        <v>555</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509</v>
      </c>
      <c r="C12" s="52" t="s">
        <v>487</v>
      </c>
      <c r="D12" s="14" t="s">
        <v>501</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510</v>
      </c>
      <c r="C13" s="14" t="s">
        <v>488</v>
      </c>
      <c r="D13" s="52" t="s">
        <v>511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512</v>
      </c>
      <c r="C14" s="9" t="s">
        <v>489</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513</v>
      </c>
      <c r="C15" s="9" t="s">
        <v>490</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514</v>
      </c>
      <c r="C16" s="9" t="s">
        <v>491</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515</v>
      </c>
      <c r="C17" s="9" t="s">
        <v>492</v>
      </c>
      <c r="D17" s="14" t="s">
        <v>527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516</v>
      </c>
      <c r="C18" s="9" t="s">
        <v>493</v>
      </c>
      <c r="D18" s="14" t="s">
        <v>517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518</v>
      </c>
      <c r="C19" s="9" t="s">
        <v>494</v>
      </c>
      <c r="D19" s="14" t="s">
        <v>520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519</v>
      </c>
      <c r="C20" s="9" t="s">
        <v>495</v>
      </c>
      <c r="D20" s="14" t="s">
        <v>561</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521</v>
      </c>
      <c r="C21" s="9" t="s">
        <v>496</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522</v>
      </c>
      <c r="C22" s="9" t="s">
        <v>497</v>
      </c>
      <c r="D22" s="14" t="s">
        <v>556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524</v>
      </c>
      <c r="C23" s="9" t="s">
        <v>498</v>
      </c>
      <c r="D23" s="14" t="s">
        <v>523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525</v>
      </c>
      <c r="C24" s="9" t="s">
        <v>499</v>
      </c>
      <c r="D24" s="14" t="s">
        <v>249</v>
      </c>
      <c r="E24" s="9">
        <v>0</v>
      </c>
      <c r="F24" s="9" t="s">
        <v>11</v>
      </c>
      <c r="G24" s="9" t="s">
        <v>507</v>
      </c>
      <c r="H24" s="9"/>
      <c r="I24" s="14" t="str">
        <f t="shared" si="0"/>
        <v>* observation.description 0..* Narrative ##34#A.5.2.13 Result description##34# ##334#Comments and narrative representation of the observation result and findings.##334#</v>
      </c>
    </row>
    <row r="25" spans="1:9" ht="44.25" x14ac:dyDescent="0.75">
      <c r="A25" s="9">
        <v>22</v>
      </c>
      <c r="B25" s="9" t="s">
        <v>526</v>
      </c>
      <c r="C25" s="9" t="s">
        <v>500</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84" t="s">
        <v>198</v>
      </c>
      <c r="D36" s="85"/>
      <c r="E36" s="85"/>
      <c r="F36" s="86"/>
    </row>
    <row r="37" spans="2:9" ht="16.75" thickBot="1" x14ac:dyDescent="0.9">
      <c r="B37" t="str">
        <f t="shared" si="1"/>
        <v xml:space="preserve">A.5.1 Laboratory report narrative  </v>
      </c>
      <c r="C37" s="84" t="s">
        <v>557</v>
      </c>
      <c r="D37" s="85"/>
      <c r="E37" s="85"/>
      <c r="F37" s="86"/>
    </row>
    <row r="38" spans="2:9" ht="64.75" thickBot="1" x14ac:dyDescent="0.9">
      <c r="B38" t="str">
        <f t="shared" si="1"/>
        <v>A.5.1.1 Narrative report</v>
      </c>
      <c r="C38" s="36" t="s">
        <v>200</v>
      </c>
      <c r="D38" s="39" t="s">
        <v>201</v>
      </c>
      <c r="E38" s="37" t="s">
        <v>558</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84" t="s">
        <v>559</v>
      </c>
      <c r="D40" s="85"/>
      <c r="E40" s="85"/>
      <c r="F40" s="86"/>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2" t="s">
        <v>210</v>
      </c>
      <c r="D42" s="95" t="s">
        <v>211</v>
      </c>
      <c r="E42" s="92" t="s">
        <v>212</v>
      </c>
      <c r="F42" s="43" t="s">
        <v>130</v>
      </c>
      <c r="I42" s="1" t="str">
        <f t="shared" si="2"/>
        <v>Code representing the observation using the agreed code systems. - Preferred system(s): LOINC</v>
      </c>
    </row>
    <row r="43" spans="2:9" ht="16" x14ac:dyDescent="0.75">
      <c r="B43" t="str">
        <f t="shared" si="1"/>
        <v xml:space="preserve"> </v>
      </c>
      <c r="C43" s="93"/>
      <c r="D43" s="96"/>
      <c r="E43" s="93"/>
      <c r="F43" s="43" t="s">
        <v>213</v>
      </c>
      <c r="I43" s="1" t="str">
        <f t="shared" si="2"/>
        <v xml:space="preserve"> - Preferred system(s): NPU</v>
      </c>
    </row>
    <row r="44" spans="2:9" ht="32.75" thickBot="1" x14ac:dyDescent="0.9">
      <c r="B44" t="str">
        <f t="shared" si="1"/>
        <v xml:space="preserve"> </v>
      </c>
      <c r="C44" s="94"/>
      <c r="D44" s="97"/>
      <c r="E44" s="9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2" t="s">
        <v>226</v>
      </c>
      <c r="D49" s="95" t="s">
        <v>227</v>
      </c>
      <c r="E49" s="9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3"/>
      <c r="D50" s="96"/>
      <c r="E50" s="93"/>
      <c r="F50" s="41"/>
      <c r="I50" s="1" t="str">
        <f t="shared" si="2"/>
        <v xml:space="preserve"> - Preferred system(s): </v>
      </c>
    </row>
    <row r="51" spans="2:9" ht="16.75" thickBot="1" x14ac:dyDescent="0.9">
      <c r="B51" t="str">
        <f t="shared" si="1"/>
        <v xml:space="preserve"> </v>
      </c>
      <c r="C51" s="94"/>
      <c r="D51" s="97"/>
      <c r="E51" s="94"/>
      <c r="F51" s="39" t="s">
        <v>191</v>
      </c>
      <c r="I51" s="1" t="str">
        <f t="shared" si="2"/>
        <v xml:space="preserve"> - Preferred system(s): EMDN</v>
      </c>
    </row>
    <row r="52" spans="2:9" ht="32.75" thickBot="1" x14ac:dyDescent="0.9">
      <c r="B52" t="str">
        <f t="shared" si="1"/>
        <v>A.5.2.8 Order</v>
      </c>
      <c r="C52" s="36" t="s">
        <v>229</v>
      </c>
      <c r="D52" s="39" t="s">
        <v>230</v>
      </c>
      <c r="E52" s="37" t="s">
        <v>560</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561</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2" t="s">
        <v>238</v>
      </c>
      <c r="D55" s="95" t="s">
        <v>239</v>
      </c>
      <c r="E55" s="92" t="s">
        <v>562</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3"/>
      <c r="D56" s="96"/>
      <c r="E56" s="93"/>
      <c r="F56" s="44"/>
      <c r="I56" s="1" t="str">
        <f t="shared" si="2"/>
        <v xml:space="preserve"> - Preferred system(s): </v>
      </c>
    </row>
    <row r="57" spans="2:9" ht="48.75" thickBot="1" x14ac:dyDescent="0.9">
      <c r="B57" t="str">
        <f t="shared" si="1"/>
        <v xml:space="preserve"> </v>
      </c>
      <c r="C57" s="94"/>
      <c r="D57" s="97"/>
      <c r="E57" s="94"/>
      <c r="F57" s="39" t="s">
        <v>242</v>
      </c>
      <c r="I57" s="1" t="str">
        <f t="shared" si="2"/>
        <v xml:space="preserve"> - Preferred system(s): UCUM (for units)</v>
      </c>
    </row>
    <row r="58" spans="2:9" ht="32" x14ac:dyDescent="0.75">
      <c r="B58" t="str">
        <f t="shared" si="1"/>
        <v>A.5.2.12 Observation interpretation</v>
      </c>
      <c r="C58" s="92" t="s">
        <v>243</v>
      </c>
      <c r="D58" s="95" t="s">
        <v>244</v>
      </c>
      <c r="E58" s="92" t="s">
        <v>245</v>
      </c>
      <c r="F58" s="43" t="s">
        <v>167</v>
      </c>
      <c r="I58" s="1" t="str">
        <f t="shared" si="2"/>
        <v>Information about reference intervals and result interpretation. - Preferred system(s): SNOMED CT</v>
      </c>
    </row>
    <row r="59" spans="2:9" x14ac:dyDescent="0.75">
      <c r="B59" t="str">
        <f t="shared" si="1"/>
        <v xml:space="preserve"> </v>
      </c>
      <c r="C59" s="93"/>
      <c r="D59" s="96"/>
      <c r="E59" s="93"/>
      <c r="F59" s="41"/>
      <c r="I59" s="1" t="str">
        <f t="shared" si="2"/>
        <v xml:space="preserve"> - Preferred system(s): </v>
      </c>
    </row>
    <row r="60" spans="2:9" ht="112.75" thickBot="1" x14ac:dyDescent="0.9">
      <c r="B60" t="str">
        <f t="shared" si="1"/>
        <v xml:space="preserve"> </v>
      </c>
      <c r="C60" s="94"/>
      <c r="D60" s="97"/>
      <c r="E60" s="9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482</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483</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Results!B5</f>
        <v>Result</v>
      </c>
      <c r="C9" s="8" t="s">
        <v>615</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Results!$B$8</f>
        <v>narrative</v>
      </c>
      <c r="C10" s="9" t="s">
        <v>618</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Results!$B$8</f>
        <v>narrative</v>
      </c>
      <c r="C11" s="9" t="s">
        <v>617</v>
      </c>
      <c r="E11" s="14" t="str">
        <f t="shared" si="0"/>
        <v>* narrative -&gt; ##34#Composition.section.text##34#</v>
      </c>
      <c r="G11" s="1"/>
      <c r="H11" s="10"/>
      <c r="I11" s="10"/>
      <c r="J11" s="10"/>
      <c r="K11" s="10"/>
      <c r="L11" s="10"/>
      <c r="M11" s="10"/>
      <c r="N11" s="10"/>
      <c r="O11" s="10"/>
    </row>
    <row r="12" spans="1:15" x14ac:dyDescent="0.75">
      <c r="A12" s="9"/>
      <c r="B12" s="65" t="str">
        <f>Results!$B$8</f>
        <v>narrative</v>
      </c>
      <c r="C12" s="9" t="s">
        <v>619</v>
      </c>
      <c r="E12" s="14" t="str">
        <f t="shared" si="0"/>
        <v>* narrative -&gt; ##34#Composition.text##34#</v>
      </c>
      <c r="G12" s="1"/>
      <c r="H12" s="10"/>
      <c r="I12" s="10"/>
      <c r="J12" s="10"/>
      <c r="K12" s="10"/>
      <c r="L12" s="10"/>
      <c r="M12" s="10"/>
      <c r="N12" s="10"/>
      <c r="O12" s="10"/>
    </row>
    <row r="13" spans="1:15" x14ac:dyDescent="0.75">
      <c r="A13" s="9">
        <v>2</v>
      </c>
      <c r="B13" s="62" t="str">
        <f>Results!$B$9</f>
        <v>narrative.report</v>
      </c>
      <c r="C13" s="9" t="s">
        <v>618</v>
      </c>
      <c r="E13" s="14" t="str">
        <f t="shared" si="0"/>
        <v>* narrative.report -&gt; ##34#Composition.section.section.text##34#</v>
      </c>
      <c r="G13" s="1" t="s">
        <v>26</v>
      </c>
      <c r="H13" s="10"/>
      <c r="I13" s="10"/>
      <c r="J13" s="10"/>
      <c r="K13" s="10"/>
      <c r="L13" s="10"/>
      <c r="M13" s="10"/>
      <c r="N13" s="10"/>
      <c r="O13" s="10"/>
    </row>
    <row r="14" spans="1:15" x14ac:dyDescent="0.75">
      <c r="A14" s="9"/>
      <c r="B14" s="62" t="str">
        <f>Results!$B$9</f>
        <v>narrative.report</v>
      </c>
      <c r="C14" s="9" t="s">
        <v>617</v>
      </c>
      <c r="E14" s="14" t="str">
        <f t="shared" si="0"/>
        <v>* narrative.report -&gt; ##34#Composition.section.text##34#</v>
      </c>
      <c r="G14" s="1"/>
      <c r="H14" s="10"/>
      <c r="I14" s="10"/>
      <c r="J14" s="10"/>
      <c r="K14" s="10"/>
      <c r="L14" s="10"/>
      <c r="M14" s="10"/>
      <c r="N14" s="10"/>
      <c r="O14" s="10"/>
    </row>
    <row r="15" spans="1:15" x14ac:dyDescent="0.75">
      <c r="A15" s="9"/>
      <c r="B15" s="62" t="str">
        <f>Results!$B$9</f>
        <v>narrative.report</v>
      </c>
      <c r="C15" s="9" t="s">
        <v>619</v>
      </c>
      <c r="E15" s="14" t="str">
        <f t="shared" si="0"/>
        <v>* narrative.report -&gt; ##34#Composition.text##34#</v>
      </c>
      <c r="G15" s="1"/>
      <c r="H15" s="10"/>
      <c r="I15" s="10"/>
      <c r="J15" s="10"/>
      <c r="K15" s="10"/>
      <c r="L15" s="10"/>
      <c r="M15" s="10"/>
      <c r="N15" s="10"/>
      <c r="O15" s="10"/>
    </row>
    <row r="16" spans="1:15" ht="44.25" x14ac:dyDescent="0.75">
      <c r="A16" s="9">
        <v>3</v>
      </c>
      <c r="B16" s="9" t="str">
        <f>Results!B10</f>
        <v>narrative.notes</v>
      </c>
      <c r="C16" s="9" t="s">
        <v>620</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Results!$B$11</f>
        <v>observation</v>
      </c>
      <c r="C17" s="9" t="s">
        <v>615</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Results!$B$11</f>
        <v>observation</v>
      </c>
      <c r="C18" s="9" t="s">
        <v>621</v>
      </c>
      <c r="E18" s="14" t="str">
        <f t="shared" si="0"/>
        <v>* observation -&gt; ##34#Observation.hasMember.resolve()##34#</v>
      </c>
      <c r="G18" s="1"/>
      <c r="H18" s="10"/>
      <c r="I18" s="10"/>
      <c r="J18" s="10"/>
      <c r="K18" s="10"/>
      <c r="L18" s="10"/>
      <c r="M18" s="10"/>
      <c r="N18" s="10"/>
      <c r="O18" s="10"/>
    </row>
    <row r="19" spans="1:15" x14ac:dyDescent="0.75">
      <c r="A19" s="9"/>
      <c r="B19" s="62" t="str">
        <f>Results!$B$11</f>
        <v>observation</v>
      </c>
      <c r="C19" s="9" t="s">
        <v>622</v>
      </c>
      <c r="E19" s="14" t="str">
        <f t="shared" si="0"/>
        <v>* observation -&gt; ##34#Observation.component##34#</v>
      </c>
      <c r="G19" s="1"/>
      <c r="H19" s="10"/>
      <c r="I19" s="10"/>
      <c r="J19" s="10"/>
      <c r="K19" s="10"/>
      <c r="L19" s="10"/>
      <c r="M19" s="10"/>
      <c r="N19" s="10"/>
      <c r="O19" s="10"/>
    </row>
    <row r="20" spans="1:15" x14ac:dyDescent="0.75">
      <c r="A20" s="9">
        <v>5</v>
      </c>
      <c r="B20" s="9" t="str">
        <f>Results!B12</f>
        <v>observation.dateTime</v>
      </c>
      <c r="C20" s="9" t="s">
        <v>623</v>
      </c>
      <c r="E20" s="14" t="str">
        <f t="shared" si="0"/>
        <v>* observation.dateTime -&gt; ##34#Observation.effective[x]##34#</v>
      </c>
      <c r="G20" s="1" t="s">
        <v>29</v>
      </c>
      <c r="H20" s="10"/>
      <c r="I20" s="10"/>
      <c r="J20" s="10"/>
      <c r="K20" s="10"/>
      <c r="L20" s="10"/>
      <c r="M20" s="10"/>
      <c r="N20" s="10"/>
      <c r="O20" s="10"/>
    </row>
    <row r="21" spans="1:15" ht="29.5" x14ac:dyDescent="0.75">
      <c r="A21" s="9">
        <v>6</v>
      </c>
      <c r="B21" s="9" t="str">
        <f>Results!B13</f>
        <v>observation.code</v>
      </c>
      <c r="C21" s="9" t="s">
        <v>624</v>
      </c>
      <c r="E21" s="14" t="str">
        <f t="shared" si="0"/>
        <v>* observation.code -&gt; ##34#Observation.code##34#</v>
      </c>
      <c r="G21" s="1" t="s">
        <v>30</v>
      </c>
      <c r="H21" s="10"/>
      <c r="I21" s="10"/>
      <c r="J21" s="10"/>
      <c r="K21" s="10"/>
      <c r="L21" s="10"/>
      <c r="M21" s="10"/>
      <c r="N21" s="10"/>
      <c r="O21" s="10"/>
    </row>
    <row r="22" spans="1:15" ht="29.5" x14ac:dyDescent="0.75">
      <c r="A22" s="9">
        <v>7</v>
      </c>
      <c r="B22" s="9" t="str">
        <f>Results!B14</f>
        <v>observation.code.name</v>
      </c>
      <c r="C22" s="67" t="s">
        <v>625</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Results!B15</f>
        <v>observation.code.originalName</v>
      </c>
      <c r="C23" s="9" t="s">
        <v>626</v>
      </c>
      <c r="E23" s="14" t="str">
        <f t="shared" si="0"/>
        <v>* observation.code.originalName -&gt; ##34#Observation.code.text##34#</v>
      </c>
      <c r="G23" s="1" t="s">
        <v>32</v>
      </c>
    </row>
    <row r="24" spans="1:15" ht="29.5" x14ac:dyDescent="0.75">
      <c r="A24" s="9">
        <v>9</v>
      </c>
      <c r="B24" s="9" t="str">
        <f>Results!B16</f>
        <v>observation.code.displayName</v>
      </c>
      <c r="C24" s="67" t="s">
        <v>627</v>
      </c>
      <c r="E24" s="14" t="str">
        <f t="shared" si="0"/>
        <v>* observation.code.displayName -&gt; ##34#Observation.code.coding.display.extension('translation') (TBD)##34#</v>
      </c>
      <c r="G24" s="1" t="s">
        <v>33</v>
      </c>
    </row>
    <row r="25" spans="1:15" x14ac:dyDescent="0.75">
      <c r="A25" s="9">
        <v>10</v>
      </c>
      <c r="B25" s="9" t="str">
        <f>Results!B17</f>
        <v>observation.method</v>
      </c>
      <c r="C25" s="9" t="s">
        <v>628</v>
      </c>
      <c r="E25" s="14" t="str">
        <f t="shared" si="0"/>
        <v>* observation.method -&gt; ##34#Observation.method##34#</v>
      </c>
    </row>
    <row r="26" spans="1:15" x14ac:dyDescent="0.75">
      <c r="A26" s="9"/>
      <c r="B26" s="9" t="str">
        <f>Results!B18</f>
        <v>observation.device</v>
      </c>
      <c r="C26" s="9" t="s">
        <v>629</v>
      </c>
      <c r="E26" s="14" t="str">
        <f t="shared" si="0"/>
        <v>* observation.device -&gt; ##34#Observation.device.resolve()##34#</v>
      </c>
    </row>
    <row r="27" spans="1:15" ht="29.5" x14ac:dyDescent="0.75">
      <c r="B27" s="9" t="str">
        <f>Results!B19</f>
        <v>observation.order</v>
      </c>
      <c r="C27" s="9" t="s">
        <v>630</v>
      </c>
      <c r="E27" s="14" t="str">
        <f t="shared" si="0"/>
        <v>* observation.order -&gt; ##34#Observation.basedOn.resolve().ofType(ServiceRequest)##34#</v>
      </c>
    </row>
    <row r="28" spans="1:15" x14ac:dyDescent="0.75">
      <c r="B28" s="9" t="str">
        <f>Results!B20</f>
        <v>observation.performer</v>
      </c>
      <c r="C28" s="9" t="s">
        <v>631</v>
      </c>
      <c r="E28" s="14" t="str">
        <f t="shared" si="0"/>
        <v>* observation.performer -&gt; ##34#Observation.performer.resolve()##34#</v>
      </c>
    </row>
    <row r="29" spans="1:15" x14ac:dyDescent="0.75">
      <c r="B29" s="9" t="str">
        <f>Results!B21</f>
        <v>observation.reporter</v>
      </c>
      <c r="C29" s="67" t="s">
        <v>354</v>
      </c>
      <c r="E29" s="14" t="str">
        <f t="shared" si="0"/>
        <v>* observation.reporter -&gt; ##34#to be mapped##34#</v>
      </c>
    </row>
    <row r="30" spans="1:15" x14ac:dyDescent="0.75">
      <c r="B30" s="9" t="str">
        <f>Results!B22</f>
        <v>observation.result</v>
      </c>
      <c r="C30" s="9" t="s">
        <v>632</v>
      </c>
      <c r="E30" s="14" t="str">
        <f t="shared" si="0"/>
        <v>* observation.result -&gt; ##34#Observation.value[x]##34#</v>
      </c>
    </row>
    <row r="31" spans="1:15" x14ac:dyDescent="0.75">
      <c r="B31" s="9" t="str">
        <f>Results!B23</f>
        <v>observation.interpretation</v>
      </c>
      <c r="C31" s="9" t="s">
        <v>633</v>
      </c>
      <c r="E31" s="14" t="str">
        <f t="shared" si="0"/>
        <v>* observation.interpretation -&gt; ##34#Observation.interpretation##34#</v>
      </c>
    </row>
    <row r="32" spans="1:15" x14ac:dyDescent="0.75">
      <c r="B32" s="62" t="str">
        <f>Results!$B$24</f>
        <v>observation.description</v>
      </c>
      <c r="C32" s="9" t="s">
        <v>634</v>
      </c>
      <c r="E32" s="14" t="str">
        <f t="shared" si="0"/>
        <v>* observation.description -&gt; ##34#Observation.text##34#</v>
      </c>
    </row>
    <row r="33" spans="2:5" x14ac:dyDescent="0.75">
      <c r="B33" s="62" t="str">
        <f>Results!$B$24</f>
        <v>observation.description</v>
      </c>
      <c r="C33" s="9" t="s">
        <v>635</v>
      </c>
      <c r="E33" s="14" t="str">
        <f t="shared" si="0"/>
        <v>* observation.description -&gt; ##34#Observation.note##34#</v>
      </c>
    </row>
    <row r="34" spans="2:5" x14ac:dyDescent="0.75">
      <c r="B34" s="9" t="str">
        <f>Results!B25</f>
        <v>observation.accreditationStatus</v>
      </c>
      <c r="C34" s="66" t="s">
        <v>354</v>
      </c>
      <c r="E34" s="14" t="str">
        <f t="shared" si="0"/>
        <v>* observation.accreditationStatus -&gt; ##34#to be mapped##34#</v>
      </c>
    </row>
    <row r="35" spans="2:5" x14ac:dyDescent="0.75">
      <c r="B35" s="9">
        <f>Results!B26</f>
        <v>0</v>
      </c>
      <c r="C35" s="9" t="s">
        <v>354</v>
      </c>
      <c r="E35" s="14" t="str">
        <f t="shared" si="0"/>
        <v>*  -&gt; ##34###34#</v>
      </c>
    </row>
    <row r="36" spans="2:5" x14ac:dyDescent="0.75">
      <c r="B36" s="9">
        <f>Results!B27</f>
        <v>0</v>
      </c>
      <c r="E36" s="14" t="str">
        <f t="shared" si="0"/>
        <v>*  -&gt; ##34###34#</v>
      </c>
    </row>
    <row r="37" spans="2:5" x14ac:dyDescent="0.75">
      <c r="B37" s="9">
        <f>Results!B28</f>
        <v>0</v>
      </c>
      <c r="E37" s="14" t="str">
        <f t="shared" si="0"/>
        <v>*  -&gt; ##34###34#</v>
      </c>
    </row>
    <row r="38" spans="2:5" x14ac:dyDescent="0.75">
      <c r="B38" s="9">
        <f>Results!B29</f>
        <v>0</v>
      </c>
      <c r="E38" s="14" t="str">
        <f t="shared" si="0"/>
        <v>*  -&gt; ##34###34#</v>
      </c>
    </row>
    <row r="39" spans="2:5" x14ac:dyDescent="0.75">
      <c r="B39" s="9">
        <f>Results!B30</f>
        <v>0</v>
      </c>
      <c r="E39" s="14"/>
    </row>
    <row r="40" spans="2:5" x14ac:dyDescent="0.75">
      <c r="B40" s="9">
        <f>Results!B31</f>
        <v>0</v>
      </c>
    </row>
    <row r="41" spans="2:5" x14ac:dyDescent="0.75">
      <c r="B41" s="9">
        <f>Results!B32</f>
        <v>0</v>
      </c>
    </row>
    <row r="42" spans="2:5" x14ac:dyDescent="0.75">
      <c r="B42" s="9">
        <f>Results!B33</f>
        <v>0</v>
      </c>
    </row>
    <row r="43" spans="2:5" x14ac:dyDescent="0.75">
      <c r="B43" s="9">
        <f>Results!B34</f>
        <v>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Results!I1</f>
        <v>// -------------------------------------------------------------------------------</v>
      </c>
    </row>
    <row r="2" spans="3:7" ht="16.75" thickBot="1" x14ac:dyDescent="0.9">
      <c r="C2" s="33" t="str">
        <f>Results!I2</f>
        <v>//  Logical Model</v>
      </c>
      <c r="G2" s="56" t="s">
        <v>484</v>
      </c>
    </row>
    <row r="3" spans="3:7" x14ac:dyDescent="0.75">
      <c r="C3" s="33" t="str">
        <f>Results!I3</f>
        <v>// -------------------------------------------------------------------------------</v>
      </c>
      <c r="G3" s="10"/>
    </row>
    <row r="4" spans="3:7" x14ac:dyDescent="0.75">
      <c r="C4" s="25" t="str">
        <f>Results!I4</f>
        <v>Logical: ResultLabEhn</v>
      </c>
    </row>
    <row r="5" spans="3:7" x14ac:dyDescent="0.75">
      <c r="C5" s="25" t="str">
        <f>Results!I5</f>
        <v>Id: Result</v>
      </c>
    </row>
    <row r="6" spans="3:7" x14ac:dyDescent="0.75">
      <c r="C6" s="25" t="str">
        <f>Results!I6</f>
        <v>Title: ##34#Results data elements (A.5)##34#</v>
      </c>
    </row>
    <row r="7" spans="3:7" x14ac:dyDescent="0.75">
      <c r="C7" s="25" t="str">
        <f>Results!I7</f>
        <v>Description:  ##334#A.5 Results data elements##334#</v>
      </c>
    </row>
    <row r="8" spans="3:7" x14ac:dyDescent="0.75">
      <c r="C8" s="14" t="str">
        <f>IF(Results!I8="*  ..  ##34###34# ##334###334#","//--- END",Results!I8)</f>
        <v>* narrative 0..1 BackboneElement ##34#A.5.1 Laboratory report narrative##34# ##334#A.5.1 Laboratory report narrative##334#</v>
      </c>
    </row>
    <row r="9" spans="3:7" ht="29.5" x14ac:dyDescent="0.75">
      <c r="C9" s="14" t="str">
        <f>IF(Results!I9="*  ..  ##34###34# ##334###334#","//--- END",Results!I9)</f>
        <v>* narrative.report 0..* Narrative ##34#A.5.1.1 Narrative report##34# ##334#Entire report (textual summary inside the laboratory result report document) as issued by the laboratory.##334#</v>
      </c>
    </row>
    <row r="10" spans="3:7" ht="29.5" x14ac:dyDescent="0.75">
      <c r="C10" s="14" t="str">
        <f>IF(Results!I10="*  ..  ##34###34# ##334###334#","//--- END",Results!I10)</f>
        <v>* narrative.notes 0..* Narrative ##34#A.5.1.2 Comments, interpretation and recommendations##34# ##334#Comments, such as a textual interpretation or advice accompanying the result report, for example.##334#</v>
      </c>
      <c r="E10" t="s">
        <v>307</v>
      </c>
    </row>
    <row r="11" spans="3:7" ht="29.5" x14ac:dyDescent="0.75">
      <c r="C11" s="14" t="str">
        <f>IF(Results!I11="*  ..  ##34###34# ##334###334#","//--- END",Results!I11)</f>
        <v>* observation 0..* BackboneElement ##34#A.5.2 Observation details##34# ##334#A.5.2 Observation details (report could consist of multiple observations) ##334#</v>
      </c>
    </row>
    <row r="12" spans="3:7" ht="29.5" x14ac:dyDescent="0.75">
      <c r="C12" s="14" t="str">
        <f>IF(Results!I12="*  ..  ##34###34# ##334###334#","//--- END",Results!I12)</f>
        <v>* observation.dateTime 0..* CodeableConcept ##34#A.5.2.1 Observation date##34# ##334#Date and time of the observation - Preferred system(s): ISO 8601##334#</v>
      </c>
    </row>
    <row r="13" spans="3:7" ht="73.75" x14ac:dyDescent="0.75">
      <c r="C13" s="14"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IF(Results!I14="*  ..  ##34###34# ##334###334#","//--- END",Results!I14)</f>
        <v>* observation.code.name 0..* string ##34#A.5.2.3.1 Observation name##34# ##334#Full name of the observation according to the used test coding standard.##334#</v>
      </c>
    </row>
    <row r="15" spans="3:7" ht="29.5" x14ac:dyDescent="0.75">
      <c r="C15" s="14" t="str">
        <f>IF(Results!I15="*  ..  ##34###34# ##334###334#","//--- END",Results!I15)</f>
        <v>* observation.code.originalName 0..* string ##34#A.5.2.3.2 Observation original name##34# ##334#Original (conventional) name of the observation as used by the laboratory##334#</v>
      </c>
    </row>
    <row r="16" spans="3:7" ht="29.5" x14ac:dyDescent="0.75">
      <c r="C16" s="14" t="str">
        <f>IF(Results!I16="*  ..  ##34###34# ##334###334#","//--- END",Results!I16)</f>
        <v>* observation.code.displayName 0..* string ##34#A.5.2.3.3 Observation display name##34# ##334#Simplified (short name of the observation) for display.##334#</v>
      </c>
    </row>
    <row r="17" spans="3:3" ht="44.25" x14ac:dyDescent="0.75">
      <c r="C17" s="14" t="str">
        <f>IF(Results!I17="*  ..  ##34###34# ##334###334#","//--- END",Results!I17)</f>
        <v>* observation.method 0..* CodeableConcept ##34#A.5.2.4 Observation method##34# ##334#Observation method (measurement principle) to obtain the result.
- Preferred system(s): SNOMED CT##334#</v>
      </c>
    </row>
    <row r="18" spans="3:3" ht="59" x14ac:dyDescent="0.75">
      <c r="C18" s="14"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IF(Results!I19="*  ..  ##34###34# ##334###334#","//--- END",Results!I19)</f>
        <v>* observation.order 0..* BackboneElement ##34#A.5.2.8 Order##34# ##334#Identifies order and order placer this observation belongs to.##334#</v>
      </c>
    </row>
    <row r="20" spans="3:3" ht="44.25" x14ac:dyDescent="0.75">
      <c r="C20" s="14"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IF(Results!I21="*  ..  ##34###34# ##334###334#","//--- END",Results!I21)</f>
        <v>* observation.reporter 0..* BackboneElement ##34#A.5.2.10 Reporter##34# ##334#With certain observation results, e.g. there may also be an interpreter or a person responsible for validation.##334#</v>
      </c>
    </row>
    <row r="22" spans="3:3" ht="73.75" x14ac:dyDescent="0.75">
      <c r="C22" s="14"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IF(Results!I24="*  ..  ##34###34# ##334###334#","//--- END",Results!I24)</f>
        <v>* observation.description 0..* Narrative ##34#A.5.2.13 Result description##34# ##334#Comments and narrative representation of the observation result and findings.##334#</v>
      </c>
    </row>
    <row r="25" spans="3:3" ht="29.5" x14ac:dyDescent="0.75">
      <c r="C25" s="14" t="str">
        <f>IF(Results!I25="*  ..  ##34###34# ##334###334#","//--- END",Results!I25)</f>
        <v>* observation.accreditationStatus 0..* BackboneElement ##34#A.5.2.14 Accreditation status##34# ##334#Accreditation status of the laboratory for the particular observation.##334#</v>
      </c>
    </row>
    <row r="26" spans="3:3" x14ac:dyDescent="0.75">
      <c r="C26" s="14" t="str">
        <f>IF(Results!I26="*  ..  ##34###34# ##334###334#","//--- END",Results!I26)</f>
        <v>//--- END</v>
      </c>
    </row>
    <row r="27" spans="3:3" x14ac:dyDescent="0.75">
      <c r="C27" s="14" t="str">
        <f>IF(Results!I27="*  ..  ##34###34# ##334###334#","//--- END",Results!I27)</f>
        <v>//--- END</v>
      </c>
    </row>
    <row r="28" spans="3:3" x14ac:dyDescent="0.75">
      <c r="C28" s="14" t="str">
        <f>IF(Results!I28="*  ..  ##34###34# ##334###334#","//--- END",Results!I28)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35</vt:i4>
      </vt:variant>
    </vt:vector>
  </HeadingPairs>
  <TitlesOfParts>
    <vt:vector size="35" baseType="lpstr">
      <vt:lpstr>Header</vt:lpstr>
      <vt:lpstr>Body</vt:lpstr>
      <vt:lpstr>Common</vt:lpstr>
      <vt:lpstr>Report</vt:lpstr>
      <vt:lpstr>Report-Map-1</vt:lpstr>
      <vt:lpstr>Report-fsh</vt:lpstr>
      <vt:lpstr>Report-ConceptMap</vt:lpstr>
      <vt:lpstr>Report-CM-fsh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2023-05-26T20:58:34Z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