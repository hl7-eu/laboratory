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F9E843E9-199F-4510-A237-609C5B7BA15F}" xr6:coauthVersionLast="47" xr6:coauthVersionMax="47" xr10:uidLastSave="{00000000-0000-0000-0000-000000000000}"/>
  <bookViews>
    <workbookView xWindow="-90" yWindow="-21710" windowWidth="38620" windowHeight="21100" firstSheet="29" activeTab="32"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1" i="165" l="1"/>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B311" i="138"/>
  <c r="B312" i="138"/>
  <c r="B313" i="138"/>
  <c r="B314" i="138"/>
  <c r="B315"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Q16" i="140"/>
  <c r="S16" i="140" s="1" a="1"/>
  <c r="S16" i="140" s="1"/>
  <c r="R16" i="140"/>
  <c r="Q17" i="140"/>
  <c r="R17" i="140"/>
  <c r="S17" i="140" s="1" a="1"/>
  <c r="S17" i="140" s="1"/>
  <c r="Q18" i="140"/>
  <c r="S18" i="140" s="1" a="1"/>
  <c r="S18" i="140" s="1"/>
  <c r="R18" i="140"/>
  <c r="Q19" i="140"/>
  <c r="R19" i="140"/>
  <c r="S19" i="140" s="1" a="1"/>
  <c r="S19" i="140" s="1"/>
  <c r="Q20" i="140"/>
  <c r="S20" i="140" s="1" a="1"/>
  <c r="S20" i="140" s="1"/>
  <c r="R20" i="140"/>
  <c r="Q21" i="140"/>
  <c r="R21" i="140"/>
  <c r="S21" i="140" s="1" a="1"/>
  <c r="S21" i="140" s="1"/>
  <c r="Q22" i="140"/>
  <c r="S22" i="140" s="1" a="1"/>
  <c r="S22" i="140" s="1"/>
  <c r="R22" i="140"/>
  <c r="Q23" i="140"/>
  <c r="R23" i="140"/>
  <c r="S23" i="140" s="1" a="1"/>
  <c r="S23" i="140" s="1"/>
  <c r="Q24" i="140"/>
  <c r="S24" i="140" s="1" a="1"/>
  <c r="S24" i="140" s="1"/>
  <c r="R24" i="140"/>
  <c r="Q25" i="140"/>
  <c r="R25" i="140"/>
  <c r="S25" i="140" a="1"/>
  <c r="S25" i="140" s="1"/>
  <c r="Q26" i="140"/>
  <c r="S26" i="140" s="1" a="1"/>
  <c r="S26" i="140" s="1"/>
  <c r="R26" i="140"/>
  <c r="Q27" i="140"/>
  <c r="R27" i="140"/>
  <c r="S27" i="140" s="1" a="1"/>
  <c r="S27" i="140" s="1"/>
  <c r="Q28" i="140"/>
  <c r="S28" i="140" s="1" a="1"/>
  <c r="S28" i="140" s="1"/>
  <c r="R28" i="140"/>
  <c r="Q29" i="140"/>
  <c r="R29" i="140"/>
  <c r="S29" i="140" s="1" a="1"/>
  <c r="S29" i="140" s="1"/>
  <c r="Q30" i="140"/>
  <c r="S30" i="140" s="1" a="1"/>
  <c r="S30" i="140" s="1"/>
  <c r="R30" i="140"/>
  <c r="Q31" i="140"/>
  <c r="R31" i="140"/>
  <c r="S31" i="140" a="1"/>
  <c r="S31" i="140"/>
  <c r="Q32" i="140"/>
  <c r="S32" i="140" s="1" a="1"/>
  <c r="S32" i="140" s="1"/>
  <c r="R32" i="140"/>
  <c r="Q33" i="140"/>
  <c r="R33" i="140"/>
  <c r="S33" i="140" a="1"/>
  <c r="S33" i="140" s="1"/>
  <c r="Q34" i="140"/>
  <c r="S34" i="140" s="1" a="1"/>
  <c r="S34" i="140" s="1"/>
  <c r="R34" i="140"/>
  <c r="Q35" i="140"/>
  <c r="R35" i="140"/>
  <c r="S35" i="140" s="1" a="1"/>
  <c r="S35" i="140" s="1"/>
  <c r="Q36" i="140"/>
  <c r="S36" i="140" s="1" a="1"/>
  <c r="S36" i="140" s="1"/>
  <c r="R36" i="140"/>
  <c r="Q37" i="140"/>
  <c r="R37" i="140"/>
  <c r="S37" i="140" s="1" a="1"/>
  <c r="S37" i="140" s="1"/>
  <c r="Q38" i="140"/>
  <c r="S38" i="140" s="1" a="1"/>
  <c r="S38" i="140" s="1"/>
  <c r="R38" i="140"/>
  <c r="Q39" i="140"/>
  <c r="R39" i="140"/>
  <c r="S39" i="140" a="1"/>
  <c r="S39" i="140"/>
  <c r="Q40" i="140"/>
  <c r="S40" i="140" s="1" a="1"/>
  <c r="S40" i="140" s="1"/>
  <c r="R40" i="140"/>
  <c r="Q41" i="140"/>
  <c r="R41" i="140"/>
  <c r="S41" i="140" a="1"/>
  <c r="S41" i="140" s="1"/>
  <c r="Q42" i="140"/>
  <c r="S42" i="140" s="1" a="1"/>
  <c r="S42" i="140" s="1"/>
  <c r="R42" i="140"/>
  <c r="Q43" i="140"/>
  <c r="R43" i="140"/>
  <c r="S43" i="140" s="1" a="1"/>
  <c r="S43" i="140" s="1"/>
  <c r="Q44" i="140"/>
  <c r="S44" i="140" s="1" a="1"/>
  <c r="S44" i="140" s="1"/>
  <c r="R44" i="140"/>
  <c r="Q45" i="140"/>
  <c r="R45" i="140"/>
  <c r="S45" i="140" s="1" a="1"/>
  <c r="S45" i="140" s="1"/>
  <c r="Q46" i="140"/>
  <c r="S46" i="140" s="1" a="1"/>
  <c r="S46" i="140" s="1"/>
  <c r="R46" i="140"/>
  <c r="Q47" i="140"/>
  <c r="R47" i="140"/>
  <c r="S47" i="140" a="1"/>
  <c r="S47" i="140"/>
  <c r="Q48" i="140"/>
  <c r="S48" i="140" s="1" a="1"/>
  <c r="S48" i="140" s="1"/>
  <c r="R48" i="140"/>
  <c r="Q49" i="140"/>
  <c r="R49" i="140"/>
  <c r="S49" i="140" a="1"/>
  <c r="S49" i="140" s="1"/>
  <c r="Q50" i="140"/>
  <c r="S50" i="140" s="1" a="1"/>
  <c r="S50" i="140" s="1"/>
  <c r="R50" i="140"/>
  <c r="Q51" i="140"/>
  <c r="R51" i="140"/>
  <c r="S51" i="140" s="1" a="1"/>
  <c r="S51" i="140" s="1"/>
  <c r="Q52" i="140"/>
  <c r="S52" i="140" s="1" a="1"/>
  <c r="S52" i="140" s="1"/>
  <c r="R52" i="140"/>
  <c r="Q53" i="140"/>
  <c r="R53" i="140"/>
  <c r="S53" i="140" s="1" a="1"/>
  <c r="S53" i="140" s="1"/>
  <c r="Q54" i="140"/>
  <c r="S54" i="140" s="1" a="1"/>
  <c r="S54" i="140" s="1"/>
  <c r="R54" i="140"/>
  <c r="Q55" i="140"/>
  <c r="R55" i="140"/>
  <c r="S55" i="140" a="1"/>
  <c r="S55" i="140"/>
  <c r="Q56" i="140"/>
  <c r="S56" i="140" s="1" a="1"/>
  <c r="S56" i="140" s="1"/>
  <c r="R56" i="140"/>
  <c r="Q57" i="140"/>
  <c r="R57" i="140"/>
  <c r="S57" i="140" a="1"/>
  <c r="S57" i="140" s="1"/>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S63" i="140" a="1"/>
  <c r="S63" i="140"/>
  <c r="Q64" i="140"/>
  <c r="R64" i="140"/>
  <c r="Q65" i="140"/>
  <c r="R65" i="140"/>
  <c r="S65" i="140" a="1"/>
  <c r="S65" i="140" s="1"/>
  <c r="Q66" i="140"/>
  <c r="R66" i="140"/>
  <c r="Q67" i="140"/>
  <c r="S67" i="140" s="1" a="1"/>
  <c r="S67" i="140" s="1"/>
  <c r="R67" i="140"/>
  <c r="Q68" i="140"/>
  <c r="S68" i="140" s="1" a="1"/>
  <c r="S68" i="140" s="1"/>
  <c r="R68" i="140"/>
  <c r="Q69" i="140"/>
  <c r="R69" i="140"/>
  <c r="S69" i="140" s="1" a="1"/>
  <c r="S69" i="140" s="1"/>
  <c r="Q70" i="140"/>
  <c r="S70" i="140" s="1" a="1"/>
  <c r="S70" i="140" s="1"/>
  <c r="R70" i="140"/>
  <c r="Q71" i="140"/>
  <c r="S71" i="140" s="1" a="1"/>
  <c r="S71" i="140" s="1"/>
  <c r="R71" i="140"/>
  <c r="Q72" i="140"/>
  <c r="R72" i="140"/>
  <c r="Q73" i="140"/>
  <c r="R73" i="140"/>
  <c r="S73" i="140" a="1"/>
  <c r="S73" i="140" s="1"/>
  <c r="Q74" i="140"/>
  <c r="R74" i="140"/>
  <c r="Q75" i="140"/>
  <c r="S75" i="140" s="1" a="1"/>
  <c r="S75" i="140" s="1"/>
  <c r="R75" i="140"/>
  <c r="Q76" i="140"/>
  <c r="S76" i="140" s="1" a="1"/>
  <c r="S76" i="140" s="1"/>
  <c r="R76" i="140"/>
  <c r="Q77" i="140"/>
  <c r="R77" i="140"/>
  <c r="S77" i="140" s="1" a="1"/>
  <c r="S77" i="140" s="1"/>
  <c r="Q78" i="140"/>
  <c r="S78" i="140" s="1" a="1"/>
  <c r="S78" i="140" s="1"/>
  <c r="R78" i="140"/>
  <c r="Q79" i="140"/>
  <c r="S79" i="140" s="1" a="1"/>
  <c r="S79" i="140" s="1"/>
  <c r="R79" i="140"/>
  <c r="Q80" i="140"/>
  <c r="R80" i="140"/>
  <c r="Q81" i="140"/>
  <c r="R81" i="140"/>
  <c r="S81" i="140" a="1"/>
  <c r="S81" i="140" s="1"/>
  <c r="Q82" i="140"/>
  <c r="R82" i="140"/>
  <c r="Q83" i="140"/>
  <c r="S83" i="140" s="1" a="1"/>
  <c r="S83" i="140" s="1"/>
  <c r="R83" i="140"/>
  <c r="Q84" i="140"/>
  <c r="S84" i="140" s="1" a="1"/>
  <c r="S84" i="140" s="1"/>
  <c r="R84" i="140"/>
  <c r="Q85" i="140"/>
  <c r="R85" i="140"/>
  <c r="S85" i="140" s="1" a="1"/>
  <c r="S85" i="140" s="1"/>
  <c r="Q86" i="140"/>
  <c r="S86" i="140" s="1" a="1"/>
  <c r="S86" i="140" s="1"/>
  <c r="R86" i="140"/>
  <c r="Q87" i="140"/>
  <c r="S87" i="140" s="1" a="1"/>
  <c r="S87" i="140" s="1"/>
  <c r="R87" i="140"/>
  <c r="Q88" i="140"/>
  <c r="R88" i="140"/>
  <c r="Q89" i="140"/>
  <c r="R89" i="140"/>
  <c r="S89" i="140" a="1"/>
  <c r="S89" i="140" s="1"/>
  <c r="Q90" i="140"/>
  <c r="R90" i="140"/>
  <c r="Q91" i="140"/>
  <c r="S91" i="140" s="1" a="1"/>
  <c r="S91" i="140" s="1"/>
  <c r="R91" i="140"/>
  <c r="Q92" i="140"/>
  <c r="S92" i="140" s="1" a="1"/>
  <c r="S92" i="140" s="1"/>
  <c r="R92" i="140"/>
  <c r="Q93" i="140"/>
  <c r="R93" i="140"/>
  <c r="S93" i="140" s="1" a="1"/>
  <c r="S93" i="140" s="1"/>
  <c r="Q94" i="140"/>
  <c r="S94" i="140" s="1" a="1"/>
  <c r="S94" i="140" s="1"/>
  <c r="R94" i="140"/>
  <c r="Q95" i="140"/>
  <c r="S95" i="140" s="1" a="1"/>
  <c r="S95" i="140" s="1"/>
  <c r="R95" i="140"/>
  <c r="Q96" i="140"/>
  <c r="R96" i="140"/>
  <c r="Q97" i="140"/>
  <c r="R97" i="140"/>
  <c r="S97" i="140" a="1"/>
  <c r="S97" i="140" s="1"/>
  <c r="Q98" i="140"/>
  <c r="R98" i="140"/>
  <c r="Q99" i="140"/>
  <c r="S99" i="140" s="1" a="1"/>
  <c r="S99" i="140" s="1"/>
  <c r="R99" i="140"/>
  <c r="Q100" i="140"/>
  <c r="S100" i="140" s="1" a="1"/>
  <c r="S100" i="140" s="1"/>
  <c r="R100" i="140"/>
  <c r="Q101" i="140"/>
  <c r="R101" i="140"/>
  <c r="S101" i="140" s="1" a="1"/>
  <c r="S101" i="140" s="1"/>
  <c r="Q102" i="140"/>
  <c r="S102" i="140" s="1" a="1"/>
  <c r="S102" i="140" s="1"/>
  <c r="R102" i="140"/>
  <c r="Q103" i="140"/>
  <c r="S103" i="140" s="1" a="1"/>
  <c r="S103" i="140" s="1"/>
  <c r="R103" i="140"/>
  <c r="Q104" i="140"/>
  <c r="R104" i="140"/>
  <c r="Q105" i="140"/>
  <c r="R105" i="140"/>
  <c r="S105" i="140" a="1"/>
  <c r="S105" i="140" s="1"/>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S111" i="140" s="1" a="1"/>
  <c r="S111" i="140" s="1"/>
  <c r="R111" i="140"/>
  <c r="Q112" i="140"/>
  <c r="R112" i="140"/>
  <c r="Q113" i="140"/>
  <c r="R113" i="140"/>
  <c r="S113" i="140" a="1"/>
  <c r="S113" i="140" s="1"/>
  <c r="Q114" i="140"/>
  <c r="R114" i="140"/>
  <c r="Q115" i="140"/>
  <c r="S115" i="140" s="1" a="1"/>
  <c r="S115" i="140" s="1"/>
  <c r="R115" i="140"/>
  <c r="Q116" i="140"/>
  <c r="S116" i="140" s="1" a="1"/>
  <c r="S116" i="140" s="1"/>
  <c r="R116" i="140"/>
  <c r="Q117" i="140"/>
  <c r="R117" i="140"/>
  <c r="S117" i="140" s="1" a="1"/>
  <c r="S117" i="140" s="1"/>
  <c r="Q118" i="140"/>
  <c r="R118" i="140"/>
  <c r="S118" i="140" a="1"/>
  <c r="S118" i="140" s="1"/>
  <c r="Q119" i="140"/>
  <c r="R119" i="140"/>
  <c r="S119" i="140" a="1"/>
  <c r="S119" i="140" s="1"/>
  <c r="Q120" i="140"/>
  <c r="S120" i="140" s="1" a="1"/>
  <c r="S120" i="140" s="1"/>
  <c r="R120" i="140"/>
  <c r="Q121" i="140"/>
  <c r="S121" i="140" s="1" a="1"/>
  <c r="S121" i="140" s="1"/>
  <c r="R121" i="140"/>
  <c r="Q122" i="140"/>
  <c r="S122" i="140" s="1" a="1"/>
  <c r="S122" i="140" s="1"/>
  <c r="R122" i="140"/>
  <c r="Q123" i="140"/>
  <c r="R123" i="140"/>
  <c r="S123" i="140" s="1" a="1"/>
  <c r="S123" i="140" s="1"/>
  <c r="Q124" i="140"/>
  <c r="R124" i="140"/>
  <c r="S124" i="140" a="1"/>
  <c r="S124" i="140" s="1"/>
  <c r="Q125" i="140"/>
  <c r="R125" i="140"/>
  <c r="S125" i="140" a="1"/>
  <c r="S125" i="140" s="1"/>
  <c r="Q126" i="140"/>
  <c r="R126" i="140"/>
  <c r="S126" i="140" s="1" a="1"/>
  <c r="S126" i="140" s="1"/>
  <c r="Q127" i="140"/>
  <c r="S127" i="140" s="1" a="1"/>
  <c r="S127" i="140" s="1"/>
  <c r="R127" i="140"/>
  <c r="Q128" i="140"/>
  <c r="R128" i="140"/>
  <c r="S128" i="140" a="1"/>
  <c r="S128" i="140" s="1"/>
  <c r="Q129" i="140"/>
  <c r="S129" i="140" s="1" a="1"/>
  <c r="S129" i="140" s="1"/>
  <c r="R129" i="140"/>
  <c r="Q130" i="140"/>
  <c r="S130" i="140" s="1" a="1"/>
  <c r="S130" i="140" s="1"/>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S135" i="140" a="1"/>
  <c r="S135" i="140" s="1"/>
  <c r="Q136" i="140"/>
  <c r="S136" i="140" s="1" a="1"/>
  <c r="S136" i="140" s="1"/>
  <c r="R136" i="140"/>
  <c r="Q137" i="140"/>
  <c r="S137" i="140" s="1" a="1"/>
  <c r="S137" i="140" s="1"/>
  <c r="R137" i="140"/>
  <c r="Q138" i="140"/>
  <c r="S138" i="140" s="1" a="1"/>
  <c r="S138" i="140" s="1"/>
  <c r="R138" i="140"/>
  <c r="Q139" i="140"/>
  <c r="R139" i="140"/>
  <c r="S139" i="140" s="1" a="1"/>
  <c r="S139" i="140" s="1"/>
  <c r="Q140" i="140"/>
  <c r="R140" i="140"/>
  <c r="S140" i="140" a="1"/>
  <c r="S140" i="140" s="1"/>
  <c r="Q141" i="140"/>
  <c r="R141" i="140"/>
  <c r="S141" i="140" a="1"/>
  <c r="S141" i="140" s="1"/>
  <c r="Q142" i="140"/>
  <c r="R142" i="140"/>
  <c r="S142" i="140" s="1" a="1"/>
  <c r="S142" i="140" s="1"/>
  <c r="Q143" i="140"/>
  <c r="S143" i="140" s="1" a="1"/>
  <c r="S143" i="140" s="1"/>
  <c r="R143" i="140"/>
  <c r="Q144" i="140"/>
  <c r="R144" i="140"/>
  <c r="S144" i="140" a="1"/>
  <c r="S144" i="140" s="1"/>
  <c r="Q145" i="140"/>
  <c r="S145" i="140" s="1" a="1"/>
  <c r="S145" i="140" s="1"/>
  <c r="R145" i="140"/>
  <c r="Q146" i="140"/>
  <c r="S146" i="140" s="1" a="1"/>
  <c r="S146" i="140" s="1"/>
  <c r="R146" i="140"/>
  <c r="Q147" i="140"/>
  <c r="R147" i="140"/>
  <c r="S147" i="140" a="1"/>
  <c r="S147" i="140" s="1"/>
  <c r="Q148" i="140"/>
  <c r="R148" i="140"/>
  <c r="S148" i="140" s="1" a="1"/>
  <c r="S148" i="140" s="1"/>
  <c r="Q149" i="140"/>
  <c r="R149" i="140"/>
  <c r="S149" i="140" s="1" a="1"/>
  <c r="S149" i="140" s="1"/>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R23" i="137"/>
  <c r="Q24" i="137"/>
  <c r="R24" i="137"/>
  <c r="Q25" i="137"/>
  <c r="S25" i="137" s="1" a="1"/>
  <c r="S25" i="137" s="1"/>
  <c r="R25" i="137"/>
  <c r="Q26" i="137"/>
  <c r="S26" i="137" s="1" a="1"/>
  <c r="R26" i="137"/>
  <c r="S26" i="137"/>
  <c r="Q27" i="137"/>
  <c r="S27" i="137" s="1" a="1"/>
  <c r="S27" i="137" s="1"/>
  <c r="R27" i="137"/>
  <c r="Q28" i="137"/>
  <c r="R28" i="137"/>
  <c r="Q29" i="137"/>
  <c r="S29" i="137" s="1" a="1"/>
  <c r="S29" i="137" s="1"/>
  <c r="R29" i="137"/>
  <c r="Q30" i="137"/>
  <c r="S30" i="137" s="1" a="1"/>
  <c r="S30" i="137" s="1"/>
  <c r="R30" i="137"/>
  <c r="Q31" i="137"/>
  <c r="S31" i="137" s="1" a="1"/>
  <c r="S31" i="137" s="1"/>
  <c r="R31" i="137"/>
  <c r="Q32" i="137"/>
  <c r="R32" i="137"/>
  <c r="Q33" i="137"/>
  <c r="S33" i="137" s="1" a="1"/>
  <c r="S33" i="137" s="1"/>
  <c r="R33" i="137"/>
  <c r="Q34" i="137"/>
  <c r="R34" i="137"/>
  <c r="Q35" i="137"/>
  <c r="S35" i="137" s="1" a="1"/>
  <c r="S35" i="137" s="1"/>
  <c r="R35" i="137"/>
  <c r="Q36" i="137"/>
  <c r="R36" i="137"/>
  <c r="Q37" i="137"/>
  <c r="S37" i="137" s="1" a="1"/>
  <c r="S37" i="137" s="1"/>
  <c r="R37" i="137"/>
  <c r="Q38" i="137"/>
  <c r="S38" i="137" s="1" a="1"/>
  <c r="S38" i="137" s="1"/>
  <c r="R38" i="137"/>
  <c r="Q39" i="137"/>
  <c r="S39" i="137" s="1" a="1"/>
  <c r="S39" i="137" s="1"/>
  <c r="R39" i="137"/>
  <c r="Q40" i="137"/>
  <c r="R40" i="137"/>
  <c r="Q41" i="137"/>
  <c r="S41" i="137" s="1" a="1"/>
  <c r="S41" i="137" s="1"/>
  <c r="R41" i="137"/>
  <c r="Q42" i="137"/>
  <c r="S42" i="137" s="1" a="1"/>
  <c r="R42" i="137"/>
  <c r="S42" i="137"/>
  <c r="Q43" i="137"/>
  <c r="S43" i="137" s="1" a="1"/>
  <c r="S43" i="137" s="1"/>
  <c r="R43" i="137"/>
  <c r="Q44" i="137"/>
  <c r="R44" i="137"/>
  <c r="Q45" i="137"/>
  <c r="S45" i="137" s="1" a="1"/>
  <c r="S45" i="137" s="1"/>
  <c r="R45" i="137"/>
  <c r="Q46" i="137"/>
  <c r="S46" i="137" s="1" a="1"/>
  <c r="S46" i="137" s="1"/>
  <c r="R46" i="137"/>
  <c r="Q47" i="137"/>
  <c r="S47" i="137" s="1" a="1"/>
  <c r="S47" i="137" s="1"/>
  <c r="R47" i="137"/>
  <c r="Q48" i="137"/>
  <c r="R48" i="137"/>
  <c r="Q49" i="137"/>
  <c r="R49" i="137"/>
  <c r="S49" i="137" a="1"/>
  <c r="S49" i="137" s="1"/>
  <c r="Q50" i="137"/>
  <c r="R50" i="137"/>
  <c r="Q51" i="137"/>
  <c r="R51" i="137"/>
  <c r="S51" i="137" a="1"/>
  <c r="S51" i="137" s="1"/>
  <c r="Q52" i="137"/>
  <c r="R52" i="137"/>
  <c r="Q53" i="137"/>
  <c r="R53" i="137"/>
  <c r="S53" i="137" a="1"/>
  <c r="S53" i="137" s="1"/>
  <c r="Q54" i="137"/>
  <c r="R54" i="137"/>
  <c r="Q55" i="137"/>
  <c r="R55" i="137"/>
  <c r="S55" i="137" a="1"/>
  <c r="S55" i="137" s="1"/>
  <c r="Q56" i="137"/>
  <c r="R56" i="137"/>
  <c r="Q57" i="137"/>
  <c r="R57" i="137"/>
  <c r="S57" i="137" a="1"/>
  <c r="S57" i="137" s="1"/>
  <c r="Q58" i="137"/>
  <c r="R58" i="137"/>
  <c r="Q59" i="137"/>
  <c r="R59" i="137"/>
  <c r="S59" i="137" a="1"/>
  <c r="S59" i="137" s="1"/>
  <c r="Q60" i="137"/>
  <c r="R60" i="137"/>
  <c r="Q61" i="137"/>
  <c r="R61" i="137"/>
  <c r="S61" i="137" a="1"/>
  <c r="S61" i="137" s="1"/>
  <c r="Q62" i="137"/>
  <c r="R62" i="137"/>
  <c r="Q63" i="137"/>
  <c r="R63" i="137"/>
  <c r="S63" i="137" a="1"/>
  <c r="S63" i="137" s="1"/>
  <c r="Q64" i="137"/>
  <c r="R64" i="137"/>
  <c r="Q65" i="137"/>
  <c r="R65" i="137"/>
  <c r="S65" i="137" a="1"/>
  <c r="S65" i="137" s="1"/>
  <c r="Q66" i="137"/>
  <c r="R66" i="137"/>
  <c r="Q67" i="137"/>
  <c r="R67" i="137"/>
  <c r="S67" i="137" a="1"/>
  <c r="S67" i="137" s="1"/>
  <c r="Q68" i="137"/>
  <c r="R68" i="137"/>
  <c r="Q69" i="137"/>
  <c r="R69" i="137"/>
  <c r="S69" i="137" a="1"/>
  <c r="S69" i="137" s="1"/>
  <c r="Q70" i="137"/>
  <c r="R70" i="137"/>
  <c r="Q71" i="137"/>
  <c r="R71" i="137"/>
  <c r="S71" i="137" a="1"/>
  <c r="S71" i="137" s="1"/>
  <c r="Q72" i="137"/>
  <c r="R72" i="137"/>
  <c r="Q73" i="137"/>
  <c r="R73" i="137"/>
  <c r="S73" i="137" a="1"/>
  <c r="S73" i="137" s="1"/>
  <c r="Q74" i="137"/>
  <c r="R74" i="137"/>
  <c r="Q75" i="137"/>
  <c r="R75" i="137"/>
  <c r="S75" i="137" a="1"/>
  <c r="S75" i="137" s="1"/>
  <c r="Q76" i="137"/>
  <c r="R76" i="137"/>
  <c r="Q77" i="137"/>
  <c r="R77" i="137"/>
  <c r="S77" i="137" a="1"/>
  <c r="S77" i="137" s="1"/>
  <c r="Q78" i="137"/>
  <c r="R78" i="137"/>
  <c r="Q79" i="137"/>
  <c r="R79" i="137"/>
  <c r="S79" i="137" a="1"/>
  <c r="S79" i="137" s="1"/>
  <c r="Q80" i="137"/>
  <c r="R80" i="137"/>
  <c r="Q81" i="137"/>
  <c r="R81" i="137"/>
  <c r="S81" i="137" a="1"/>
  <c r="S81" i="137" s="1"/>
  <c r="Q82" i="137"/>
  <c r="R82" i="137"/>
  <c r="Q83" i="137"/>
  <c r="R83" i="137"/>
  <c r="S83" i="137" a="1"/>
  <c r="S83" i="137" s="1"/>
  <c r="Q84" i="137"/>
  <c r="R84" i="137"/>
  <c r="Q85" i="137"/>
  <c r="R85" i="137"/>
  <c r="S85" i="137" a="1"/>
  <c r="S85" i="137" s="1"/>
  <c r="Q86" i="137"/>
  <c r="R86" i="137"/>
  <c r="Q87" i="137"/>
  <c r="R87" i="137"/>
  <c r="S87" i="137" a="1"/>
  <c r="S87" i="137" s="1"/>
  <c r="Q88" i="137"/>
  <c r="R88" i="137"/>
  <c r="Q89" i="137"/>
  <c r="R89" i="137"/>
  <c r="S89" i="137" a="1"/>
  <c r="S89" i="137" s="1"/>
  <c r="Q90" i="137"/>
  <c r="R90" i="137"/>
  <c r="Q91" i="137"/>
  <c r="R91" i="137"/>
  <c r="S91" i="137" a="1"/>
  <c r="S91" i="137" s="1"/>
  <c r="Q92" i="137"/>
  <c r="R92" i="137"/>
  <c r="Q93" i="137"/>
  <c r="R93" i="137"/>
  <c r="S93" i="137" a="1"/>
  <c r="S93" i="137" s="1"/>
  <c r="Q94" i="137"/>
  <c r="R94" i="137"/>
  <c r="Q95" i="137"/>
  <c r="R95" i="137"/>
  <c r="S95" i="137" a="1"/>
  <c r="S95" i="137" s="1"/>
  <c r="Q96" i="137"/>
  <c r="R96" i="137"/>
  <c r="Q97" i="137"/>
  <c r="R97" i="137"/>
  <c r="S97" i="137" a="1"/>
  <c r="S97" i="137" s="1"/>
  <c r="Q98" i="137"/>
  <c r="R98" i="137"/>
  <c r="Q99" i="137"/>
  <c r="R99" i="137"/>
  <c r="S99" i="137" a="1"/>
  <c r="S99" i="137" s="1"/>
  <c r="Q100" i="137"/>
  <c r="R100" i="137"/>
  <c r="Q101" i="137"/>
  <c r="R101" i="137"/>
  <c r="S101" i="137" a="1"/>
  <c r="S101" i="137" s="1"/>
  <c r="Q102" i="137"/>
  <c r="R102" i="137"/>
  <c r="Q103" i="137"/>
  <c r="R103" i="137"/>
  <c r="S103" i="137" a="1"/>
  <c r="S103" i="137" s="1"/>
  <c r="Q104" i="137"/>
  <c r="R104" i="137"/>
  <c r="Q105" i="137"/>
  <c r="R105" i="137"/>
  <c r="S105" i="137" a="1"/>
  <c r="S105" i="137" s="1"/>
  <c r="Q106" i="137"/>
  <c r="R106" i="137"/>
  <c r="Q107" i="137"/>
  <c r="R107" i="137"/>
  <c r="S107" i="137" a="1"/>
  <c r="S107" i="137" s="1"/>
  <c r="Q108" i="137"/>
  <c r="R108" i="137"/>
  <c r="Q109" i="137"/>
  <c r="R109" i="137"/>
  <c r="S109" i="137" a="1"/>
  <c r="S109" i="137" s="1"/>
  <c r="Q110" i="137"/>
  <c r="R110" i="137"/>
  <c r="Q111" i="137"/>
  <c r="R111" i="137"/>
  <c r="S111" i="137" a="1"/>
  <c r="S111" i="137" s="1"/>
  <c r="Q112" i="137"/>
  <c r="R112" i="137"/>
  <c r="Q113" i="137"/>
  <c r="R113" i="137"/>
  <c r="S113" i="137" a="1"/>
  <c r="S113" i="137" s="1"/>
  <c r="Q114" i="137"/>
  <c r="R114" i="137"/>
  <c r="Q115" i="137"/>
  <c r="R115" i="137"/>
  <c r="S115" i="137" a="1"/>
  <c r="S115" i="137" s="1"/>
  <c r="Q116" i="137"/>
  <c r="R116" i="137"/>
  <c r="Q117" i="137"/>
  <c r="R117" i="137"/>
  <c r="S117" i="137" a="1"/>
  <c r="S117" i="137" s="1"/>
  <c r="Q118" i="137"/>
  <c r="R118" i="137"/>
  <c r="Q119" i="137"/>
  <c r="R119" i="137"/>
  <c r="S119" i="137" a="1"/>
  <c r="S119" i="137" s="1"/>
  <c r="Q120" i="137"/>
  <c r="R120" i="137"/>
  <c r="Q121" i="137"/>
  <c r="R121" i="137"/>
  <c r="S121" i="137" a="1"/>
  <c r="S121" i="137" s="1"/>
  <c r="Q122" i="137"/>
  <c r="R122" i="137"/>
  <c r="Q123" i="137"/>
  <c r="R123" i="137"/>
  <c r="S123" i="137" a="1"/>
  <c r="S123" i="137" s="1"/>
  <c r="Q124" i="137"/>
  <c r="R124" i="137"/>
  <c r="Q125" i="137"/>
  <c r="R125" i="137"/>
  <c r="S125" i="137" a="1"/>
  <c r="S125" i="137" s="1"/>
  <c r="Q126" i="137"/>
  <c r="R126" i="137"/>
  <c r="Q127" i="137"/>
  <c r="R127" i="137"/>
  <c r="S127" i="137" a="1"/>
  <c r="S127" i="137" s="1"/>
  <c r="Q128" i="137"/>
  <c r="R128" i="137"/>
  <c r="Q129" i="137"/>
  <c r="R129" i="137"/>
  <c r="S129" i="137" a="1"/>
  <c r="S129" i="137" s="1"/>
  <c r="Q130" i="137"/>
  <c r="R130" i="137"/>
  <c r="Q131" i="137"/>
  <c r="R131" i="137"/>
  <c r="S131" i="137" a="1"/>
  <c r="S131" i="137" s="1"/>
  <c r="Q132" i="137"/>
  <c r="R132" i="137"/>
  <c r="Q133" i="137"/>
  <c r="R133" i="137"/>
  <c r="S133" i="137" a="1"/>
  <c r="S133" i="137" s="1"/>
  <c r="Q134" i="137"/>
  <c r="R134" i="137"/>
  <c r="Q135" i="137"/>
  <c r="R135" i="137"/>
  <c r="S135" i="137" a="1"/>
  <c r="S135" i="137" s="1"/>
  <c r="Q136" i="137"/>
  <c r="R136" i="137"/>
  <c r="Q137" i="137"/>
  <c r="R137" i="137"/>
  <c r="S137" i="137" a="1"/>
  <c r="S137" i="137" s="1"/>
  <c r="Q138" i="137"/>
  <c r="R138" i="137"/>
  <c r="Q139" i="137"/>
  <c r="R139" i="137"/>
  <c r="S139" i="137" a="1"/>
  <c r="S139" i="137" s="1"/>
  <c r="Q140" i="137"/>
  <c r="R140" i="137"/>
  <c r="Q141" i="137"/>
  <c r="R141" i="137"/>
  <c r="S141" i="137" a="1"/>
  <c r="S141" i="137" s="1"/>
  <c r="Q142" i="137"/>
  <c r="R142" i="137"/>
  <c r="Q143" i="137"/>
  <c r="R143" i="137"/>
  <c r="S143" i="137" a="1"/>
  <c r="S143" i="137" s="1"/>
  <c r="Q144" i="137"/>
  <c r="R144" i="137"/>
  <c r="Q145" i="137"/>
  <c r="R145" i="137"/>
  <c r="S145" i="137" a="1"/>
  <c r="S145" i="137" s="1"/>
  <c r="Q146" i="137"/>
  <c r="R146" i="137"/>
  <c r="Q147" i="137"/>
  <c r="R147" i="137"/>
  <c r="S147" i="137" a="1"/>
  <c r="S147" i="137" s="1"/>
  <c r="Q148" i="137"/>
  <c r="R148" i="137"/>
  <c r="Q149" i="137"/>
  <c r="R149" i="137"/>
  <c r="S149" i="137" a="1"/>
  <c r="S149" i="137" s="1"/>
  <c r="Q150" i="137"/>
  <c r="R150" i="137"/>
  <c r="Q151" i="137"/>
  <c r="R151" i="137"/>
  <c r="S151" i="137" a="1"/>
  <c r="S151" i="137" s="1"/>
  <c r="Q152" i="137"/>
  <c r="R152" i="137"/>
  <c r="Q153" i="137"/>
  <c r="R153" i="137"/>
  <c r="S153" i="137" a="1"/>
  <c r="S153" i="137" s="1"/>
  <c r="Q154" i="137"/>
  <c r="R154" i="137"/>
  <c r="Q155" i="137"/>
  <c r="R155" i="137"/>
  <c r="S155" i="137" a="1"/>
  <c r="S155" i="137" s="1"/>
  <c r="Q156" i="137"/>
  <c r="R156" i="137"/>
  <c r="Q157" i="137"/>
  <c r="R157" i="137"/>
  <c r="S157" i="137" a="1"/>
  <c r="S157" i="137" s="1"/>
  <c r="Q158" i="137"/>
  <c r="R158" i="137"/>
  <c r="Q159" i="137"/>
  <c r="R159" i="137"/>
  <c r="S159" i="137" a="1"/>
  <c r="S159" i="137" s="1"/>
  <c r="Q160" i="137"/>
  <c r="R160" i="137"/>
  <c r="Q161" i="137"/>
  <c r="R161" i="137"/>
  <c r="S161" i="137" a="1"/>
  <c r="S161" i="137"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R21" i="137"/>
  <c r="Q22" i="137"/>
  <c r="R22" i="137"/>
  <c r="S22" i="137" a="1"/>
  <c r="S22"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1" i="147"/>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B78" i="147"/>
  <c r="B79" i="147"/>
  <c r="B80" i="147"/>
  <c r="B81" i="147"/>
  <c r="B82" i="147"/>
  <c r="B83" i="147"/>
  <c r="B84" i="147"/>
  <c r="B85" i="147"/>
  <c r="B86" i="147"/>
  <c r="B87" i="147"/>
  <c r="B88"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R28" i="146"/>
  <c r="Q29" i="146"/>
  <c r="S29" i="146" s="1" a="1"/>
  <c r="S29" i="146" s="1"/>
  <c r="R29" i="146"/>
  <c r="Q30" i="146"/>
  <c r="S30" i="146" s="1" a="1"/>
  <c r="S30" i="146" s="1"/>
  <c r="R30" i="146"/>
  <c r="Q31" i="146"/>
  <c r="S31" i="146" s="1" a="1"/>
  <c r="S31" i="146" s="1"/>
  <c r="R31" i="146"/>
  <c r="Q32" i="146"/>
  <c r="R32" i="146"/>
  <c r="Q33" i="146"/>
  <c r="S33" i="146" s="1" a="1"/>
  <c r="S33" i="146" s="1"/>
  <c r="R33" i="146"/>
  <c r="Q34" i="146"/>
  <c r="S34" i="146" s="1" a="1"/>
  <c r="S34" i="146" s="1"/>
  <c r="R34" i="146"/>
  <c r="Q35" i="146"/>
  <c r="S35" i="146" s="1" a="1"/>
  <c r="S35" i="146" s="1"/>
  <c r="R35" i="146"/>
  <c r="Q36" i="146"/>
  <c r="R36" i="146"/>
  <c r="Q37" i="146"/>
  <c r="S37" i="146" s="1" a="1"/>
  <c r="S37" i="146" s="1"/>
  <c r="R37" i="146"/>
  <c r="Q38" i="146"/>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R44" i="146"/>
  <c r="Q45" i="146"/>
  <c r="S45" i="146" s="1" a="1"/>
  <c r="S45" i="146" s="1"/>
  <c r="R45" i="146"/>
  <c r="Q46" i="146"/>
  <c r="S46" i="146" s="1" a="1"/>
  <c r="S46" i="146" s="1"/>
  <c r="R46" i="146"/>
  <c r="Q47" i="146"/>
  <c r="R47" i="146"/>
  <c r="Q48" i="146"/>
  <c r="S48" i="146" s="1" a="1"/>
  <c r="S48" i="146" s="1"/>
  <c r="R48" i="146"/>
  <c r="Q49" i="146"/>
  <c r="S49" i="146" s="1" a="1"/>
  <c r="S49" i="146" s="1"/>
  <c r="R49" i="146"/>
  <c r="Q50" i="146"/>
  <c r="S50" i="146" s="1" a="1"/>
  <c r="S50" i="146" s="1"/>
  <c r="R50" i="146"/>
  <c r="Q51" i="146"/>
  <c r="S51" i="146" s="1" a="1"/>
  <c r="S51" i="146" s="1"/>
  <c r="R51" i="146"/>
  <c r="Q52" i="146"/>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R60" i="146"/>
  <c r="Q61" i="146"/>
  <c r="S61" i="146" s="1" a="1"/>
  <c r="S61" i="146" s="1"/>
  <c r="R61" i="146"/>
  <c r="Q62" i="146"/>
  <c r="S62" i="146" s="1" a="1"/>
  <c r="S62" i="146" s="1"/>
  <c r="R62" i="146"/>
  <c r="Q63" i="146"/>
  <c r="S63" i="146" s="1" a="1"/>
  <c r="S63" i="146" s="1"/>
  <c r="R63" i="146"/>
  <c r="Q64" i="146"/>
  <c r="S64" i="146" s="1" a="1"/>
  <c r="S64" i="146" s="1"/>
  <c r="R64" i="146"/>
  <c r="Q65" i="146"/>
  <c r="R65" i="146"/>
  <c r="Q66" i="146"/>
  <c r="S66" i="146" s="1" a="1"/>
  <c r="S66" i="146" s="1"/>
  <c r="R66" i="146"/>
  <c r="Q67" i="146"/>
  <c r="S67" i="146" s="1" a="1"/>
  <c r="S67" i="146" s="1"/>
  <c r="R67" i="146"/>
  <c r="Q68" i="146"/>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50" i="153" l="1"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84" i="137" a="1"/>
  <c r="S184" i="137" s="1"/>
  <c r="S176" i="137" a="1"/>
  <c r="S176" i="137" s="1"/>
  <c r="S168" i="137" a="1"/>
  <c r="S168" i="137" s="1"/>
  <c r="S160" i="137" a="1"/>
  <c r="S160" i="137" s="1"/>
  <c r="S152" i="137" a="1"/>
  <c r="S152" i="137" s="1"/>
  <c r="S144" i="137" a="1"/>
  <c r="S144" i="137" s="1"/>
  <c r="S136" i="137" a="1"/>
  <c r="S136" i="137" s="1"/>
  <c r="S128" i="137" a="1"/>
  <c r="S128" i="137" s="1"/>
  <c r="S120" i="137" a="1"/>
  <c r="S120" i="137" s="1"/>
  <c r="S112" i="137" a="1"/>
  <c r="S112" i="137" s="1"/>
  <c r="S104" i="137" a="1"/>
  <c r="S104" i="137" s="1"/>
  <c r="S96" i="137" a="1"/>
  <c r="S96" i="137" s="1"/>
  <c r="S88" i="137" a="1"/>
  <c r="S88" i="137" s="1"/>
  <c r="S80" i="137" a="1"/>
  <c r="S80" i="137" s="1"/>
  <c r="S72" i="137" a="1"/>
  <c r="S72" i="137" s="1"/>
  <c r="S64" i="137" a="1"/>
  <c r="S64" i="137" s="1"/>
  <c r="S56" i="137" a="1"/>
  <c r="S56" i="137" s="1"/>
  <c r="S48" i="137" a="1"/>
  <c r="S48" i="137" s="1"/>
  <c r="S32" i="137" a="1"/>
  <c r="S32" i="137" s="1"/>
  <c r="S186" i="137" a="1"/>
  <c r="S186" i="137" s="1"/>
  <c r="S178" i="137" a="1"/>
  <c r="S178" i="137" s="1"/>
  <c r="S170" i="137" a="1"/>
  <c r="S170" i="137" s="1"/>
  <c r="S162" i="137" a="1"/>
  <c r="S162" i="137" s="1"/>
  <c r="S154" i="137" a="1"/>
  <c r="S154" i="137" s="1"/>
  <c r="S146" i="137" a="1"/>
  <c r="S146" i="137" s="1"/>
  <c r="S138" i="137" a="1"/>
  <c r="S138" i="137" s="1"/>
  <c r="S130" i="137" a="1"/>
  <c r="S130" i="137" s="1"/>
  <c r="S122" i="137" a="1"/>
  <c r="S122" i="137" s="1"/>
  <c r="S114" i="137" a="1"/>
  <c r="S114" i="137" s="1"/>
  <c r="S106" i="137" a="1"/>
  <c r="S106" i="137" s="1"/>
  <c r="S98" i="137" a="1"/>
  <c r="S98" i="137" s="1"/>
  <c r="S90" i="137" a="1"/>
  <c r="S90" i="137" s="1"/>
  <c r="S82" i="137" a="1"/>
  <c r="S82" i="137" s="1"/>
  <c r="S28" i="137" a="1"/>
  <c r="S28" i="137" s="1"/>
  <c r="S34" i="137" a="1"/>
  <c r="S34" i="137" s="1"/>
  <c r="S74" i="137" a="1"/>
  <c r="S74" i="137" s="1"/>
  <c r="S66" i="137" a="1"/>
  <c r="S66" i="137" s="1"/>
  <c r="S58" i="137" a="1"/>
  <c r="S58" i="137" s="1"/>
  <c r="S50" i="137" a="1"/>
  <c r="S50" i="137" s="1"/>
  <c r="S44" i="137" a="1"/>
  <c r="S44" i="137" s="1"/>
  <c r="S188" i="137" a="1"/>
  <c r="S188" i="137" s="1"/>
  <c r="S180" i="137" a="1"/>
  <c r="S180" i="137" s="1"/>
  <c r="S172" i="137" a="1"/>
  <c r="S172" i="137" s="1"/>
  <c r="S164" i="137" a="1"/>
  <c r="S164" i="137" s="1"/>
  <c r="S156" i="137" a="1"/>
  <c r="S156" i="137" s="1"/>
  <c r="S148" i="137" a="1"/>
  <c r="S148" i="137" s="1"/>
  <c r="S140" i="137" a="1"/>
  <c r="S140" i="137" s="1"/>
  <c r="S132" i="137" a="1"/>
  <c r="S132" i="137" s="1"/>
  <c r="S124" i="137" a="1"/>
  <c r="S124" i="137" s="1"/>
  <c r="S116" i="137" a="1"/>
  <c r="S116" i="137" s="1"/>
  <c r="S108" i="137" a="1"/>
  <c r="S108" i="137" s="1"/>
  <c r="S100" i="137" a="1"/>
  <c r="S100" i="137" s="1"/>
  <c r="S92" i="137" a="1"/>
  <c r="S92" i="137" s="1"/>
  <c r="S84" i="137" a="1"/>
  <c r="S84" i="137" s="1"/>
  <c r="S76" i="137" a="1"/>
  <c r="S76" i="137" s="1"/>
  <c r="S68" i="137" a="1"/>
  <c r="S68" i="137" s="1"/>
  <c r="S60" i="137" a="1"/>
  <c r="S60" i="137" s="1"/>
  <c r="S52" i="137" a="1"/>
  <c r="S52" i="137" s="1"/>
  <c r="S40" i="137" a="1"/>
  <c r="S40" i="137" s="1"/>
  <c r="S24" i="137" a="1"/>
  <c r="S24" i="137" s="1"/>
  <c r="S190" i="137" a="1"/>
  <c r="S190" i="137" s="1"/>
  <c r="S182" i="137" a="1"/>
  <c r="S182" i="137" s="1"/>
  <c r="S174" i="137" a="1"/>
  <c r="S174" i="137" s="1"/>
  <c r="S166" i="137" a="1"/>
  <c r="S166" i="137" s="1"/>
  <c r="S158" i="137" a="1"/>
  <c r="S158" i="137" s="1"/>
  <c r="S150" i="137" a="1"/>
  <c r="S150" i="137" s="1"/>
  <c r="S142" i="137" a="1"/>
  <c r="S142" i="137" s="1"/>
  <c r="S134" i="137" a="1"/>
  <c r="S134" i="137" s="1"/>
  <c r="S126" i="137" a="1"/>
  <c r="S126" i="137" s="1"/>
  <c r="S118" i="137" a="1"/>
  <c r="S118" i="137" s="1"/>
  <c r="S110" i="137" a="1"/>
  <c r="S110" i="137" s="1"/>
  <c r="S102" i="137" a="1"/>
  <c r="S102" i="137" s="1"/>
  <c r="S94" i="137" a="1"/>
  <c r="S94" i="137" s="1"/>
  <c r="S86" i="137" a="1"/>
  <c r="S86" i="137" s="1"/>
  <c r="S78" i="137" a="1"/>
  <c r="S78" i="137" s="1"/>
  <c r="S70" i="137" a="1"/>
  <c r="S70" i="137" s="1"/>
  <c r="S62" i="137" a="1"/>
  <c r="S62" i="137" s="1"/>
  <c r="S54" i="137" a="1"/>
  <c r="S54" i="137" s="1"/>
  <c r="S36" i="137" a="1"/>
  <c r="S36" i="137" s="1"/>
  <c r="S68" i="146" a="1"/>
  <c r="S68" i="146" s="1"/>
  <c r="S60" i="146" a="1"/>
  <c r="S60" i="146" s="1"/>
  <c r="S52" i="146" a="1"/>
  <c r="S52" i="146" s="1"/>
  <c r="S44" i="146" a="1"/>
  <c r="S44" i="146" s="1"/>
  <c r="S36" i="146" a="1"/>
  <c r="S36" i="146" s="1"/>
  <c r="S28" i="146" a="1"/>
  <c r="S28" i="146" s="1"/>
  <c r="S65" i="146" a="1"/>
  <c r="S65" i="146" s="1"/>
  <c r="S47" i="146" a="1"/>
  <c r="S47" i="146" s="1"/>
  <c r="S38" i="146" a="1"/>
  <c r="S38" i="146" s="1"/>
  <c r="S32" i="146" a="1"/>
  <c r="S32" i="146"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<sst xmlns="http://schemas.openxmlformats.org/spreadsheetml/2006/main" count="2585" uniqueCount="969">
  <si>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</si>
  <si>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</si>
  <si>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</si>
  <si>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</si>
  <si>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</si>
  <si>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</si>
  <si>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</si>
  <si>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</si>
  <si>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</si>
  <si>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</si>
  <si>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</si>
  <si>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</si>
  <si>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</si>
  <si>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</si>
  <si>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</si>
  <si>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</si>
  <si>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</si>
  <si>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</si>
  <si>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</si>
  <si>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</si>
  <si>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</si>
  <si>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</si>
  <si>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</si>
  <si>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</si>
  <si>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</si>
  <si>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</si>
  <si>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</si>
  <si>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</si>
  <si>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</si>
  <si>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</si>
  <si>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</si>
  <si>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</si>
  <si>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</si>
  <si>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</si>
  <si>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</si>
  <si>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</si>
  <si>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</si>
  <si>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</si>
  <si>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</si>
  <si>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</si>
  <si>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</si>
  <si>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</si>
  <si>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</si>
  <si>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</si>
  <si>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</si>
  <si>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</si>
  <si>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</si>
  <si>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</si>
  <si>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</si>
  <si>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</si>
  <si>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</si>
  <si>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</si>
  <si>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</si>
  <si>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</si>
  <si>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</si>
  <si>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</si>
  <si>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</si>
  <si>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</si>
  <si>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</si>
  <si>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</si>
  <si>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</si>
  <si>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</si>
  <si>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</si>
  <si>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</si>
  <si>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</si>
  <si>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</si>
  <si>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</si>
  <si>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</si>
  <si>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</si>
  <si>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</si>
  <si>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</si>
  <si>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</si>
  <si>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</si>
  <si>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</si>
  <si>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</si>
  <si>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</si>
  <si>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</si>
  <si>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</si>
  <si>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</si>
  <si>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</si>
  <si>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</si>
  <si>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</si>
  <si>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</si>
  <si>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</si>
  <si>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</si>
  <si>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</si>
  <si>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</si>
  <si>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</si>
  <si>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</si>
  <si>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</si>
  <si>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</si>
  <si>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</si>
  <si>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</si>
  <si>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</si>
  <si>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</si>
  <si>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</si>
  <si>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</si>
  <si>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</si>
  <si>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</si>
  <si>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</si>
  <si>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</si>
  <si>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</si>
  <si>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</si>
  <si>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</si>
  <si>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</si>
  <si>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</si>
  <si>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</si>
  <si>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</si>
  <si>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</si>
  <si>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</si>
  <si>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</si>
  <si>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</si>
  <si>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</si>
  <si>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</si>
  <si>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</si>
  <si>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</si>
  <si>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</si>
  <si>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</si>
  <si>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</si>
  <si>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</si>
  <si>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</si>
  <si>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</si>
  <si>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</si>
  <si>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</si>
  <si>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</si>
  <si>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</si>
  <si>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</si>
  <si>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</si>
  <si>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</si>
  <si>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</si>
  <si>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</si>
  <si>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</si>
  <si>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</si>
  <si>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</si>
  <si>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</si>
  <si>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</si>
  <si>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</si>
  <si>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</si>
  <si>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</si>
  <si>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</si>
  <si>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</si>
  <si>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</si>
  <si>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</si>
  <si>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</si>
  <si>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</si>
  <si>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</si>
  <si>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</si>
  <si>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</si>
  <si>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</si>
  <si>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</si>
  <si>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</si>
  <si>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</si>
  <si>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</si>
  <si>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</si>
  <si>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</si>
  <si>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</si>
  <si>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</si>
  <si>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</si>
  <si>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</si>
  <si>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</si>
  <si>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</si>
  <si>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</si>
  <si>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</si>
  <si>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</si>
  <si>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</si>
  <si>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</si>
  <si>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</si>
  <si>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</si>
  <si>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</si>
  <si>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</si>
  <si>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</si>
  <si>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</si>
  <si>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</si>
  <si>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</si>
  <si>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</si>
  <si>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</si>
  <si>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</si>
  <si>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</si>
  <si>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</si>
  <si>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</si>
  <si>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</si>
  <si>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</si>
  <si>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</si>
  <si>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</si>
  <si>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</si>
  <si>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</si>
  <si>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</si>
  <si>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</si>
  <si>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</si>
  <si>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</si>
  <si>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</si>
  <si>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</si>
  <si>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</si>
  <si>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</si>
  <si>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</si>
  <si>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</si>
  <si>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</si>
  <si>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</si>
  <si>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</si>
  <si>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</si>
  <si>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</si>
  <si>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</si>
  <si>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</si>
  <si>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</si>
  <si>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</si>
  <si>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</si>
  <si>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</si>
  <si>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</si>
  <si>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</si>
  <si>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</si>
  <si>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</si>
  <si>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</si>
  <si>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</si>
  <si>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</si>
  <si>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</si>
  <si>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</si>
  <si>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</si>
  <si>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</si>
  <si>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</si>
  <si>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</si>
  <si>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</si>
  <si>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</si>
  <si>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</si>
  <si>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</si>
  <si>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</si>
  <si>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</si>
  <si>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</si>
  <si>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</si>
  <si>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</si>
  <si>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</si>
  <si>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</si>
  <si>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</si>
  <si>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</si>
  <si>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</si>
  <si>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</si>
  <si>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</si>
  <si>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</si>
  <si>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</si>
  <si>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</si>
  <si>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</si>
  <si>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</si>
  <si>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</si>
  <si>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</si>
  <si>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</si>
  <si>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</si>
  <si>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</si>
  <si>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</si>
  <si>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</si>
  <si>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</si>
  <si>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</si>
  <si>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</si>
  <si>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</si>
  <si>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</si>
  <si>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</si>
  <si>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</si>
  <si>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</si>
  <si>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</si>
  <si>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</si>
  <si>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</si>
  <si>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</si>
  <si>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</si>
  <si>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</si>
  <si>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</si>
  <si>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</si>
  <si>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</si>
  <si>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</si>
  <si>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</si>
  <si>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</si>
  <si>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</si>
  <si>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</si>
  <si>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</si>
  <si>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</si>
  <si>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</si>
  <si>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</si>
  <si>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</si>
  <si>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</si>
  <si>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</si>
  <si>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</si>
  <si>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</si>
  <si>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</si>
  <si>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</si>
  <si>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</si>
  <si>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</si>
  <si>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</si>
  <si>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</si>
  <si>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</si>
  <si>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</si>
  <si>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</si>
  <si>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</si>
  <si>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</si>
  <si>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</si>
  <si>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</si>
  <si>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</si>
  <si>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</si>
  <si>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</si>
  <si>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</si>
  <si>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</si>
  <si>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</si>
  <si>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</si>
  <si>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</si>
  <si>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</si>
  <si>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</si>
  <si>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</si>
  <si>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</si>
  <si>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</si>
  <si>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</si>
  <si>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</si>
  <si>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</si>
  <si>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</si>
  <si>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</si>
  <si>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</si>
  <si>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</si>
  <si>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</si>
  <si>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</si>
  <si>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</si>
  <si>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</si>
  <si>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</si>
  <si>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</si>
  <si>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</si>
  <si>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</si>
  <si>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</si>
  <si>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</si>
  <si>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</si>
  <si>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</si>
  <si>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</si>
  <si>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</si>
  <si>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</si>
  <si>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</si>
  <si>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</si>
  <si>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</si>
  <si>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</si>
  <si>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</si>
  <si>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</si>
  <si>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</si>
  <si>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</si>
  <si>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</si>
  <si>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</si>
  <si>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</si>
  <si>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</si>
  <si>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</si>
  <si>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</si>
  <si>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</si>
  <si>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</si>
  <si>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</si>
  <si>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</si>
  <si>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</si>
  <si>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</si>
  <si>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</si>
  <si>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</si>
  <si>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</si>
  <si>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</si>
  <si>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</si>
  <si>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</si>
  <si>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</si>
  <si>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</si>
  <si>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</si>
  <si>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</si>
  <si>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</si>
  <si>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</si>
  <si>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</si>
  <si>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</si>
  <si>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</si>
  <si>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</si>
  <si>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</si>
  <si>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</si>
  <si>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</si>
  <si>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</si>
  <si>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</si>
  <si>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</si>
  <si>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</si>
  <si>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</si>
  <si>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</si>
  <si>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</si>
  <si>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</si>
  <si>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</si>
  <si>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</si>
  <si>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</si>
  <si>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</si>
  <si>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</si>
  <si>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</si>
  <si>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</si>
  <si>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</si>
  <si>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</si>
  <si>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</si>
  <si>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</si>
  <si>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</si>
  <si>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</si>
  <si>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</si>
  <si>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</si>
  <si>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</si>
  <si>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</si>
  <si>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</si>
  <si>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</si>
  <si>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</si>
  <si>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</si>
  <si>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</si>
  <si>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</si>
  <si>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</si>
  <si>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</si>
  <si>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</si>
  <si>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</si>
  <si>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</si>
  <si>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</si>
  <si>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</si>
  <si>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</si>
  <si>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</si>
  <si>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</si>
  <si>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</si>
  <si>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</si>
  <si>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</si>
  <si>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</si>
  <si>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</si>
  <si>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</si>
  <si>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</si>
  <si>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</si>
  <si>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</si>
  <si>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</si>
  <si>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</si>
  <si>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</si>
  <si>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</si>
  <si>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</si>
  <si>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</si>
  <si>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</si>
  <si>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</si>
  <si>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</si>
  <si>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</si>
  <si>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</si>
  <si>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</si>
  <si>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</si>
  <si>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</si>
  <si>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</si>
  <si>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</si>
  <si>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</si>
  <si>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</si>
  <si>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</si>
  <si>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</si>
  <si>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</si>
  <si>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</si>
  <si>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</si>
  <si>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</si>
  <si>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</si>
  <si>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</si>
  <si>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</si>
  <si>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</si>
  <si>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</si>
  <si>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</si>
  <si>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</si>
  <si>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</si>
  <si>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</si>
  <si>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</si>
  <si>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</si>
  <si>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</si>
  <si>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</si>
  <si>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</si>
  <si>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</si>
  <si>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</si>
  <si>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</si>
  <si>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</si>
  <si>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</si>
  <si>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</si>
  <si>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</si>
  <si>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</si>
  <si>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</si>
  <si>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</si>
  <si>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</si>
  <si>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</si>
  <si>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</si>
  <si>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</si>
  <si>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</si>
  <si>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</si>
  <si>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</si>
  <si>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</si>
  <si>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</si>
  <si>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</si>
  <si>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</si>
  <si>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</si>
  <si>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</si>
  <si>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</si>
  <si>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</si>
  <si>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</si>
  <si>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</si>
  <si>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</si>
  <si>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</si>
  <si>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</si>
  <si>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</si>
  <si>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</si>
  <si>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</si>
  <si>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</si>
  <si>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</si>
  <si>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</si>
  <si>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</si>
  <si>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</si>
  <si>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</si>
  <si>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</si>
  <si>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</si>
  <si>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</si>
  <si>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</si>
  <si>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</si>
  <si>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</si>
  <si>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</si>
  <si>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</si>
  <si>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</si>
  <si>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</si>
  <si>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</si>
  <si>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</si>
  <si>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</si>
  <si>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</si>
  <si>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</si>
  <si>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</si>
  <si>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</si>
  <si>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</si>
  <si>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</si>
  <si>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</si>
  <si>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</si>
  <si>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</si>
  <si>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</si>
  <si>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</si>
  <si>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</si>
  <si>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</si>
  <si>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</si>
  <si>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</si>
  <si>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</si>
  <si>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</si>
  <si>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</si>
  <si>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</si>
  <si>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</si>
  <si>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</si>
  <si>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</si>
  <si>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</si>
  <si>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</si>
  <si>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</si>
  <si>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</si>
  <si>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</si>
  <si>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</si>
  <si>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</si>
  <si>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</si>
  <si>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</si>
  <si>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</si>
  <si>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</si>
  <si>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</si>
  <si>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</si>
  <si>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</si>
  <si>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</si>
  <si>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</si>
  <si>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</si>
  <si>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</si>
  <si>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</si>
  <si>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</si>
  <si>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</si>
  <si>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</si>
  <si>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</si>
  <si>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</si>
  <si>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</si>
  <si>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</si>
  <si>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</si>
  <si>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</si>
  <si>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</si>
  <si>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</si>
  <si>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</si>
  <si>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</si>
  <si>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</si>
  <si>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</si>
  <si>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</si>
  <si>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</si>
  <si>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</si>
  <si>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</si>
  <si>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</si>
  <si>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</si>
  <si>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</si>
  <si>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</si>
  <si>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</si>
  <si>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</si>
  <si>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</si>
  <si>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</si>
  <si>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</si>
  <si>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</si>
  <si>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</si>
  <si>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</si>
  <si>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</si>
  <si>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</si>
  <si>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</si>
  <si>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</si>
  <si>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</si>
  <si>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</si>
  <si>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</si>
  <si>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</si>
  <si>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</si>
  <si>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</si>
  <si>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</si>
  <si>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</si>
  <si>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</si>
  <si>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</si>
  <si>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</si>
  <si>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</si>
  <si>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</si>
  <si>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</si>
  <si>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</si>
  <si>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</si>
  <si>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</si>
  <si>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</si>
  <si>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</si>
  <si>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</si>
  <si>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</si>
  <si>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</si>
  <si>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</si>
  <si>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</si>
  <si>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</si>
  <si>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</si>
  <si>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</si>
  <si>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</si>
  <si>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</si>
  <si>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</si>
  <si>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</si>
  <si>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</si>
  <si>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</si>
  <si>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</si>
  <si>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</si>
  <si>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</si>
  <si>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</si>
  <si>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</si>
  <si>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</si>
  <si>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</si>
  <si>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</si>
  <si>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</si>
  <si>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</si>
  <si>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</si>
  <si>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</si>
  <si>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</si>
  <si>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</si>
  <si>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</si>
  <si>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</si>
  <si>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</si>
  <si>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</si>
  <si>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</si>
  <si>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</si>
  <si>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</si>
  <si>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</si>
  <si>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</si>
  <si>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</si>
  <si>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</si>
  <si>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</si>
  <si>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</si>
  <si>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</si>
  <si>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</si>
  <si>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</si>
  <si>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</si>
  <si>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</si>
  <si>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</si>
  <si>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</si>
  <si>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</si>
  <si>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</si>
  <si>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</si>
  <si>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</si>
  <si>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</si>
  <si>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</si>
  <si>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</si>
  <si>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</si>
  <si>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</si>
  <si>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</si>
  <si>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</si>
  <si>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</si>
  <si>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</si>
  <si>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</si>
  <si>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</si>
  <si>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</si>
  <si>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</si>
  <si>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</si>
  <si>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</si>
  <si>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</si>
  <si>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</si>
  <si>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</si>
  <si>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</si>
  <si>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</si>
  <si>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</si>
  <si>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</si>
  <si>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</si>
  <si>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</si>
  <si>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</si>
  <si>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</si>
  <si>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</si>
  <si>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</si>
  <si>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</si>
  <si>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</si>
  <si>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</si>
  <si>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</si>
  <si>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</si>
  <si>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</si>
  <si>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</si>
  <si>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</si>
  <si>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</si>
  <si>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</si>
  <si>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</si>
  <si>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</si>
  <si>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</si>
  <si>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</si>
  <si>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</si>
  <si>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</si>
  <si>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</si>
  <si>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</si>
  <si>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</si>
  <si>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</si>
  <si>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</si>
  <si>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</si>
  <si>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</si>
  <si>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</si>
  <si>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</si>
  <si>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</si>
  <si>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</si>
  <si>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</si>
  <si>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</si>
  <si>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</si>
  <si>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</si>
  <si>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</si>
  <si>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</si>
  <si>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</si>
  <si>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</si>
  <si>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</si>
  <si>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</si>
  <si>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</si>
  <si>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</si>
  <si>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</si>
  <si>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</si>
  <si>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</si>
  <si>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</si>
  <si>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</si>
  <si>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</si>
  <si>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</si>
  <si>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</si>
  <si>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</si>
  <si>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</si>
  <si>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</si>
  <si>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</si>
  <si>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</si>
  <si>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</si>
  <si>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</si>
  <si>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</si>
  <si>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</si>
  <si>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</si>
  <si>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</si>
  <si>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</si>
  <si>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</si>
  <si>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</si>
  <si>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</si>
  <si>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</si>
  <si>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</si>
  <si>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</si>
  <si>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</si>
  <si>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</si>
  <si>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</si>
  <si>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</si>
  <si>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</si>
  <si>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</si>
  <si>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</si>
  <si>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</si>
  <si>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</si>
  <si>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</si>
  <si>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</si>
  <si>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</si>
  <si>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</si>
  <si>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</si>
  <si>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</si>
  <si>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</si>
  <si>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</si>
  <si>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</si>
  <si>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</si>
  <si>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</si>
  <si>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</si>
  <si>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</si>
  <si>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</si>
  <si>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</si>
  <si>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</si>
  <si>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</si>
  <si>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</si>
  <si>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</si>
  <si>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</si>
  <si>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</si>
  <si>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</si>
  <si>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</si>
  <si>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</si>
  <si>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</si>
  <si>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</si>
  <si>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</si>
  <si>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</si>
  <si>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</si>
  <si>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</si>
  <si>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</si>
  <si>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</si>
  <si>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</si>
  <si>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</si>
  <si>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</si>
  <si>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</si>
  <si>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</si>
  <si>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</si>
  <si>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</si>
  <si>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</si>
  <si>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</si>
  <si>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</si>
  <si>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</si>
  <si>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</si>
  <si>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</si>
  <si>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</si>
  <si>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</si>
  <si>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</si>
  <si>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</si>
  <si>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</si>
  <si>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</si>
  <si>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</si>
  <si>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</si>
  <si>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</si>
  <si>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</si>
  <si>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</si>
  <si>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</si>
  <si>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</si>
  <si>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</si>
  <si>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</si>
  <si>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</si>
  <si>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</si>
  <si>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</si>
  <si>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</si>
  <si>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</si>
  <si>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</si>
  <si>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</si>
  <si>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</si>
  <si>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</si>
  <si>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</si>
  <si>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</si>
  <si>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</si>
  <si>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</si>
  <si>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</si>
  <si>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</si>
  <si>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</si>
  <si>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</si>
  <si>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</si>
  <si>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</si>
  <si>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</si>
  <si>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</si>
  <si>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</si>
  <si>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</si>
  <si>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</si>
  <si>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</si>
  <si>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</si>
  <si>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</si>
  <si>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</si>
  <si>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</si>
  <si>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</si>
  <si>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</si>
  <si>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</si>
  <si>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</si>
  <si>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</si>
  <si>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</si>
  <si>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</si>
  <si>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</si>
  <si>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</si>
  <si>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</si>
  <si>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</si>
  <si>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</si>
  <si>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</si>
  <si>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</si>
  <si>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</si>
  <si>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</si>
  <si>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</si>
  <si>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</si>
  <si>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</si>
  <si>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If ValueReference.resolve().ofType(PractionerRole)</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</si>
  <si>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</si>
  <si>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</si>
  <si>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</si>
  <si>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</si>
  <si>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</si>
  <si>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</si>
  <si>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</si>
  <si>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</si>
  <si>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</si>
  <si>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</si>
  <si>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</si>
  <si>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</si>
  <si>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</si>
  <si>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</si>
  <si>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</si>
  <si>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</si>
  <si>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</si>
  <si>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</si>
  <si>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</si>
  <si>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</si>
  <si>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</si>
  <si>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</si>
  <si>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</si>
  <si>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</si>
  <si>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</si>
  <si>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</si>
  <si>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</si>
  <si>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</si>
  <si>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</si>
  <si>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</si>
  <si>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</si>
  <si>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</si>
  <si>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</si>
  <si>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</si>
  <si>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</si>
  <si>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</si>
  <si>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</si>
  <si>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</si>
  <si>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</si>
  <si>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</si>
  <si>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</si>
  <si>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</si>
  <si>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</si>
  <si>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</si>
  <si>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</si>
  <si>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</si>
  <si>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</si>
  <si>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</si>
  <si>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</si>
  <si>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</si>
  <si>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</si>
  <si>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</si>
  <si>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</si>
  <si>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</si>
  <si>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</si>
  <si>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</si>
  <si>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</si>
  <si>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</si>
  <si>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</si>
  <si>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</si>
  <si>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</si>
  <si>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</si>
  <si>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</si>
  <si>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</si>
  <si>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</si>
  <si>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</si>
  <si>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</si>
  <si>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</si>
  <si>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</si>
  <si>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</si>
  <si>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</si>
  <si>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</si>
  <si>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</si>
  <si>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</si>
  <si>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</si>
  <si>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</si>
  <si>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</si>
  <si>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</si>
  <si>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</si>
  <si>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</si>
  <si>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</si>
  <si>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</si>
  <si>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</si>
  <si>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</si>
  <si>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</si>
  <si>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</si>
  <si>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</si>
  <si>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</si>
  <si>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</si>
  <si>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</si>
  <si>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</si>
  <si>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ValueReference.resolve().ofType(PractionerRole). If it is the organization the professional belong to</t>
  </si>
  <si>
    <t>ValueReference.address.country</t>
  </si>
  <si>
    <t>ValueReference.practitioner.address.country</t>
  </si>
  <si>
    <t>If ValueReference.resolve().ofType(Practioner) OR ValueReference.resolve().ofType(Patient)</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</si>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</sst>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5" t="s">
        <v>39</v>
      </c>
      <c r="C3" s="106"/>
      <c r="D3" s="35" t="s">
        <v>40</v>
      </c>
      <c r="E3" s="35" t="s">
        <v>41</v>
      </c>
    </row>
    <row r="4" spans="2:5" ht="16.75" thickBot="1" x14ac:dyDescent="0.9">
      <c r="B4" s="107" t="s">
        <v>42</v>
      </c>
      <c r="C4" s="108"/>
      <c r="D4" s="108"/>
      <c r="E4" s="109"/>
    </row>
    <row r="5" spans="2:5" ht="16.75" thickBot="1" x14ac:dyDescent="0.9">
      <c r="B5" s="107" t="s">
        <v>43</v>
      </c>
      <c r="C5" s="108"/>
      <c r="D5" s="108"/>
      <c r="E5" s="109"/>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10" t="s">
        <v>57</v>
      </c>
      <c r="C10" s="110" t="s">
        <v>58</v>
      </c>
      <c r="D10" s="40" t="s">
        <v>59</v>
      </c>
      <c r="E10" s="113" t="s">
        <v>60</v>
      </c>
    </row>
    <row r="11" spans="2:5" x14ac:dyDescent="0.75">
      <c r="B11" s="111"/>
      <c r="C11" s="111"/>
      <c r="D11" s="41"/>
      <c r="E11" s="114"/>
    </row>
    <row r="12" spans="2:5" ht="32.75" thickBot="1" x14ac:dyDescent="0.9">
      <c r="B12" s="112"/>
      <c r="C12" s="112"/>
      <c r="D12" s="37" t="s">
        <v>61</v>
      </c>
      <c r="E12" s="115"/>
    </row>
    <row r="13" spans="2:5" ht="16.75" thickBot="1" x14ac:dyDescent="0.9">
      <c r="B13" s="102" t="s">
        <v>62</v>
      </c>
      <c r="C13" s="103"/>
      <c r="D13" s="103"/>
      <c r="E13" s="104"/>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2" t="s">
        <v>70</v>
      </c>
      <c r="C16" s="103"/>
      <c r="D16" s="103"/>
      <c r="E16" s="104"/>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2" t="s">
        <v>83</v>
      </c>
      <c r="C21" s="103"/>
      <c r="D21" s="103"/>
      <c r="E21" s="104"/>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2" t="s">
        <v>93</v>
      </c>
      <c r="C25" s="103"/>
      <c r="D25" s="103"/>
      <c r="E25" s="104"/>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2" t="s">
        <v>102</v>
      </c>
      <c r="C29" s="103"/>
      <c r="D29" s="103"/>
      <c r="E29" s="104"/>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2" t="s">
        <v>114</v>
      </c>
      <c r="C34" s="103"/>
      <c r="D34" s="103"/>
      <c r="E34" s="104"/>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2" t="s">
        <v>126</v>
      </c>
      <c r="C39" s="103"/>
      <c r="D39" s="103"/>
      <c r="E39" s="104"/>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5" t="s">
        <v>39</v>
      </c>
      <c r="C3" s="106"/>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10" t="s">
        <v>163</v>
      </c>
      <c r="C12" s="110" t="s">
        <v>164</v>
      </c>
      <c r="D12" s="110" t="s">
        <v>165</v>
      </c>
      <c r="E12" s="43" t="s">
        <v>166</v>
      </c>
    </row>
    <row r="13" spans="2:5" ht="16" x14ac:dyDescent="0.75">
      <c r="B13" s="111"/>
      <c r="C13" s="111"/>
      <c r="D13" s="111"/>
      <c r="E13" s="43" t="s">
        <v>167</v>
      </c>
    </row>
    <row r="14" spans="2:5" ht="16.75" thickBot="1" x14ac:dyDescent="0.9">
      <c r="B14" s="112"/>
      <c r="C14" s="112"/>
      <c r="D14" s="112"/>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10" t="s">
        <v>188</v>
      </c>
      <c r="C22" s="113" t="s">
        <v>189</v>
      </c>
      <c r="D22" s="110" t="s">
        <v>190</v>
      </c>
      <c r="E22" s="43" t="s">
        <v>167</v>
      </c>
    </row>
    <row r="23" spans="2:5" x14ac:dyDescent="0.75">
      <c r="B23" s="111"/>
      <c r="C23" s="114"/>
      <c r="D23" s="111"/>
      <c r="E23" s="41"/>
    </row>
    <row r="24" spans="2:5" ht="16.75" thickBot="1" x14ac:dyDescent="0.9">
      <c r="B24" s="112"/>
      <c r="C24" s="115"/>
      <c r="D24" s="112"/>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2" t="s">
        <v>198</v>
      </c>
      <c r="C27" s="103"/>
      <c r="D27" s="103"/>
      <c r="E27" s="104"/>
    </row>
    <row r="28" spans="2:5" ht="16.75" thickBot="1" x14ac:dyDescent="0.9">
      <c r="B28" s="102" t="s">
        <v>199</v>
      </c>
      <c r="C28" s="103"/>
      <c r="D28" s="103"/>
      <c r="E28" s="104"/>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2" t="s">
        <v>206</v>
      </c>
      <c r="C31" s="103"/>
      <c r="D31" s="103"/>
      <c r="E31" s="104"/>
    </row>
    <row r="32" spans="2:5" ht="16.75" thickBot="1" x14ac:dyDescent="0.9">
      <c r="B32" s="36" t="s">
        <v>207</v>
      </c>
      <c r="C32" s="39" t="s">
        <v>208</v>
      </c>
      <c r="D32" s="37" t="s">
        <v>209</v>
      </c>
      <c r="E32" s="39" t="s">
        <v>113</v>
      </c>
    </row>
    <row r="33" spans="2:5" ht="16" x14ac:dyDescent="0.75">
      <c r="B33" s="110" t="s">
        <v>210</v>
      </c>
      <c r="C33" s="113" t="s">
        <v>211</v>
      </c>
      <c r="D33" s="110" t="s">
        <v>212</v>
      </c>
      <c r="E33" s="43" t="s">
        <v>130</v>
      </c>
    </row>
    <row r="34" spans="2:5" ht="16" x14ac:dyDescent="0.75">
      <c r="B34" s="111"/>
      <c r="C34" s="114"/>
      <c r="D34" s="111"/>
      <c r="E34" s="43" t="s">
        <v>213</v>
      </c>
    </row>
    <row r="35" spans="2:5" ht="16.75" thickBot="1" x14ac:dyDescent="0.9">
      <c r="B35" s="112"/>
      <c r="C35" s="115"/>
      <c r="D35" s="112"/>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10" t="s">
        <v>226</v>
      </c>
      <c r="C40" s="113" t="s">
        <v>227</v>
      </c>
      <c r="D40" s="110" t="s">
        <v>228</v>
      </c>
      <c r="E40" s="43" t="s">
        <v>167</v>
      </c>
    </row>
    <row r="41" spans="2:5" x14ac:dyDescent="0.75">
      <c r="B41" s="111"/>
      <c r="C41" s="114"/>
      <c r="D41" s="111"/>
      <c r="E41" s="41"/>
    </row>
    <row r="42" spans="2:5" ht="16.75" thickBot="1" x14ac:dyDescent="0.9">
      <c r="B42" s="112"/>
      <c r="C42" s="115"/>
      <c r="D42" s="112"/>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10" t="s">
        <v>238</v>
      </c>
      <c r="C46" s="113" t="s">
        <v>239</v>
      </c>
      <c r="D46" s="110" t="s">
        <v>240</v>
      </c>
      <c r="E46" s="43" t="s">
        <v>241</v>
      </c>
    </row>
    <row r="47" spans="2:5" x14ac:dyDescent="0.75">
      <c r="B47" s="111"/>
      <c r="C47" s="114"/>
      <c r="D47" s="111"/>
      <c r="E47" s="44"/>
    </row>
    <row r="48" spans="2:5" ht="16.75" thickBot="1" x14ac:dyDescent="0.9">
      <c r="B48" s="112"/>
      <c r="C48" s="115"/>
      <c r="D48" s="112"/>
      <c r="E48" s="39" t="s">
        <v>242</v>
      </c>
    </row>
    <row r="49" spans="2:5" ht="16" x14ac:dyDescent="0.75">
      <c r="B49" s="110" t="s">
        <v>243</v>
      </c>
      <c r="C49" s="113" t="s">
        <v>244</v>
      </c>
      <c r="D49" s="110" t="s">
        <v>245</v>
      </c>
      <c r="E49" s="43" t="s">
        <v>167</v>
      </c>
    </row>
    <row r="50" spans="2:5" x14ac:dyDescent="0.75">
      <c r="B50" s="111"/>
      <c r="C50" s="114"/>
      <c r="D50" s="111"/>
      <c r="E50" s="41"/>
    </row>
    <row r="51" spans="2:5" ht="48.75" thickBot="1" x14ac:dyDescent="0.9">
      <c r="B51" s="112"/>
      <c r="C51" s="115"/>
      <c r="D51" s="112"/>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849</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876</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826</v>
      </c>
      <c r="C16" s="9" t="s">
        <v>824</v>
      </c>
      <c r="D16" s="9" t="s">
        <v>825</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848</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830</v>
      </c>
      <c r="C21" s="9" t="s">
        <v>828</v>
      </c>
      <c r="D21" s="14" t="s">
        <v>829</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831</v>
      </c>
      <c r="D22" s="14" t="s">
        <v>827</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836</v>
      </c>
      <c r="C23" s="89" t="s">
        <v>832</v>
      </c>
      <c r="D23" s="90" t="s">
        <v>837</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839</v>
      </c>
      <c r="C24" s="91" t="s">
        <v>833</v>
      </c>
      <c r="D24" s="92" t="s">
        <v>838</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840</v>
      </c>
      <c r="C25" s="91" t="s">
        <v>834</v>
      </c>
      <c r="D25" s="92" t="s">
        <v>835</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841</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17" workbookViewId="0">
      <selection activeCell="P20" sqref="P20:S19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818</v>
      </c>
      <c r="D4" s="73" t="s">
        <v>645</v>
      </c>
      <c r="E4" s="84" t="s">
        <v>805</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762</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766</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763</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748</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842</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866</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892</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843</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846</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759</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764</v>
      </c>
      <c r="E37" s="14"/>
      <c r="F37" s="75" t="s">
        <v>619</v>
      </c>
      <c r="G37" s="14" t="s">
        <v>731</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##34#result.resolve().ofType(Observation).specimen##34#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ht="29.5"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ht="29.5"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ht="44.25"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ht="29.5"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ht="29.5"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ht="29.5"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ht="29.5"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ht="29.5"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ht="29.5"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INDEX('Report-ConceptMap-1'!$I$15:$N$271,Q152+1,R152)</f>
        <v>* group[=].element[=].target.comment = ##34#result.resolve().ofType(Observation).specimen##34#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J1" workbookViewId="0">
      <selection activeCell="P15" sqref="P15:S19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805</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765</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766</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767</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769</v>
      </c>
      <c r="E20" s="9"/>
      <c r="F20" s="75" t="s">
        <v>618</v>
      </c>
      <c r="G20" s="82" t="s">
        <v>768</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769</v>
      </c>
      <c r="E21" s="9"/>
      <c r="F21" s="75" t="s">
        <v>618</v>
      </c>
      <c r="G21" s="82" t="s">
        <v>770</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842</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867</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892</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844</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845</v>
      </c>
      <c r="E32" s="14"/>
      <c r="F32" s="75" t="s">
        <v>618</v>
      </c>
      <c r="G32" s="75" t="s">
        <v>847</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765</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771</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757</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772</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unmatched</v>
      </c>
    </row>
    <row r="37" spans="1:19" ht="59" x14ac:dyDescent="0.75">
      <c r="B37" s="9" t="s">
        <v>332</v>
      </c>
      <c r="C37" s="9" t="s">
        <v>198</v>
      </c>
      <c r="D37" s="14" t="s">
        <v>758</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ht="44.25"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ht="44.25"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ht="29.5"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ht="29.5"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ht="44.25"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ht="29.5"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ht="29.5"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ht="29.5"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##34#result.resolve().ofType(Observation).specimen##34#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unmatched</v>
      </c>
    </row>
    <row r="196" spans="2:2" x14ac:dyDescent="0.75">
      <c r="B196" s="14" t="str">
        <f>IF('Report-ConceptMap-2'!S36=0,"//---END",'Report-ConceptMap-2'!S36)</f>
        <v>//-- unmatched</v>
      </c>
    </row>
    <row r="197" spans="2:2" x14ac:dyDescent="0.75">
      <c r="B197" s="14" t="str">
        <f>IF('Report-ConceptMap-2'!S37=0,"//---END",'Report-ConceptMap-2'!S37)</f>
        <v>* group[=].element[=].target.equivalence = #unmatched</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attester.where(mode='legal').party.resolve()##34#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attester.where(mode='professional').party.resolve()##34#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875</v>
      </c>
      <c r="I6" s="26" t="str">
        <f>CONCATENATE("Title: ##34#",B6,"##34#")</f>
        <v>Title: ##34#A1.1, A1.2 - Subject of care##34#</v>
      </c>
    </row>
    <row r="7" spans="1:11" ht="15.5" thickBot="1" x14ac:dyDescent="0.9">
      <c r="A7" s="20" t="s">
        <v>5</v>
      </c>
      <c r="B7" s="21" t="s">
        <v>877</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10" t="s">
        <v>57</v>
      </c>
      <c r="D28" s="110" t="s">
        <v>58</v>
      </c>
      <c r="E28" s="40" t="s">
        <v>59</v>
      </c>
      <c r="F28" s="113"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11"/>
      <c r="D29" s="111"/>
      <c r="E29" s="41"/>
      <c r="F29" s="114"/>
      <c r="I29" s="1" t="str">
        <f t="shared" si="2"/>
        <v xml:space="preserve"> - Preferred system(s): </v>
      </c>
    </row>
    <row r="30" spans="2:9" ht="30.25" customHeight="1" thickBot="1" x14ac:dyDescent="0.9">
      <c r="B30" t="str">
        <f t="shared" si="1"/>
        <v xml:space="preserve"> </v>
      </c>
      <c r="C30" s="112"/>
      <c r="D30" s="112"/>
      <c r="E30" s="37" t="s">
        <v>61</v>
      </c>
      <c r="F30" s="115"/>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2" t="s">
        <v>318</v>
      </c>
      <c r="D31" s="103"/>
      <c r="E31" s="103"/>
      <c r="F31" s="104"/>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122" t="s">
        <v>660</v>
      </c>
      <c r="F3" s="122"/>
      <c r="G3" s="122"/>
    </row>
    <row r="4" spans="1:19" x14ac:dyDescent="0.75">
      <c r="B4" s="73" t="s">
        <v>19</v>
      </c>
      <c r="C4" s="54" t="s">
        <v>819</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887</v>
      </c>
      <c r="I6" s="26" t="str">
        <f>CONCATENATE("Title: ##34#",B6,"##34#")</f>
        <v>Title: ##34#A.1.3 - Health insurance and payment information##34#</v>
      </c>
    </row>
    <row r="7" spans="1:11" ht="15.5" customHeight="1" thickBot="1" x14ac:dyDescent="0.9">
      <c r="A7" s="20" t="s">
        <v>5</v>
      </c>
      <c r="B7" s="21" t="s">
        <v>878</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2" t="s">
        <v>325</v>
      </c>
      <c r="D23" s="103"/>
      <c r="E23" s="103"/>
      <c r="F23" s="104"/>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869</v>
      </c>
      <c r="D4" s="73" t="s">
        <v>645</v>
      </c>
      <c r="E4" s="123" t="s">
        <v>805</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773</v>
      </c>
      <c r="I14" s="14"/>
      <c r="J14" s="9"/>
      <c r="K14" s="9"/>
      <c r="L14" s="9"/>
      <c r="M14" s="71"/>
      <c r="N14" s="74"/>
    </row>
    <row r="15" spans="1:19" ht="73.75" x14ac:dyDescent="0.75">
      <c r="A15" s="23"/>
      <c r="B15" s="9" t="str">
        <f>'A1.3 Payer'!B8</f>
        <v>insurance</v>
      </c>
      <c r="C15" s="9" t="str">
        <f>'A1.3 Payer'!C8</f>
        <v>A.1.3.1 Health insurance information</v>
      </c>
      <c r="D15" s="14" t="s">
        <v>340</v>
      </c>
      <c r="E15" s="62"/>
      <c r="F15" s="75" t="s">
        <v>619</v>
      </c>
      <c r="G15" s="9" t="s">
        <v>950</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951</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951</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951</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869</v>
      </c>
      <c r="D4" s="73" t="s">
        <v>645</v>
      </c>
      <c r="E4" s="123" t="s">
        <v>805</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952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774</v>
      </c>
      <c r="E16" s="9"/>
      <c r="F16" s="75" t="s">
        <v>618</v>
      </c>
      <c r="G16" s="9" t="s">
        <v>953</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775</v>
      </c>
      <c r="E17" s="9"/>
      <c r="F17" s="75" t="s">
        <v>618</v>
      </c>
      <c r="G17" s="9" t="s">
        <v>953</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776</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777</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778</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890</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868</v>
      </c>
      <c r="I6" s="26" t="str">
        <f>CONCATENATE("Title: ##34#",B6,"##34#")</f>
        <v>Title: ##34#A.1.4 - Information recipient##34#</v>
      </c>
    </row>
    <row r="7" spans="1:11" ht="59" x14ac:dyDescent="0.75">
      <c r="A7" s="46" t="s">
        <v>5</v>
      </c>
      <c r="B7" s="58" t="s">
        <v>879</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857</v>
      </c>
      <c r="D11" s="60" t="s">
        <v>858</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862</v>
      </c>
      <c r="C12" s="9" t="s">
        <v>859</v>
      </c>
      <c r="D12" s="14" t="s">
        <v>860</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861</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2" t="s">
        <v>326</v>
      </c>
      <c r="D26" s="103"/>
      <c r="E26" s="103"/>
      <c r="F26" s="104"/>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850</v>
      </c>
      <c r="D30" s="1" t="s">
        <v>64</v>
      </c>
      <c r="E30" s="1" t="s">
        <v>854</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851</v>
      </c>
      <c r="D31" t="s">
        <v>853</v>
      </c>
      <c r="E31" s="1" t="s">
        <v>855</v>
      </c>
      <c r="F31" t="s">
        <v>856</v>
      </c>
      <c r="H31" t="str">
        <f t="shared" ref="H31:H32" si="4">C31&amp;" "&amp;D31</f>
        <v>A.1.4.5 Country</v>
      </c>
      <c r="I31" s="1" t="str">
        <f t="shared" si="3"/>
        <v>Country of the recipient. - Preferred system(s): ISO 3166</v>
      </c>
    </row>
    <row r="32" spans="2:9" ht="192.5" thickBot="1" x14ac:dyDescent="0.9">
      <c r="C32" s="36" t="s">
        <v>852</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900</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901</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902</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903</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904</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20" workbookViewId="0">
      <selection activeCell="I15" sqref="I15:N2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870</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766</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779</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780</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781</v>
      </c>
      <c r="E17" s="9"/>
      <c r="F17" s="75" t="s">
        <v>618</v>
      </c>
      <c r="G17" s="82" t="s">
        <v>954</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782</v>
      </c>
      <c r="E18" s="9"/>
      <c r="F18" s="75" t="s">
        <v>618</v>
      </c>
      <c r="G18" s="82" t="s">
        <v>955</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939</v>
      </c>
      <c r="E19" s="9"/>
      <c r="F19" s="75" t="s">
        <v>618</v>
      </c>
      <c r="G19" s="82" t="s">
        <v>958</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956</v>
      </c>
      <c r="E20" s="9"/>
      <c r="F20" s="75" t="s">
        <v>618</v>
      </c>
      <c r="G20" s="82" t="s">
        <v>958</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940</v>
      </c>
      <c r="E21" s="9"/>
      <c r="F21" s="75" t="s">
        <v>618</v>
      </c>
      <c r="G21" s="82" t="s">
        <v>958</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864</v>
      </c>
      <c r="E22" s="9"/>
      <c r="F22" s="75" t="s">
        <v>619</v>
      </c>
      <c r="G22" s="82" t="s">
        <v>863</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957</v>
      </c>
      <c r="E23" s="9"/>
      <c r="F23" s="75" t="s">
        <v>619</v>
      </c>
      <c r="G23" s="82" t="s">
        <v>863</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865</v>
      </c>
      <c r="E24" s="9"/>
      <c r="F24" s="75" t="s">
        <v>619</v>
      </c>
      <c r="G24" s="82" t="s">
        <v>863</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886</v>
      </c>
      <c r="I6" s="26" t="str">
        <f>CONCATENATE("Title: ##34#",B6,"##34#")</f>
        <v>Title: ##34#A.1.5 - Author##34#</v>
      </c>
    </row>
    <row r="7" spans="1:11" ht="45" customHeight="1" x14ac:dyDescent="0.75">
      <c r="A7" s="46" t="s">
        <v>5</v>
      </c>
      <c r="B7" s="58" t="s">
        <v>880</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93</v>
      </c>
      <c r="D26" s="103"/>
      <c r="E26" s="103"/>
      <c r="F26" s="104"/>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905</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906</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907</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908</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789</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790</v>
      </c>
      <c r="E16" s="9"/>
      <c r="F16" s="75" t="s">
        <v>618</v>
      </c>
      <c r="G16" s="99" t="s">
        <v>943</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913</v>
      </c>
      <c r="E17" s="9"/>
      <c r="F17" s="75" t="s">
        <v>618</v>
      </c>
      <c r="G17" s="14" t="s">
        <v>944</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941</v>
      </c>
      <c r="E18" s="9"/>
      <c r="F18" s="75" t="s">
        <v>618</v>
      </c>
      <c r="G18" s="82" t="s">
        <v>968</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791</v>
      </c>
      <c r="E19" s="9"/>
      <c r="F19" s="75" t="s">
        <v>618</v>
      </c>
      <c r="G19" s="14" t="s">
        <v>945</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942</v>
      </c>
      <c r="E20" s="9"/>
      <c r="F20" s="75" t="s">
        <v>618</v>
      </c>
      <c r="G20" s="82" t="s">
        <v>968</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s="123" t="s">
        <v>805</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783</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784</v>
      </c>
      <c r="E17" s="9"/>
      <c r="F17" s="75" t="s">
        <v>619</v>
      </c>
      <c r="G17" s="82" t="s">
        <v>946</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967</v>
      </c>
      <c r="E18" s="9"/>
      <c r="F18" s="75" t="s">
        <v>619</v>
      </c>
      <c r="G18" s="82" t="s">
        <v>947</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787</v>
      </c>
      <c r="E19" s="9"/>
      <c r="F19" s="75" t="s">
        <v>619</v>
      </c>
      <c r="G19" s="82" t="s">
        <v>948</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910</v>
      </c>
      <c r="E20" s="9"/>
      <c r="F20" s="75" t="s">
        <v>619</v>
      </c>
      <c r="G20" s="82" t="s">
        <v>949</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785</v>
      </c>
      <c r="E21" s="9"/>
      <c r="F21" s="75" t="s">
        <v>619</v>
      </c>
      <c r="G21" s="82" t="s">
        <v>947</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788</v>
      </c>
      <c r="E22" s="9"/>
      <c r="F22" s="75" t="s">
        <v>619</v>
      </c>
      <c r="G22" s="82" t="s">
        <v>949</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748</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787</v>
      </c>
      <c r="E17" s="9"/>
      <c r="F17" s="75" t="s">
        <v>619</v>
      </c>
      <c r="G17" s="75" t="s">
        <v>909</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910</v>
      </c>
      <c r="E18" s="9"/>
      <c r="F18" s="75" t="s">
        <v>619</v>
      </c>
      <c r="G18" s="75" t="s">
        <v>911</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788</v>
      </c>
      <c r="E19" s="9"/>
      <c r="F19" s="75" t="s">
        <v>619</v>
      </c>
      <c r="G19" s="75" t="s">
        <v>912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tabSelected="1"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ht="29.5"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888</v>
      </c>
      <c r="I6" s="26" t="str">
        <f>CONCATENATE("Title: ##34#",B6,"##34#")</f>
        <v>Title: ##34#A.1.6 - Legal authenticator##34#</v>
      </c>
    </row>
    <row r="7" spans="1:11" ht="44.25" x14ac:dyDescent="0.75">
      <c r="A7" s="46" t="s">
        <v>5</v>
      </c>
      <c r="B7" s="58" t="s">
        <v>881</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102</v>
      </c>
      <c r="D26" s="103"/>
      <c r="E26" s="103"/>
      <c r="F26" s="104"/>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914</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915</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916</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917</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905</v>
      </c>
    </row>
    <row r="31" spans="1:15" x14ac:dyDescent="0.75">
      <c r="C31" s="9" t="s">
        <v>906</v>
      </c>
      <c r="E31" s="22"/>
    </row>
    <row r="32" spans="1:15" x14ac:dyDescent="0.75">
      <c r="C32" s="9" t="s">
        <v>907</v>
      </c>
    </row>
    <row r="33" spans="3:3" x14ac:dyDescent="0.75">
      <c r="C33" s="9" t="s">
        <v>908</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871</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792</v>
      </c>
      <c r="E15" s="9"/>
      <c r="F15" s="75" t="s">
        <v>618</v>
      </c>
      <c r="G15" t="s">
        <v>793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794</v>
      </c>
      <c r="E16" s="9"/>
      <c r="F16" s="75" t="s">
        <v>618</v>
      </c>
      <c r="G16" s="14" t="s">
        <v>918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919</v>
      </c>
      <c r="E17" s="9"/>
      <c r="F17" s="75" t="s">
        <v>618</v>
      </c>
      <c r="G17" s="14" t="s">
        <v>920</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795</v>
      </c>
      <c r="E18" s="9"/>
      <c r="F18" s="75" t="s">
        <v>618</v>
      </c>
      <c r="G18" s="14" t="s">
        <v>921</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796</v>
      </c>
      <c r="E19" s="9"/>
      <c r="F19" s="75" t="s">
        <v>618</v>
      </c>
      <c r="G19" s="14" t="s">
        <v>797</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889</v>
      </c>
      <c r="I6" s="26" t="str">
        <f>CONCATENATE("Title: ##34#",B6,"##34#")</f>
        <v>Title: ##34#A.1.7 - Result validator##34#</v>
      </c>
    </row>
    <row r="7" spans="1:11" x14ac:dyDescent="0.75">
      <c r="A7" s="46" t="s">
        <v>5</v>
      </c>
      <c r="B7" s="58" t="s">
        <v>882</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114</v>
      </c>
      <c r="D26" s="103"/>
      <c r="E26" s="103"/>
      <c r="F26" s="104"/>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914</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915</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916</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917</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872</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792</v>
      </c>
      <c r="E15" s="14"/>
      <c r="F15" s="75" t="s">
        <v>618</v>
      </c>
      <c r="G15" t="s">
        <v>798</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794</v>
      </c>
      <c r="E16" s="14"/>
      <c r="F16" s="75" t="s">
        <v>618</v>
      </c>
      <c r="G16" s="14" t="s">
        <v>922</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919</v>
      </c>
      <c r="E17" s="14"/>
      <c r="F17" s="75" t="s">
        <v>618</v>
      </c>
      <c r="G17" s="14" t="s">
        <v>923</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795</v>
      </c>
      <c r="E18" s="14"/>
      <c r="F18" s="75" t="s">
        <v>618</v>
      </c>
      <c r="G18" s="14" t="s">
        <v>924</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796</v>
      </c>
      <c r="E19" s="9"/>
      <c r="F19" s="75" t="s">
        <v>618</v>
      </c>
      <c r="G19" s="14" t="s">
        <v>799</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883</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10" t="s">
        <v>163</v>
      </c>
      <c r="D34" s="110" t="s">
        <v>164</v>
      </c>
      <c r="E34" s="110"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11"/>
      <c r="D35" s="111"/>
      <c r="E35" s="111"/>
      <c r="F35" s="43" t="s">
        <v>167</v>
      </c>
      <c r="I35" s="1" t="str">
        <f t="shared" si="2"/>
        <v xml:space="preserve"> - Preferred system(s): SNOMED CT</v>
      </c>
    </row>
    <row r="36" spans="2:9" ht="32.75" thickBot="1" x14ac:dyDescent="0.9">
      <c r="C36" s="112"/>
      <c r="D36" s="112"/>
      <c r="E36" s="112"/>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925</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926</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927</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928</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929</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930</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873</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800</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801</v>
      </c>
      <c r="E20" s="9"/>
      <c r="F20" s="75" t="s">
        <v>619</v>
      </c>
      <c r="G20" s="14" t="s">
        <v>931</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932</v>
      </c>
      <c r="E21" s="9"/>
      <c r="F21" s="75" t="s">
        <v>619</v>
      </c>
      <c r="G21" s="14" t="s">
        <v>933</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802</v>
      </c>
      <c r="E22" s="9"/>
      <c r="F22" s="75" t="s">
        <v>619</v>
      </c>
      <c r="G22" s="14" t="s">
        <v>934</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803</v>
      </c>
      <c r="E23" s="9"/>
      <c r="F23" s="75" t="s">
        <v>619</v>
      </c>
      <c r="G23" s="14" t="s">
        <v>935</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802</v>
      </c>
      <c r="E24" s="9"/>
      <c r="F24" s="75" t="s">
        <v>619</v>
      </c>
      <c r="G24" s="14" t="s">
        <v>936</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804</v>
      </c>
      <c r="E25" s="9"/>
      <c r="F25" s="75" t="s">
        <v>618</v>
      </c>
      <c r="G25" s="14" t="s">
        <v>937</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822</v>
      </c>
      <c r="I6" s="26" t="str">
        <f>CONCATENATE("Title: ##34#",B6,"##34#")</f>
        <v>Title: ##34#A.4 - Specimen information##34#</v>
      </c>
    </row>
    <row r="7" spans="1:11" x14ac:dyDescent="0.75">
      <c r="A7" s="46" t="s">
        <v>5</v>
      </c>
      <c r="B7" s="19" t="s">
        <v>884</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10" t="s">
        <v>188</v>
      </c>
      <c r="D33" s="113" t="s">
        <v>189</v>
      </c>
      <c r="E33" s="110"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11"/>
      <c r="D34" s="114"/>
      <c r="E34" s="111"/>
      <c r="F34" s="41"/>
      <c r="I34" s="1" t="str">
        <f t="shared" si="2"/>
        <v xml:space="preserve"> - Preferred system(s): </v>
      </c>
    </row>
    <row r="35" spans="2:9" ht="16.75" thickBot="1" x14ac:dyDescent="0.9">
      <c r="B35" t="str">
        <f t="shared" si="1"/>
        <v xml:space="preserve"> </v>
      </c>
      <c r="C35" s="112"/>
      <c r="D35" s="115"/>
      <c r="E35" s="112"/>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3" t="s">
        <v>899</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899</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823</v>
      </c>
      <c r="E16" s="9"/>
      <c r="F16" s="75" t="s">
        <v>619</v>
      </c>
      <c r="G16" s="75" t="s">
        <v>891</v>
      </c>
      <c r="H16" s="76"/>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960</v>
      </c>
      <c r="E20" s="9"/>
      <c r="F20" s="75" t="s">
        <v>619</v>
      </c>
      <c r="G20" s="75" t="s">
        <v>959</v>
      </c>
      <c r="H20" s="76"/>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960</v>
      </c>
      <c r="E21" s="14"/>
      <c r="F21" s="75" t="s">
        <v>619</v>
      </c>
      <c r="G21" s="75" t="s">
        <v>959</v>
      </c>
      <c r="H21" s="76"/>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966</v>
      </c>
      <c r="H22" s="76"/>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728</v>
      </c>
      <c r="E23" s="9"/>
      <c r="F23" s="75" t="s">
        <v>618</v>
      </c>
      <c r="G23" s="75"/>
      <c r="H23" s="76"/>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729</v>
      </c>
      <c r="E24" s="9"/>
      <c r="F24" s="75" t="s">
        <v>618</v>
      </c>
      <c r="G24" s="75"/>
      <c r="H24" s="76"/>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5"/>
      <c r="G31" s="75"/>
      <c r="H31" s="76"/>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5"/>
      <c r="G35" s="75"/>
      <c r="H35" s="76"/>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8"/>
        <v>3</v>
      </c>
      <c r="R38" s="9">
        <f t="shared" si="9"/>
        <v>6</v>
      </c>
      <c r="S38" s="14" t="str" cm="1">
        <f t="array" ref="S38">INDEX('Specimen-ConceptMap-1'!$I$15:$N$124,Q38+1,R38)</f>
        <v/>
      </c>
    </row>
    <row r="39" spans="1:19" x14ac:dyDescent="0.75">
      <c r="B39" s="9"/>
      <c r="C39" s="9"/>
      <c r="D39" s="14"/>
      <c r="E39" s="14"/>
      <c r="F39" s="75"/>
      <c r="G39" s="75"/>
      <c r="H39" s="76"/>
      <c r="K39" s="76"/>
      <c r="L39" s="76"/>
      <c r="M39" s="74"/>
      <c r="N39" s="74"/>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6"/>
      <c r="G43" s="76"/>
      <c r="H43" s="76"/>
      <c r="J43" s="76"/>
      <c r="K43" s="76"/>
      <c r="L43" s="76"/>
      <c r="M43" s="74"/>
      <c r="N43" s="74"/>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3" t="s">
        <v>899</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961</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962</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963</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964</v>
      </c>
      <c r="E16" s="9"/>
      <c r="F16" s="75" t="s">
        <v>618</v>
      </c>
      <c r="G16" s="75" t="s">
        <v>965</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5"/>
      <c r="G27" s="75"/>
      <c r="H27" s="76"/>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5"/>
      <c r="G28" s="75"/>
      <c r="H28" s="76"/>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5"/>
      <c r="G29" s="75"/>
      <c r="H29" s="76"/>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5"/>
      <c r="G30" s="75"/>
      <c r="H30" s="76"/>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5"/>
      <c r="G31" s="75"/>
      <c r="H31" s="76"/>
      <c r="K31" s="76"/>
      <c r="L31" s="76"/>
      <c r="M31" s="74"/>
      <c r="N31" s="74"/>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5"/>
      <c r="G32" s="75"/>
      <c r="H32" s="76"/>
      <c r="K32" s="76"/>
      <c r="L32" s="76"/>
      <c r="M32" s="74"/>
      <c r="N32" s="74"/>
      <c r="P32" s="9">
        <v>18</v>
      </c>
      <c r="Q32" s="9">
        <f t="shared" si="8"/>
        <v>2</v>
      </c>
      <c r="R32" s="9">
        <f t="shared" si="9"/>
        <v>6</v>
      </c>
      <c r="S32" s="14" t="str" cm="1">
        <f t="array" ref="S32">INDEX('Specimen-ConceptMap-2'!$I$15:$N$116,Q32+1,R32)</f>
        <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INDEX('Specimen-ConceptMap-2'!$I$15:$N$116,Q33+1,R33)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INDEX('Specimen-ConceptMap-2'!$I$15:$N$116,Q34+1,R34)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INDEX('Specimen-ConceptMap-2'!$I$15:$N$116,Q35+1,R35)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INDEX('Specimen-ConceptMap-2'!$I$15:$N$116,Q36+1,R36)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100"/>
    </row>
    <row r="87" spans="2:2" x14ac:dyDescent="0.75">
      <c r="B87" s="101" t="str">
        <f>"* group[+].source = ##34#"&amp;'Specimen-ConceptMap-2'!E6&amp;"##34#"</f>
        <v>* group[+].source = ##34#http://hl7.eu/fhir/laboratory/StructureDefinition/SpecimenLab##34#</v>
      </c>
    </row>
    <row r="88" spans="2:2" x14ac:dyDescent="0.75">
      <c r="B88" s="101" t="str">
        <f>"* group[=].target = ##34#"&amp;'Specimen-ConceptMap-2'!E7&amp;"##34#"</f>
        <v>* group[=].target = ##34#http://hl7.eu/fhir/laboratory/StructureDefinition/bodyStructure-eu-lab##34#</v>
      </c>
    </row>
    <row r="89" spans="2:2" x14ac:dyDescent="0.75">
      <c r="B89" s="100"/>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821</v>
      </c>
      <c r="I6" s="26" t="str">
        <f>CONCATENATE("Title: ##34#",B6,"##34#")</f>
        <v>Title: ##34#A.5 - Results data elements##34#</v>
      </c>
    </row>
    <row r="7" spans="1:11" x14ac:dyDescent="0.75">
      <c r="A7" s="46" t="s">
        <v>5</v>
      </c>
      <c r="B7" s="14" t="s">
        <v>885</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2" t="s">
        <v>198</v>
      </c>
      <c r="D36" s="103"/>
      <c r="E36" s="103"/>
      <c r="F36" s="104"/>
    </row>
    <row r="37" spans="2:9" ht="16.75" thickBot="1" x14ac:dyDescent="0.9">
      <c r="B37" t="str">
        <f t="shared" si="1"/>
        <v xml:space="preserve">A.5.1 Laboratory report narrative  </v>
      </c>
      <c r="C37" s="102" t="s">
        <v>535</v>
      </c>
      <c r="D37" s="103"/>
      <c r="E37" s="103"/>
      <c r="F37" s="104"/>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2" t="s">
        <v>537</v>
      </c>
      <c r="D40" s="103"/>
      <c r="E40" s="103"/>
      <c r="F40" s="104"/>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10" t="s">
        <v>210</v>
      </c>
      <c r="D42" s="113" t="s">
        <v>211</v>
      </c>
      <c r="E42" s="110" t="s">
        <v>212</v>
      </c>
      <c r="F42" s="43" t="s">
        <v>130</v>
      </c>
      <c r="I42" s="1" t="str">
        <f t="shared" si="2"/>
        <v>Code representing the observation using the agreed code systems. - Preferred system(s): LOINC</v>
      </c>
    </row>
    <row r="43" spans="2:9" ht="16" x14ac:dyDescent="0.75">
      <c r="B43" t="str">
        <f t="shared" si="1"/>
        <v xml:space="preserve"> </v>
      </c>
      <c r="C43" s="111"/>
      <c r="D43" s="114"/>
      <c r="E43" s="111"/>
      <c r="F43" s="43" t="s">
        <v>213</v>
      </c>
      <c r="I43" s="1" t="str">
        <f t="shared" si="2"/>
        <v xml:space="preserve"> - Preferred system(s): NPU</v>
      </c>
    </row>
    <row r="44" spans="2:9" ht="32.75" thickBot="1" x14ac:dyDescent="0.9">
      <c r="B44" t="str">
        <f t="shared" si="1"/>
        <v xml:space="preserve"> </v>
      </c>
      <c r="C44" s="112"/>
      <c r="D44" s="115"/>
      <c r="E44" s="112"/>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10" t="s">
        <v>226</v>
      </c>
      <c r="D49" s="113" t="s">
        <v>227</v>
      </c>
      <c r="E49" s="110"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11"/>
      <c r="D50" s="114"/>
      <c r="E50" s="111"/>
      <c r="F50" s="41"/>
      <c r="I50" s="1" t="str">
        <f t="shared" si="2"/>
        <v xml:space="preserve"> - Preferred system(s): </v>
      </c>
    </row>
    <row r="51" spans="2:9" ht="16.75" thickBot="1" x14ac:dyDescent="0.9">
      <c r="B51" t="str">
        <f t="shared" si="1"/>
        <v xml:space="preserve"> </v>
      </c>
      <c r="C51" s="112"/>
      <c r="D51" s="115"/>
      <c r="E51" s="112"/>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10" t="s">
        <v>238</v>
      </c>
      <c r="D55" s="113" t="s">
        <v>239</v>
      </c>
      <c r="E55" s="110"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11"/>
      <c r="D56" s="114"/>
      <c r="E56" s="111"/>
      <c r="F56" s="44"/>
      <c r="I56" s="1" t="str">
        <f t="shared" si="2"/>
        <v xml:space="preserve"> - Preferred system(s): </v>
      </c>
    </row>
    <row r="57" spans="2:9" ht="48.75" thickBot="1" x14ac:dyDescent="0.9">
      <c r="B57" t="str">
        <f t="shared" si="1"/>
        <v xml:space="preserve"> </v>
      </c>
      <c r="C57" s="112"/>
      <c r="D57" s="115"/>
      <c r="E57" s="112"/>
      <c r="F57" s="39" t="s">
        <v>242</v>
      </c>
      <c r="I57" s="1" t="str">
        <f t="shared" si="2"/>
        <v xml:space="preserve"> - Preferred system(s): UCUM (for units)</v>
      </c>
    </row>
    <row r="58" spans="2:9" ht="32" x14ac:dyDescent="0.75">
      <c r="B58" t="str">
        <f t="shared" si="1"/>
        <v>A.5.2.12 Observation interpretation</v>
      </c>
      <c r="C58" s="110" t="s">
        <v>243</v>
      </c>
      <c r="D58" s="113" t="s">
        <v>244</v>
      </c>
      <c r="E58" s="110" t="s">
        <v>245</v>
      </c>
      <c r="F58" s="43" t="s">
        <v>167</v>
      </c>
      <c r="I58" s="1" t="str">
        <f t="shared" si="2"/>
        <v>Information about reference intervals and result interpretation. - Preferred system(s): SNOMED CT</v>
      </c>
    </row>
    <row r="59" spans="2:9" x14ac:dyDescent="0.75">
      <c r="B59" t="str">
        <f t="shared" si="1"/>
        <v xml:space="preserve"> </v>
      </c>
      <c r="C59" s="111"/>
      <c r="D59" s="114"/>
      <c r="E59" s="111"/>
      <c r="F59" s="41"/>
      <c r="I59" s="1" t="str">
        <f t="shared" si="2"/>
        <v xml:space="preserve"> - Preferred system(s): </v>
      </c>
    </row>
    <row r="60" spans="2:9" ht="112.75" thickBot="1" x14ac:dyDescent="0.9">
      <c r="B60" t="str">
        <f t="shared" si="1"/>
        <v xml:space="preserve"> </v>
      </c>
      <c r="C60" s="112"/>
      <c r="D60" s="115"/>
      <c r="E60" s="112"/>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816</v>
      </c>
      <c r="D3" s="73" t="s">
        <v>644</v>
      </c>
      <c r="E3" s="84" t="str">
        <f>"http://hl7.eu/fhir/laboratory/StructureDefinition/"&amp;'A.5 Results'!B5</f>
        <v>http://hl7.eu/fhir/laboratory/StructureDefinition/Result</v>
      </c>
    </row>
    <row r="4" spans="1:19" x14ac:dyDescent="0.75">
      <c r="B4" s="73" t="s">
        <v>19</v>
      </c>
      <c r="C4" s="54" t="s">
        <v>817</v>
      </c>
      <c r="D4" s="73" t="s">
        <v>645</v>
      </c>
      <c r="E4" s="123" t="s">
        <v>805</v>
      </c>
      <c r="F4" s="122"/>
      <c r="G4" s="122"/>
    </row>
    <row r="5" spans="1:19" x14ac:dyDescent="0.75">
      <c r="B5" s="73" t="s">
        <v>13</v>
      </c>
      <c r="C5" s="10" t="s">
        <v>732</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733</v>
      </c>
      <c r="D8" s="73"/>
      <c r="E8" s="10"/>
      <c r="I8" s="14" t="s">
        <v>607</v>
      </c>
      <c r="J8" s="14" t="s">
        <v>608</v>
      </c>
      <c r="K8" s="14" t="s">
        <v>609</v>
      </c>
      <c r="L8" s="14" t="s">
        <v>610</v>
      </c>
      <c r="M8" s="9" t="s">
        <v>611</v>
      </c>
      <c r="P8" s="69" t="s">
        <v>612</v>
      </c>
      <c r="Q8" s="69">
        <v>6</v>
      </c>
    </row>
    <row r="9" spans="1:19" ht="29.5" x14ac:dyDescent="0.75">
      <c r="B9" s="73" t="s">
        <v>636</v>
      </c>
      <c r="C9" s="14" t="s">
        <v>734</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736</v>
      </c>
      <c r="E17" s="9"/>
      <c r="F17" s="75" t="s">
        <v>619</v>
      </c>
      <c r="G17" s="75" t="s">
        <v>740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741</v>
      </c>
      <c r="E17" s="9"/>
      <c r="F17" s="75" t="s">
        <v>619</v>
      </c>
      <c r="G17" s="75" t="s">
        <v>738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742</v>
      </c>
      <c r="E18" s="9"/>
      <c r="F18" s="75" t="s">
        <v>619</v>
      </c>
      <c r="G18" s="75" t="s">
        <v>739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741</v>
      </c>
      <c r="E19" s="9"/>
      <c r="F19" s="75" t="s">
        <v>619</v>
      </c>
      <c r="G19" s="75" t="s">
        <v>738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742</v>
      </c>
      <c r="E20" s="9"/>
      <c r="F20" s="75" t="s">
        <v>619</v>
      </c>
      <c r="G20" s="75" t="s">
        <v>739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757</v>
      </c>
      <c r="E21" s="9"/>
      <c r="F21" s="75" t="s">
        <v>619</v>
      </c>
      <c r="G21" s="75" t="s">
        <v>738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758</v>
      </c>
      <c r="E22" s="9"/>
      <c r="F22" s="75" t="s">
        <v>619</v>
      </c>
      <c r="G22" s="75" t="s">
        <v>739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757</v>
      </c>
      <c r="E23" s="9"/>
      <c r="F23" s="75" t="s">
        <v>619</v>
      </c>
      <c r="G23" s="75" t="s">
        <v>737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757</v>
      </c>
      <c r="E24" s="9"/>
      <c r="F24" s="75" t="s">
        <v>619</v>
      </c>
      <c r="G24" s="75" t="s">
        <v>737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757</v>
      </c>
      <c r="E25" s="9"/>
      <c r="F25" s="75" t="s">
        <v>619</v>
      </c>
      <c r="G25" s="75" t="s">
        <v>737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757</v>
      </c>
      <c r="E26" s="9"/>
      <c r="F26" s="75" t="s">
        <v>619</v>
      </c>
      <c r="G26" s="75" t="s">
        <v>737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757</v>
      </c>
      <c r="E27" s="9"/>
      <c r="F27" s="75" t="s">
        <v>619</v>
      </c>
      <c r="G27" s="75" t="s">
        <v>737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757</v>
      </c>
      <c r="E28" s="9"/>
      <c r="F28" s="75" t="s">
        <v>619</v>
      </c>
      <c r="G28" s="75" t="s">
        <v>737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757</v>
      </c>
      <c r="E29" s="14"/>
      <c r="F29" s="75" t="s">
        <v>619</v>
      </c>
      <c r="G29" s="75" t="s">
        <v>737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757</v>
      </c>
      <c r="E30" s="14"/>
      <c r="F30" s="75" t="s">
        <v>619</v>
      </c>
      <c r="G30" s="75" t="s">
        <v>737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757</v>
      </c>
      <c r="E31" s="14"/>
      <c r="F31" s="75" t="s">
        <v>619</v>
      </c>
      <c r="G31" s="75" t="s">
        <v>737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757</v>
      </c>
      <c r="E32" s="14"/>
      <c r="F32" s="75" t="s">
        <v>619</v>
      </c>
      <c r="G32" s="75" t="s">
        <v>737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757</v>
      </c>
      <c r="E33" s="14"/>
      <c r="F33" s="75" t="s">
        <v>619</v>
      </c>
      <c r="G33" s="75" t="s">
        <v>737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757</v>
      </c>
      <c r="E34" s="14"/>
      <c r="F34" s="75" t="s">
        <v>619</v>
      </c>
      <c r="G34" s="75" t="s">
        <v>737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757</v>
      </c>
      <c r="E35" s="14"/>
      <c r="F35" s="75" t="s">
        <v>619</v>
      </c>
      <c r="G35" s="75" t="s">
        <v>737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757</v>
      </c>
      <c r="E36" s="14"/>
      <c r="F36" s="75" t="s">
        <v>619</v>
      </c>
      <c r="G36" s="75" t="s">
        <v>737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743</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745</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754</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807</v>
      </c>
      <c r="E21" s="9"/>
      <c r="F21" s="75" t="s">
        <v>619</v>
      </c>
      <c r="G21" s="75" t="s">
        <v>754</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806</v>
      </c>
      <c r="E22" s="9"/>
      <c r="F22" s="75" t="s">
        <v>619</v>
      </c>
      <c r="G22" s="75" t="s">
        <v>754</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751</v>
      </c>
      <c r="E23" s="9"/>
      <c r="F23" s="75" t="s">
        <v>618</v>
      </c>
      <c r="G23" s="82" t="s">
        <v>809</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750</v>
      </c>
      <c r="E24" s="9"/>
      <c r="F24" s="75" t="s">
        <v>618</v>
      </c>
      <c r="G24" s="82" t="s">
        <v>809</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751</v>
      </c>
      <c r="E25" s="9"/>
      <c r="F25" s="75" t="s">
        <v>618</v>
      </c>
      <c r="G25" s="82" t="s">
        <v>810</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808</v>
      </c>
      <c r="E26" s="9"/>
      <c r="F26" s="75" t="s">
        <v>618</v>
      </c>
      <c r="G26" s="82" t="s">
        <v>811</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746</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747</v>
      </c>
      <c r="E28" s="14"/>
      <c r="F28" s="75" t="s">
        <v>619</v>
      </c>
      <c r="G28" s="82" t="s">
        <v>896</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893</v>
      </c>
      <c r="E29" s="14"/>
      <c r="F29" s="75" t="s">
        <v>619</v>
      </c>
      <c r="G29" s="82" t="s">
        <v>897</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747</v>
      </c>
      <c r="E30" s="14"/>
      <c r="F30" s="75" t="s">
        <v>619</v>
      </c>
      <c r="G30" s="96" t="s">
        <v>894</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895</v>
      </c>
      <c r="E31" s="14"/>
      <c r="F31" s="75" t="s">
        <v>619</v>
      </c>
      <c r="G31" s="96" t="s">
        <v>898</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759</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748</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748</v>
      </c>
      <c r="E34" s="14"/>
      <c r="F34" s="75" t="s">
        <v>619</v>
      </c>
      <c r="G34" s="82" t="s">
        <v>814</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752</v>
      </c>
      <c r="E35" s="14"/>
      <c r="F35" s="75" t="s">
        <v>618</v>
      </c>
      <c r="G35" s="75" t="s">
        <v>754</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753</v>
      </c>
      <c r="E36" s="14"/>
      <c r="F36" s="75" t="s">
        <v>618</v>
      </c>
      <c r="G36" s="75" t="s">
        <v>754</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749</v>
      </c>
      <c r="E37" s="14"/>
      <c r="F37" s="75" t="s">
        <v>618</v>
      </c>
      <c r="G37" s="83" t="s">
        <v>754</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755</v>
      </c>
      <c r="E38" s="14"/>
      <c r="F38" s="75" t="s">
        <v>618</v>
      </c>
      <c r="G38" s="83" t="s">
        <v>754</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735</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760</v>
      </c>
      <c r="E40" s="14"/>
      <c r="F40" s="75" t="s">
        <v>619</v>
      </c>
      <c r="G40" s="83" t="s">
        <v>938</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761</v>
      </c>
      <c r="E41" s="14"/>
      <c r="F41" s="75" t="s">
        <v>619</v>
      </c>
      <c r="G41" s="83" t="s">
        <v>815</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756</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2023-12-03T06:44:24Z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