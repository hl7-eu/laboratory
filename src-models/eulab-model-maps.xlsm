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FB655150-25F5-4588-BC93-ABCC7FF19D66}" xr6:coauthVersionLast="47" xr6:coauthVersionMax="47" xr10:uidLastSave="{00000000-0000-0000-0000-000000000000}"/>
  <bookViews>
    <workbookView xWindow="-90" yWindow="-21710" windowWidth="38620" windowHeight="21100" firstSheet="33" activeTab="41"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6" i="157" l="1"/>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B78" i="147"/>
  <c r="B79" i="147"/>
  <c r="B80" i="147"/>
  <c r="B81" i="147"/>
  <c r="B82" i="147"/>
  <c r="B83" i="147"/>
  <c r="B84" i="147"/>
  <c r="B85" i="147"/>
  <c r="B86" i="147"/>
  <c r="B87" i="147"/>
  <c r="B88"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S28" i="146" s="1" a="1"/>
  <c r="S28" i="146" s="1"/>
  <c r="R28" i="146"/>
  <c r="Q29" i="146"/>
  <c r="S29" i="146" s="1" a="1"/>
  <c r="S29" i="146" s="1"/>
  <c r="R29" i="146"/>
  <c r="Q30" i="146"/>
  <c r="S30" i="146" s="1" a="1"/>
  <c r="S30" i="146" s="1"/>
  <c r="R30" i="146"/>
  <c r="Q31" i="146"/>
  <c r="S31" i="146" s="1" a="1"/>
  <c r="S31" i="146" s="1"/>
  <c r="R31" i="146"/>
  <c r="Q32" i="146"/>
  <c r="S32" i="146" s="1" a="1"/>
  <c r="S32" i="146" s="1"/>
  <c r="R32" i="146"/>
  <c r="Q33" i="146"/>
  <c r="S33" i="146" s="1" a="1"/>
  <c r="S33" i="146" s="1"/>
  <c r="R33" i="146"/>
  <c r="Q34" i="146"/>
  <c r="S34" i="146" s="1" a="1"/>
  <c r="S34" i="146" s="1"/>
  <c r="R34" i="146"/>
  <c r="Q35" i="146"/>
  <c r="S35" i="146" s="1" a="1"/>
  <c r="S35" i="146" s="1"/>
  <c r="R35" i="146"/>
  <c r="Q36" i="146"/>
  <c r="S36" i="146" s="1" a="1"/>
  <c r="S36" i="146" s="1"/>
  <c r="R36" i="146"/>
  <c r="Q37" i="146"/>
  <c r="S37" i="146" s="1" a="1"/>
  <c r="S37" i="146" s="1"/>
  <c r="R37" i="146"/>
  <c r="Q38" i="146"/>
  <c r="S38" i="146" s="1" a="1"/>
  <c r="S38" i="146" s="1"/>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S44" i="146" s="1" a="1"/>
  <c r="S44" i="146" s="1"/>
  <c r="R44" i="146"/>
  <c r="Q45" i="146"/>
  <c r="S45" i="146" s="1" a="1"/>
  <c r="S45" i="146" s="1"/>
  <c r="R45" i="146"/>
  <c r="Q46" i="146"/>
  <c r="S46" i="146" s="1" a="1"/>
  <c r="S46" i="146" s="1"/>
  <c r="R46" i="146"/>
  <c r="Q47" i="146"/>
  <c r="S47" i="146" s="1" a="1"/>
  <c r="S47" i="146" s="1"/>
  <c r="R47" i="146"/>
  <c r="Q48" i="146"/>
  <c r="S48" i="146" s="1" a="1"/>
  <c r="S48" i="146" s="1"/>
  <c r="R48" i="146"/>
  <c r="Q49" i="146"/>
  <c r="S49" i="146" s="1" a="1"/>
  <c r="S49" i="146" s="1"/>
  <c r="R49" i="146"/>
  <c r="Q50" i="146"/>
  <c r="S50" i="146" s="1" a="1"/>
  <c r="S50" i="146" s="1"/>
  <c r="R50" i="146"/>
  <c r="Q51" i="146"/>
  <c r="S51" i="146" s="1" a="1"/>
  <c r="S51" i="146" s="1"/>
  <c r="R51" i="146"/>
  <c r="Q52" i="146"/>
  <c r="S52" i="146" s="1" a="1"/>
  <c r="S52" i="146" s="1"/>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S60" i="146" s="1" a="1"/>
  <c r="S60" i="146" s="1"/>
  <c r="R60" i="146"/>
  <c r="Q61" i="146"/>
  <c r="S61" i="146" s="1" a="1"/>
  <c r="S61" i="146" s="1"/>
  <c r="R61" i="146"/>
  <c r="Q62" i="146"/>
  <c r="S62" i="146" s="1" a="1"/>
  <c r="S62" i="146" s="1"/>
  <c r="R62" i="146"/>
  <c r="Q63" i="146"/>
  <c r="S63" i="146" s="1" a="1"/>
  <c r="S63" i="146" s="1"/>
  <c r="R63" i="146"/>
  <c r="Q64" i="146"/>
  <c r="S64" i="146" s="1" a="1"/>
  <c r="S64" i="146" s="1"/>
  <c r="R64" i="146"/>
  <c r="Q65" i="146"/>
  <c r="S65" i="146" s="1" a="1"/>
  <c r="S65" i="146" s="1"/>
  <c r="R65" i="146"/>
  <c r="Q66" i="146"/>
  <c r="S66" i="146" s="1" a="1"/>
  <c r="S66" i="146" s="1"/>
  <c r="R66" i="146"/>
  <c r="Q67" i="146"/>
  <c r="S67" i="146" s="1" a="1"/>
  <c r="S67" i="146" s="1"/>
  <c r="R67" i="146"/>
  <c r="Q68" i="146"/>
  <c r="S68" i="146" s="1" a="1"/>
  <c r="S68" i="146" s="1"/>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9" i="146"/>
  <c r="C19" i="146"/>
  <c r="B20" i="146"/>
  <c r="C20" i="146"/>
  <c r="B21" i="146"/>
  <c r="C21" i="146"/>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R35" i="137"/>
  <c r="Q36" i="137"/>
  <c r="R36" i="137"/>
  <c r="Q37" i="137"/>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J18" i="146" s="1"/>
  <c r="B18" i="146"/>
  <c r="I18" i="146" s="1"/>
  <c r="J16" i="146"/>
  <c r="L16" i="146"/>
  <c r="M16" i="146"/>
  <c r="N16" i="146"/>
  <c r="L17" i="146"/>
  <c r="M17" i="146"/>
  <c r="N17" i="146"/>
  <c r="L18" i="146"/>
  <c r="M18" i="146"/>
  <c r="N18" i="146"/>
  <c r="C17" i="146"/>
  <c r="J17" i="146" s="1"/>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B25" i="158" l="1"/>
  <c r="B33" i="158"/>
  <c r="B37" i="158"/>
  <c r="B49" i="158"/>
  <c r="B47" i="158"/>
  <c r="B46" i="158"/>
  <c r="B22" i="147"/>
  <c r="I16" i="146"/>
  <c r="S173" i="146" a="1"/>
  <c r="S173" i="146" s="1"/>
  <c r="S177" i="146" a="1"/>
  <c r="S177" i="146" s="1"/>
  <c r="S181" i="146" a="1"/>
  <c r="S181" i="146" s="1"/>
  <c r="S185" i="146" a="1"/>
  <c r="S185" i="146" s="1"/>
  <c r="S189" i="146" a="1"/>
  <c r="S189" i="146" s="1"/>
  <c r="S193" i="146" a="1"/>
  <c r="S193" i="146" s="1"/>
  <c r="I17" i="146"/>
  <c r="S158" i="146" a="1"/>
  <c r="S158" i="146" s="1"/>
  <c r="B21" i="147"/>
  <c r="B31" i="158"/>
  <c r="B43" i="158"/>
  <c r="S32" i="151" a="1"/>
  <c r="S32" i="151" s="1"/>
  <c r="B112" i="156" s="1"/>
  <c r="S170" i="170" a="1"/>
  <c r="S170" i="170" s="1"/>
  <c r="B176" i="171" s="1"/>
  <c r="S37" i="137" a="1"/>
  <c r="S37" i="137" s="1"/>
  <c r="B42" i="138" s="1"/>
  <c r="S36" i="137" a="1"/>
  <c r="S36" i="137" s="1"/>
  <c r="B41" i="138" s="1"/>
  <c r="S35" i="137" a="1"/>
  <c r="S35" i="137" s="1"/>
  <c r="B40" i="138" s="1"/>
  <c r="I17" i="162"/>
  <c r="I18" i="162"/>
  <c r="I19" i="162"/>
  <c r="S94" i="140"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L27" i="108"/>
  <c r="C57" i="110" s="1"/>
  <c r="C28" i="110"/>
  <c r="C9" i="110"/>
  <c r="L26" i="108"/>
  <c r="C56" i="110" s="1"/>
  <c r="L14" i="108"/>
  <c r="C44" i="110" s="1"/>
  <c r="C11" i="110"/>
  <c r="L10" i="108"/>
  <c r="C40" i="110" s="1"/>
  <c r="I15" i="170"/>
  <c r="B22" i="17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39" i="148" a="1"/>
  <c r="S39" i="148" s="1"/>
  <c r="B77" i="156" s="1"/>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<sst xmlns="http://schemas.openxmlformats.org/spreadsheetml/2006/main" count="2484" uniqueCount="959">
  <si>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</si>
  <si>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</si>
  <si>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</si>
  <si>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</si>
  <si>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</si>
  <si>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</si>
  <si>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</si>
  <si>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</si>
  <si>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</si>
  <si>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</si>
  <si>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</si>
  <si>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</si>
  <si>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</si>
  <si>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</si>
  <si>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</si>
  <si>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</si>
  <si>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</si>
  <si>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</si>
  <si>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</si>
  <si>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</si>
  <si>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</si>
  <si>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</si>
  <si>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</si>
  <si>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</si>
  <si>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</si>
  <si>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</si>
  <si>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</si>
  <si>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</si>
  <si>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</si>
  <si>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</si>
  <si>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</si>
  <si>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</si>
  <si>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</si>
  <si>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</si>
  <si>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</si>
  <si>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</si>
  <si>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</si>
  <si>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</si>
  <si>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</si>
  <si>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</si>
  <si>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</si>
  <si>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</si>
  <si>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</si>
  <si>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</si>
  <si>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</si>
  <si>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</si>
  <si>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</si>
  <si>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</si>
  <si>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</si>
  <si>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</si>
  <si>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</si>
  <si>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</si>
  <si>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</si>
  <si>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</si>
  <si>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</si>
  <si>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</si>
  <si>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</si>
  <si>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</si>
  <si>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</si>
  <si>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</si>
  <si>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</si>
  <si>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</si>
  <si>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</si>
  <si>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</si>
  <si>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</si>
  <si>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</si>
  <si>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</si>
  <si>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</si>
  <si>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</si>
  <si>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</si>
  <si>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</si>
  <si>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</si>
  <si>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</si>
  <si>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</si>
  <si>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</si>
  <si>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</si>
  <si>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</si>
  <si>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</si>
  <si>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</si>
  <si>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</si>
  <si>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</si>
  <si>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</si>
  <si>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</si>
  <si>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</si>
  <si>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</si>
  <si>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</si>
  <si>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</si>
  <si>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</si>
  <si>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</si>
  <si>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</si>
  <si>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</si>
  <si>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</si>
  <si>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</si>
  <si>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</si>
  <si>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</si>
  <si>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</si>
  <si>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</si>
  <si>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</si>
  <si>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</si>
  <si>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</si>
  <si>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</si>
  <si>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</si>
  <si>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</si>
  <si>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</si>
  <si>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</si>
  <si>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</si>
  <si>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</si>
  <si>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</si>
  <si>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</si>
  <si>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</si>
  <si>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</si>
  <si>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</si>
  <si>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</si>
  <si>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</si>
  <si>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</si>
  <si>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</si>
  <si>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</si>
  <si>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</si>
  <si>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</si>
  <si>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</si>
  <si>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</si>
  <si>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</si>
  <si>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</si>
  <si>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</si>
  <si>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</si>
  <si>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</si>
  <si>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</si>
  <si>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</si>
  <si>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</si>
  <si>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</si>
  <si>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</si>
  <si>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</si>
  <si>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</si>
  <si>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</si>
  <si>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</si>
  <si>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</si>
  <si>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</si>
  <si>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</si>
  <si>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</si>
  <si>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</si>
  <si>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</si>
  <si>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</si>
  <si>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</si>
  <si>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</si>
  <si>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</si>
  <si>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</si>
  <si>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</si>
  <si>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</si>
  <si>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</si>
  <si>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</si>
  <si>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</si>
  <si>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</si>
  <si>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</si>
  <si>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</si>
  <si>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</si>
  <si>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</si>
  <si>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</si>
  <si>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</si>
  <si>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</si>
  <si>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</si>
  <si>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</si>
  <si>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</si>
  <si>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</si>
  <si>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</si>
  <si>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</si>
  <si>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</si>
  <si>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</si>
  <si>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</si>
  <si>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</si>
  <si>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</si>
  <si>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</si>
  <si>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</si>
  <si>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</si>
  <si>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</si>
  <si>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</si>
  <si>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</si>
  <si>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</si>
  <si>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</si>
  <si>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</si>
  <si>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</si>
  <si>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</si>
  <si>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</si>
  <si>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</si>
  <si>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</si>
  <si>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</si>
  <si>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</si>
  <si>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</si>
  <si>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</si>
  <si>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</si>
  <si>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</si>
  <si>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</si>
  <si>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</si>
  <si>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</si>
  <si>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</si>
  <si>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</si>
  <si>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</si>
  <si>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</si>
  <si>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</si>
  <si>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</si>
  <si>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</si>
  <si>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</si>
  <si>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</si>
  <si>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</si>
  <si>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</si>
  <si>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</si>
  <si>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</si>
  <si>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</si>
  <si>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</si>
  <si>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</si>
  <si>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</si>
  <si>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</si>
  <si>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</si>
  <si>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</si>
  <si>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</si>
  <si>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</si>
  <si>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</si>
  <si>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</si>
  <si>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</si>
  <si>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</si>
  <si>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</si>
  <si>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</si>
  <si>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</si>
  <si>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</si>
  <si>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</si>
  <si>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</si>
  <si>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</si>
  <si>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</si>
  <si>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</si>
  <si>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</si>
  <si>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</si>
  <si>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</si>
  <si>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</si>
  <si>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</si>
  <si>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</si>
  <si>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</si>
  <si>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</si>
  <si>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</si>
  <si>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</si>
  <si>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</si>
  <si>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</si>
  <si>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</si>
  <si>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</si>
  <si>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</si>
  <si>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</si>
  <si>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</si>
  <si>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</si>
  <si>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</si>
  <si>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</si>
  <si>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</si>
  <si>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</si>
  <si>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</si>
  <si>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</si>
  <si>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</si>
  <si>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</si>
  <si>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</si>
  <si>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</si>
  <si>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</si>
  <si>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</si>
  <si>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</si>
  <si>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</si>
  <si>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</si>
  <si>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</si>
  <si>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</si>
  <si>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</si>
  <si>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</si>
  <si>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</si>
  <si>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</si>
  <si>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</si>
  <si>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</si>
  <si>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</si>
  <si>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</si>
  <si>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</si>
  <si>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</si>
  <si>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</si>
  <si>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</si>
  <si>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</si>
  <si>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</si>
  <si>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</si>
  <si>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</si>
  <si>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</si>
  <si>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</si>
  <si>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</si>
  <si>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</si>
  <si>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</si>
  <si>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</si>
  <si>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</si>
  <si>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</si>
  <si>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</si>
  <si>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</si>
  <si>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</si>
  <si>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</si>
  <si>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</si>
  <si>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</si>
  <si>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</si>
  <si>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</si>
  <si>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</si>
  <si>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</si>
  <si>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</si>
  <si>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</si>
  <si>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</si>
  <si>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</si>
  <si>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</si>
  <si>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</si>
  <si>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</si>
  <si>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</si>
  <si>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</si>
  <si>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</si>
  <si>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</si>
  <si>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</si>
  <si>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</si>
  <si>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</si>
  <si>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</si>
  <si>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</si>
  <si>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</si>
  <si>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</si>
  <si>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</si>
  <si>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</si>
  <si>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</si>
  <si>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</si>
  <si>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</si>
  <si>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</si>
  <si>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</si>
  <si>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</si>
  <si>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</si>
  <si>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</si>
  <si>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</si>
  <si>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</si>
  <si>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</si>
  <si>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</si>
  <si>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</si>
  <si>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</si>
  <si>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</si>
  <si>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</si>
  <si>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</si>
  <si>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</si>
  <si>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</si>
  <si>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</si>
  <si>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</si>
  <si>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</si>
  <si>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</si>
  <si>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</si>
  <si>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</si>
  <si>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</si>
  <si>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</si>
  <si>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</si>
  <si>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</si>
  <si>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</si>
  <si>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</si>
  <si>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</si>
  <si>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</si>
  <si>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</si>
  <si>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</si>
  <si>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</si>
  <si>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</si>
  <si>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</si>
  <si>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</si>
  <si>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</si>
  <si>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</si>
  <si>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</si>
  <si>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</si>
  <si>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</si>
  <si>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</si>
  <si>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</si>
  <si>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</si>
  <si>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</si>
  <si>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</si>
  <si>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</si>
  <si>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</si>
  <si>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</si>
  <si>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</si>
  <si>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</si>
  <si>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</si>
  <si>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</si>
  <si>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</si>
  <si>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</si>
  <si>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</si>
  <si>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</si>
  <si>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</si>
  <si>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</si>
  <si>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</si>
  <si>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</si>
  <si>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</si>
  <si>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</si>
  <si>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</si>
  <si>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</si>
  <si>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</si>
  <si>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</si>
  <si>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</si>
  <si>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</si>
  <si>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</si>
  <si>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</si>
  <si>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</si>
  <si>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</si>
  <si>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</si>
  <si>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</si>
  <si>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</si>
  <si>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</si>
  <si>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</si>
  <si>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</si>
  <si>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</si>
  <si>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</si>
  <si>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</si>
  <si>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</si>
  <si>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</si>
  <si>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</si>
  <si>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</si>
  <si>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</si>
  <si>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</si>
  <si>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</si>
  <si>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</si>
  <si>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</si>
  <si>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</si>
  <si>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</si>
  <si>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</si>
  <si>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</si>
  <si>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</si>
  <si>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</si>
  <si>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</si>
  <si>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</si>
  <si>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</si>
  <si>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</si>
  <si>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</si>
  <si>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</si>
  <si>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</si>
  <si>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</si>
  <si>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</si>
  <si>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</si>
  <si>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</si>
  <si>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</si>
  <si>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</si>
  <si>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</si>
  <si>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</si>
  <si>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</si>
  <si>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</si>
  <si>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</si>
  <si>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</si>
  <si>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</si>
  <si>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</si>
  <si>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</si>
  <si>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</si>
  <si>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</si>
  <si>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</si>
  <si>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</si>
  <si>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</si>
  <si>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</si>
  <si>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</si>
  <si>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</si>
  <si>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</si>
  <si>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</si>
  <si>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</si>
  <si>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</si>
  <si>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</si>
  <si>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</si>
  <si>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</si>
  <si>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</si>
  <si>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</si>
  <si>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</si>
  <si>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</si>
  <si>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</si>
  <si>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</si>
  <si>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</si>
  <si>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</si>
  <si>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</si>
  <si>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</si>
  <si>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</si>
  <si>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</si>
  <si>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</si>
  <si>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</si>
  <si>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</si>
  <si>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</si>
  <si>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</si>
  <si>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</si>
  <si>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</si>
  <si>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</si>
  <si>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</si>
  <si>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</si>
  <si>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</si>
  <si>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</si>
  <si>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</si>
  <si>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</si>
  <si>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</si>
  <si>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</si>
  <si>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</si>
  <si>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</si>
  <si>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</si>
  <si>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</si>
  <si>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</si>
  <si>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</si>
  <si>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</si>
  <si>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</si>
  <si>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</si>
  <si>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</si>
  <si>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</si>
  <si>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</si>
  <si>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</si>
  <si>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</si>
  <si>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</si>
  <si>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</si>
  <si>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</si>
  <si>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</si>
  <si>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</si>
  <si>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</si>
  <si>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</si>
  <si>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</si>
  <si>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</si>
  <si>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</si>
  <si>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</si>
  <si>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</si>
  <si>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</si>
  <si>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</si>
  <si>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</si>
  <si>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</si>
  <si>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</si>
  <si>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</si>
  <si>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</si>
  <si>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</si>
  <si>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</si>
  <si>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</si>
  <si>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</si>
  <si>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</si>
  <si>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</si>
  <si>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</si>
  <si>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</si>
  <si>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</si>
  <si>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</si>
  <si>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</si>
  <si>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</si>
  <si>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</si>
  <si>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</si>
  <si>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</si>
  <si>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</si>
  <si>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</si>
  <si>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</si>
  <si>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</si>
  <si>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</si>
  <si>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</si>
  <si>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</si>
  <si>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</si>
  <si>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</si>
  <si>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</si>
  <si>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</si>
  <si>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</si>
  <si>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</si>
  <si>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</si>
  <si>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</si>
  <si>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</si>
  <si>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</si>
  <si>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</si>
  <si>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</si>
  <si>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</si>
  <si>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</si>
  <si>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</si>
  <si>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</si>
  <si>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</si>
  <si>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</si>
  <si>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</si>
  <si>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</si>
  <si>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</si>
  <si>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</si>
  <si>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</si>
  <si>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</si>
  <si>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</si>
  <si>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</si>
  <si>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</si>
  <si>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</si>
  <si>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</si>
  <si>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</si>
  <si>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</si>
  <si>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</si>
  <si>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</si>
  <si>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</si>
  <si>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</si>
  <si>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</si>
  <si>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</si>
  <si>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</si>
  <si>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</si>
  <si>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</si>
  <si>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</si>
  <si>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</si>
  <si>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</si>
  <si>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</si>
  <si>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</si>
  <si>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</si>
  <si>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</si>
  <si>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</si>
  <si>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</si>
  <si>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</si>
  <si>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</si>
  <si>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</si>
  <si>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</si>
  <si>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</si>
  <si>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</si>
  <si>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</si>
  <si>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</si>
  <si>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</si>
  <si>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</si>
  <si>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</si>
  <si>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</si>
  <si>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</si>
  <si>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</si>
  <si>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</si>
  <si>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</si>
  <si>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</si>
  <si>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</si>
  <si>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</si>
  <si>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</si>
  <si>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</si>
  <si>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</si>
  <si>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</si>
  <si>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</si>
  <si>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</si>
  <si>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</si>
  <si>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</si>
  <si>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</si>
  <si>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</si>
  <si>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</si>
  <si>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</si>
  <si>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</si>
  <si>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</si>
  <si>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</si>
  <si>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</si>
  <si>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</si>
  <si>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</si>
  <si>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</si>
  <si>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</si>
  <si>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</si>
  <si>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</si>
  <si>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</si>
  <si>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</si>
  <si>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</si>
  <si>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</si>
  <si>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</si>
  <si>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</si>
  <si>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</si>
  <si>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</si>
  <si>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</si>
  <si>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</si>
  <si>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</si>
  <si>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</si>
  <si>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</si>
  <si>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</si>
  <si>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</si>
  <si>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</si>
  <si>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</si>
  <si>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</si>
  <si>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</si>
  <si>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</si>
  <si>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</si>
  <si>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</si>
  <si>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</si>
  <si>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</si>
  <si>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</si>
  <si>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</si>
  <si>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</si>
  <si>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</si>
  <si>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</si>
  <si>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</si>
  <si>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</si>
  <si>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</si>
  <si>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</si>
  <si>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</si>
  <si>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</si>
  <si>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</si>
  <si>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</si>
  <si>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</si>
  <si>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</si>
  <si>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</si>
  <si>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</si>
  <si>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</si>
  <si>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</si>
  <si>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</si>
  <si>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</si>
  <si>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</si>
  <si>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</si>
  <si>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</si>
  <si>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</si>
  <si>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</si>
  <si>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</si>
  <si>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</si>
  <si>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</si>
  <si>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</si>
  <si>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</si>
  <si>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</si>
  <si>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</si>
  <si>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</si>
  <si>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</si>
  <si>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</si>
  <si>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</si>
  <si>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</si>
  <si>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</si>
  <si>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</si>
  <si>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</si>
  <si>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</si>
  <si>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</si>
  <si>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</si>
  <si>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</si>
  <si>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</si>
  <si>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</si>
  <si>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</si>
  <si>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</si>
  <si>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</si>
  <si>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</si>
  <si>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</si>
  <si>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</si>
  <si>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</si>
  <si>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</si>
  <si>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</si>
  <si>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</si>
  <si>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</si>
  <si>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</si>
  <si>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</si>
  <si>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</si>
  <si>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</si>
  <si>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</si>
  <si>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</si>
  <si>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</si>
  <si>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</si>
  <si>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</si>
  <si>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</si>
  <si>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</si>
  <si>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</si>
  <si>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</si>
  <si>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</si>
  <si>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</si>
  <si>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</si>
  <si>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</si>
  <si>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</si>
  <si>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</si>
  <si>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</si>
  <si>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</si>
  <si>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</si>
  <si>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</si>
  <si>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</si>
  <si>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</si>
  <si>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</si>
  <si>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</si>
  <si>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</si>
  <si>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</si>
  <si>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</si>
  <si>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</si>
  <si>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</si>
  <si>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</si>
  <si>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</si>
  <si>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</si>
  <si>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</si>
  <si>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</si>
  <si>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</si>
  <si>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</si>
  <si>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</si>
  <si>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</si>
  <si>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</si>
  <si>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</si>
  <si>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</si>
  <si>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</si>
  <si>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</si>
  <si>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</si>
  <si>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</si>
  <si>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</si>
  <si>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</si>
  <si>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</si>
  <si>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</si>
  <si>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</si>
  <si>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</si>
  <si>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</si>
  <si>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</si>
  <si>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</si>
  <si>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</si>
  <si>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</si>
  <si>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</si>
  <si>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</si>
  <si>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</si>
  <si>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</si>
  <si>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</si>
  <si>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</si>
  <si>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</si>
  <si>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</si>
  <si>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</si>
  <si>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</si>
  <si>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</si>
  <si>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</si>
  <si>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</si>
  <si>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</si>
  <si>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</si>
  <si>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</si>
  <si>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</si>
  <si>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</si>
  <si>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</si>
  <si>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</si>
  <si>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</si>
  <si>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</si>
  <si>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</si>
  <si>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</si>
  <si>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</si>
  <si>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</si>
  <si>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</si>
  <si>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</si>
  <si>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</si>
  <si>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</si>
  <si>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</si>
  <si>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</si>
  <si>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</si>
  <si>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</si>
  <si>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</si>
  <si>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</si>
  <si>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</si>
  <si>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</si>
  <si>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</si>
  <si>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</si>
  <si>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</si>
  <si>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</si>
  <si>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</si>
  <si>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</si>
  <si>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</si>
  <si>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</si>
  <si>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</si>
  <si>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</si>
  <si>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</si>
  <si>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</si>
  <si>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</si>
  <si>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</si>
  <si>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</si>
  <si>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</si>
  <si>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</si>
  <si>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</si>
  <si>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</si>
  <si>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</si>
  <si>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</si>
  <si>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</si>
  <si>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</si>
  <si>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</si>
  <si>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</si>
  <si>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</si>
  <si>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</si>
  <si>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</si>
  <si>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</si>
  <si>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</si>
  <si>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</si>
  <si>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</si>
  <si>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</si>
  <si>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</si>
  <si>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</si>
  <si>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</si>
  <si>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</si>
  <si>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</si>
  <si>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</si>
  <si>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</si>
  <si>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</si>
  <si>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</si>
  <si>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</si>
  <si>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</si>
  <si>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</si>
  <si>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</si>
  <si>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</si>
  <si>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</si>
  <si>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</si>
  <si>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</si>
  <si>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</si>
  <si>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</si>
  <si>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</si>
  <si>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</si>
  <si>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</si>
  <si>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</si>
  <si>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</si>
  <si>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</si>
  <si>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</si>
  <si>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</si>
  <si>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</si>
  <si>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</si>
  <si>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</si>
  <si>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</si>
  <si>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</si>
  <si>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</si>
  <si>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</si>
  <si>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</si>
  <si>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</si>
  <si>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</si>
  <si>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</si>
  <si>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</si>
  <si>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</si>
  <si>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</si>
  <si>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</si>
  <si>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</si>
  <si>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</si>
  <si>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</si>
  <si>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</si>
  <si>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</si>
  <si>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</si>
  <si>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</si>
  <si>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</si>
  <si>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</si>
  <si>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</si>
  <si>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</si>
  <si>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</si>
  <si>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</si>
  <si>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</si>
  <si>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</si>
  <si>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</si>
  <si>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</si>
  <si>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</si>
  <si>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</si>
  <si>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</si>
  <si>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</si>
  <si>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</si>
  <si>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</si>
  <si>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</si>
  <si>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</si>
  <si>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</si>
  <si>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</si>
  <si>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</si>
  <si>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</si>
  <si>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</si>
  <si>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</si>
  <si>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</si>
  <si>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</si>
  <si>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</si>
  <si>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</si>
  <si>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</si>
  <si>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</si>
  <si>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interpreter: 
resultsInterpreter.resolve().ofType(Practitioner).name</t>
  </si>
  <si>
    <t>resultsInterpreter.Practitioner.name</t>
  </si>
  <si>
    <t>If the author is the interpreter: resultsInterpreter.resolve().ofType(PractitionerRole).Practitioner.resolve().name</t>
  </si>
  <si>
    <t>If the author is the interpreter: resultsInterpreter.resolve().ofType(PractitionerRole).organization.resolve()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</si>
  <si>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</si>
  <si>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</si>
  <si>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</si>
  <si>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</si>
  <si>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author.ofType(Practitioner).name</t>
  </si>
  <si>
    <t>author.Practitioner.name</t>
  </si>
  <si>
    <t>author.ofType(PractitionerRole).Practitioner.resolve().name</t>
  </si>
  <si>
    <t>author.ofType(PractitionerRole).organization.resolve()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</si>
  <si>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</si>
  <si>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</si>
  <si>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</si>
  <si>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</si>
  <si>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</si>
  <si>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</si>
  <si>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</si>
  <si>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</si>
  <si>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</si>
  <si>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</si>
  <si>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</si>
  <si>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</si>
  <si>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</si>
  <si>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</si>
  <si>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</si>
  <si>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</si>
  <si>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</si>
  <si>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</si>
  <si>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</si>
  <si>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</si>
  <si>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</si>
  <si>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</si>
  <si>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</si>
  <si>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</si>
  <si>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</si>
  <si>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</si>
  <si>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ValueReference.country</t>
  </si>
  <si>
    <t>ValueReference.telecom</t>
  </si>
  <si>
    <t>If ValueReference.resolve().ofType(Practioner)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</si>
</sst>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0" t="s">
        <v>39</v>
      </c>
      <c r="C3" s="101"/>
      <c r="D3" s="35" t="s">
        <v>40</v>
      </c>
      <c r="E3" s="35" t="s">
        <v>41</v>
      </c>
    </row>
    <row r="4" spans="2:5" ht="16.75" thickBot="1" x14ac:dyDescent="0.9">
      <c r="B4" s="102" t="s">
        <v>42</v>
      </c>
      <c r="C4" s="103"/>
      <c r="D4" s="103"/>
      <c r="E4" s="104"/>
    </row>
    <row r="5" spans="2:5" ht="16.75" thickBot="1" x14ac:dyDescent="0.9">
      <c r="B5" s="102" t="s">
        <v>43</v>
      </c>
      <c r="C5" s="103"/>
      <c r="D5" s="103"/>
      <c r="E5" s="10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5" t="s">
        <v>57</v>
      </c>
      <c r="C10" s="105" t="s">
        <v>58</v>
      </c>
      <c r="D10" s="40" t="s">
        <v>59</v>
      </c>
      <c r="E10" s="108" t="s">
        <v>60</v>
      </c>
    </row>
    <row r="11" spans="2:5" x14ac:dyDescent="0.75">
      <c r="B11" s="106"/>
      <c r="C11" s="106"/>
      <c r="D11" s="41"/>
      <c r="E11" s="109"/>
    </row>
    <row r="12" spans="2:5" ht="32.75" thickBot="1" x14ac:dyDescent="0.9">
      <c r="B12" s="107"/>
      <c r="C12" s="107"/>
      <c r="D12" s="37" t="s">
        <v>61</v>
      </c>
      <c r="E12" s="110"/>
    </row>
    <row r="13" spans="2:5" ht="16.75" thickBot="1" x14ac:dyDescent="0.9">
      <c r="B13" s="97" t="s">
        <v>62</v>
      </c>
      <c r="C13" s="98"/>
      <c r="D13" s="98"/>
      <c r="E13" s="99"/>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7" t="s">
        <v>70</v>
      </c>
      <c r="C16" s="98"/>
      <c r="D16" s="98"/>
      <c r="E16" s="99"/>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7" t="s">
        <v>83</v>
      </c>
      <c r="C21" s="98"/>
      <c r="D21" s="98"/>
      <c r="E21" s="99"/>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7" t="s">
        <v>93</v>
      </c>
      <c r="C25" s="98"/>
      <c r="D25" s="98"/>
      <c r="E25" s="99"/>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7" t="s">
        <v>102</v>
      </c>
      <c r="C29" s="98"/>
      <c r="D29" s="98"/>
      <c r="E29" s="99"/>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7" t="s">
        <v>114</v>
      </c>
      <c r="C34" s="98"/>
      <c r="D34" s="98"/>
      <c r="E34" s="99"/>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7" t="s">
        <v>126</v>
      </c>
      <c r="C39" s="98"/>
      <c r="D39" s="98"/>
      <c r="E39" s="99"/>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0" t="s">
        <v>39</v>
      </c>
      <c r="C3" s="101"/>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5" t="s">
        <v>163</v>
      </c>
      <c r="C12" s="105" t="s">
        <v>164</v>
      </c>
      <c r="D12" s="105" t="s">
        <v>165</v>
      </c>
      <c r="E12" s="43" t="s">
        <v>166</v>
      </c>
    </row>
    <row r="13" spans="2:5" ht="16" x14ac:dyDescent="0.75">
      <c r="B13" s="106"/>
      <c r="C13" s="106"/>
      <c r="D13" s="106"/>
      <c r="E13" s="43" t="s">
        <v>167</v>
      </c>
    </row>
    <row r="14" spans="2:5" ht="16.75" thickBot="1" x14ac:dyDescent="0.9">
      <c r="B14" s="107"/>
      <c r="C14" s="107"/>
      <c r="D14" s="107"/>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5" t="s">
        <v>188</v>
      </c>
      <c r="C22" s="108" t="s">
        <v>189</v>
      </c>
      <c r="D22" s="105" t="s">
        <v>190</v>
      </c>
      <c r="E22" s="43" t="s">
        <v>167</v>
      </c>
    </row>
    <row r="23" spans="2:5" x14ac:dyDescent="0.75">
      <c r="B23" s="106"/>
      <c r="C23" s="109"/>
      <c r="D23" s="106"/>
      <c r="E23" s="41"/>
    </row>
    <row r="24" spans="2:5" ht="16.75" thickBot="1" x14ac:dyDescent="0.9">
      <c r="B24" s="107"/>
      <c r="C24" s="110"/>
      <c r="D24" s="10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7" t="s">
        <v>198</v>
      </c>
      <c r="C27" s="98"/>
      <c r="D27" s="98"/>
      <c r="E27" s="99"/>
    </row>
    <row r="28" spans="2:5" ht="16.75" thickBot="1" x14ac:dyDescent="0.9">
      <c r="B28" s="97" t="s">
        <v>199</v>
      </c>
      <c r="C28" s="98"/>
      <c r="D28" s="98"/>
      <c r="E28" s="99"/>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7" t="s">
        <v>206</v>
      </c>
      <c r="C31" s="98"/>
      <c r="D31" s="98"/>
      <c r="E31" s="99"/>
    </row>
    <row r="32" spans="2:5" ht="16.75" thickBot="1" x14ac:dyDescent="0.9">
      <c r="B32" s="36" t="s">
        <v>207</v>
      </c>
      <c r="C32" s="39" t="s">
        <v>208</v>
      </c>
      <c r="D32" s="37" t="s">
        <v>209</v>
      </c>
      <c r="E32" s="39" t="s">
        <v>113</v>
      </c>
    </row>
    <row r="33" spans="2:5" ht="16" x14ac:dyDescent="0.75">
      <c r="B33" s="105" t="s">
        <v>210</v>
      </c>
      <c r="C33" s="108" t="s">
        <v>211</v>
      </c>
      <c r="D33" s="105" t="s">
        <v>212</v>
      </c>
      <c r="E33" s="43" t="s">
        <v>130</v>
      </c>
    </row>
    <row r="34" spans="2:5" ht="16" x14ac:dyDescent="0.75">
      <c r="B34" s="106"/>
      <c r="C34" s="109"/>
      <c r="D34" s="106"/>
      <c r="E34" s="43" t="s">
        <v>213</v>
      </c>
    </row>
    <row r="35" spans="2:5" ht="16.75" thickBot="1" x14ac:dyDescent="0.9">
      <c r="B35" s="107"/>
      <c r="C35" s="110"/>
      <c r="D35" s="10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5" t="s">
        <v>226</v>
      </c>
      <c r="C40" s="108" t="s">
        <v>227</v>
      </c>
      <c r="D40" s="105" t="s">
        <v>228</v>
      </c>
      <c r="E40" s="43" t="s">
        <v>167</v>
      </c>
    </row>
    <row r="41" spans="2:5" x14ac:dyDescent="0.75">
      <c r="B41" s="106"/>
      <c r="C41" s="109"/>
      <c r="D41" s="106"/>
      <c r="E41" s="41"/>
    </row>
    <row r="42" spans="2:5" ht="16.75" thickBot="1" x14ac:dyDescent="0.9">
      <c r="B42" s="107"/>
      <c r="C42" s="110"/>
      <c r="D42" s="10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5" t="s">
        <v>238</v>
      </c>
      <c r="C46" s="108" t="s">
        <v>239</v>
      </c>
      <c r="D46" s="105" t="s">
        <v>240</v>
      </c>
      <c r="E46" s="43" t="s">
        <v>241</v>
      </c>
    </row>
    <row r="47" spans="2:5" x14ac:dyDescent="0.75">
      <c r="B47" s="106"/>
      <c r="C47" s="109"/>
      <c r="D47" s="106"/>
      <c r="E47" s="44"/>
    </row>
    <row r="48" spans="2:5" ht="16.75" thickBot="1" x14ac:dyDescent="0.9">
      <c r="B48" s="107"/>
      <c r="C48" s="110"/>
      <c r="D48" s="107"/>
      <c r="E48" s="39" t="s">
        <v>242</v>
      </c>
    </row>
    <row r="49" spans="2:5" ht="16" x14ac:dyDescent="0.75">
      <c r="B49" s="105" t="s">
        <v>243</v>
      </c>
      <c r="C49" s="108" t="s">
        <v>244</v>
      </c>
      <c r="D49" s="105" t="s">
        <v>245</v>
      </c>
      <c r="E49" s="43" t="s">
        <v>167</v>
      </c>
    </row>
    <row r="50" spans="2:5" x14ac:dyDescent="0.75">
      <c r="B50" s="106"/>
      <c r="C50" s="109"/>
      <c r="D50" s="106"/>
      <c r="E50" s="41"/>
    </row>
    <row r="51" spans="2:5" ht="48.75" thickBot="1" x14ac:dyDescent="0.9">
      <c r="B51" s="107"/>
      <c r="C51" s="110"/>
      <c r="D51" s="10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851</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881</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828</v>
      </c>
      <c r="C16" s="9" t="s">
        <v>826</v>
      </c>
      <c r="D16" s="9" t="s">
        <v>827</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850</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832</v>
      </c>
      <c r="C21" s="9" t="s">
        <v>830</v>
      </c>
      <c r="D21" s="14" t="s">
        <v>831</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833</v>
      </c>
      <c r="D22" s="14" t="s">
        <v>829</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838</v>
      </c>
      <c r="C23" s="89" t="s">
        <v>834</v>
      </c>
      <c r="D23" s="90" t="s">
        <v>839</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841</v>
      </c>
      <c r="C24" s="91" t="s">
        <v>835</v>
      </c>
      <c r="D24" s="92" t="s">
        <v>840</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842</v>
      </c>
      <c r="C25" s="91" t="s">
        <v>836</v>
      </c>
      <c r="D25" s="92" t="s">
        <v>837</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843</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D17"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t="s">
        <v>634</v>
      </c>
    </row>
    <row r="4" spans="1:19" x14ac:dyDescent="0.75">
      <c r="B4" s="73" t="s">
        <v>19</v>
      </c>
      <c r="C4" s="54" t="s">
        <v>820</v>
      </c>
      <c r="D4" s="73" t="s">
        <v>645</v>
      </c>
      <c r="E4" s="84" t="s">
        <v>807</v>
      </c>
    </row>
    <row r="5" spans="1:19" x14ac:dyDescent="0.75">
      <c r="B5" s="73" t="s">
        <v>13</v>
      </c>
      <c r="C5" s="10" t="s">
        <v>640</v>
      </c>
      <c r="D5" s="73"/>
      <c r="E5" s="10"/>
    </row>
    <row r="6" spans="1:19" x14ac:dyDescent="0.75">
      <c r="B6" s="73" t="s">
        <v>35</v>
      </c>
      <c r="C6" s="72" t="s">
        <v>634</v>
      </c>
      <c r="D6" s="73" t="s">
        <v>641</v>
      </c>
      <c r="E6" s="117" t="s">
        <v>634</v>
      </c>
      <c r="F6" s="117"/>
      <c r="G6" s="117"/>
    </row>
    <row r="7" spans="1:19" x14ac:dyDescent="0.75">
      <c r="B7" s="73" t="s">
        <v>18</v>
      </c>
      <c r="C7" s="80" t="s">
        <v>637</v>
      </c>
      <c r="D7" s="73" t="s">
        <v>642</v>
      </c>
      <c r="E7" s="117" t="s">
        <v>643</v>
      </c>
      <c r="F7" s="117"/>
      <c r="G7" s="117"/>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764</v>
      </c>
      <c r="E17" s="9"/>
      <c r="F17" s="75" t="s">
        <v>619</v>
      </c>
      <c r="G17" s="14" t="s">
        <v>629</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768</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765</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750</v>
      </c>
      <c r="E20" s="9"/>
      <c r="F20" s="75" t="s">
        <v>619</v>
      </c>
      <c r="G20" s="75" t="s">
        <v>657</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620</v>
      </c>
      <c r="G21" s="75" t="s">
        <v>658</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619</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619</v>
      </c>
      <c r="G23" s="82" t="s">
        <v>844</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615</v>
      </c>
      <c r="E24" s="14"/>
      <c r="F24" s="75" t="s">
        <v>618</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630</v>
      </c>
      <c r="E25" s="14"/>
      <c r="F25" s="75" t="s">
        <v>619</v>
      </c>
      <c r="G25" s="82" t="s">
        <v>871</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631</v>
      </c>
      <c r="E26" s="14"/>
      <c r="F26" s="75" t="s">
        <v>618</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620</v>
      </c>
      <c r="G27" s="75" t="s">
        <v>658</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897</v>
      </c>
      <c r="E28" s="14"/>
      <c r="F28" s="75" t="s">
        <v>619</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620</v>
      </c>
      <c r="G29" s="75" t="s">
        <v>658</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620</v>
      </c>
      <c r="G30" s="75" t="s">
        <v>658</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845</v>
      </c>
      <c r="E31" s="14"/>
      <c r="F31" s="75" t="s">
        <v>618</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620</v>
      </c>
      <c r="G32" s="82" t="s">
        <v>848</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761</v>
      </c>
      <c r="E33" s="14"/>
      <c r="F33" s="75" t="s">
        <v>619</v>
      </c>
      <c r="G33" s="75" t="s">
        <v>632</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619</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619</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group[=].element[=].target.code = #DiagnosticReport.extension:information-recipient</v>
      </c>
    </row>
    <row r="36" spans="1:19" ht="73.75" x14ac:dyDescent="0.75">
      <c r="B36" s="66" t="s">
        <v>331</v>
      </c>
      <c r="C36" s="66" t="s">
        <v>169</v>
      </c>
      <c r="D36" s="14" t="s">
        <v>766</v>
      </c>
      <c r="E36" s="14"/>
      <c r="F36" s="75" t="s">
        <v>619</v>
      </c>
      <c r="G36" s="14" t="s">
        <v>733</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group[=].element[=].target.display = ##34###34#</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#equivalent</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607</v>
      </c>
      <c r="C53" t="s">
        <v>608</v>
      </c>
      <c r="D53" s="1" t="s">
        <v>609</v>
      </c>
      <c r="E53" t="s">
        <v>610</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807</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767</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768</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769</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771</v>
      </c>
      <c r="E20" s="9"/>
      <c r="F20" s="75" t="s">
        <v>618</v>
      </c>
      <c r="G20" s="82" t="s">
        <v>770</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771</v>
      </c>
      <c r="E21" s="9"/>
      <c r="F21" s="75" t="s">
        <v>618</v>
      </c>
      <c r="G21" s="82" t="s">
        <v>772</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844</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872</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897</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846</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845</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847</v>
      </c>
      <c r="E32" s="14"/>
      <c r="F32" s="75" t="s">
        <v>618</v>
      </c>
      <c r="G32" s="75" t="s">
        <v>849</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767</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773</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759</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774</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760</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opLeftCell="B146"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880</v>
      </c>
      <c r="I6" s="26" t="str">
        <f>CONCATENATE("Title: ##34#",B6,"##34#")</f>
        <v>Title: ##34#A1.1, A1.2 - Subject of care##34#</v>
      </c>
    </row>
    <row r="7" spans="1:11" ht="15.5" thickBot="1" x14ac:dyDescent="0.9">
      <c r="A7" s="20" t="s">
        <v>5</v>
      </c>
      <c r="B7" s="21" t="s">
        <v>882</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5" t="s">
        <v>57</v>
      </c>
      <c r="D28" s="105" t="s">
        <v>58</v>
      </c>
      <c r="E28" s="40" t="s">
        <v>59</v>
      </c>
      <c r="F28" s="108"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6"/>
      <c r="D29" s="106"/>
      <c r="E29" s="41"/>
      <c r="F29" s="109"/>
      <c r="I29" s="1" t="str">
        <f t="shared" si="2"/>
        <v xml:space="preserve"> - Preferred system(s): </v>
      </c>
    </row>
    <row r="30" spans="2:9" ht="30.25" customHeight="1" thickBot="1" x14ac:dyDescent="0.9">
      <c r="B30" t="str">
        <f t="shared" si="1"/>
        <v xml:space="preserve"> </v>
      </c>
      <c r="C30" s="107"/>
      <c r="D30" s="107"/>
      <c r="E30" s="37" t="s">
        <v>61</v>
      </c>
      <c r="F30" s="11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7" t="s">
        <v>318</v>
      </c>
      <c r="D31" s="98"/>
      <c r="E31" s="98"/>
      <c r="F31" s="99"/>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822</v>
      </c>
      <c r="D3" s="73" t="s">
        <v>644</v>
      </c>
      <c r="E3" s="117" t="s">
        <v>660</v>
      </c>
      <c r="F3" s="117"/>
      <c r="G3" s="117"/>
    </row>
    <row r="4" spans="1:19" x14ac:dyDescent="0.75">
      <c r="B4" s="73" t="s">
        <v>19</v>
      </c>
      <c r="C4" s="54" t="s">
        <v>821</v>
      </c>
      <c r="D4" s="73" t="s">
        <v>645</v>
      </c>
      <c r="E4" s="118" t="s">
        <v>661</v>
      </c>
      <c r="F4" s="117"/>
      <c r="G4" s="117"/>
    </row>
    <row r="5" spans="1:19" x14ac:dyDescent="0.75">
      <c r="B5" s="73" t="s">
        <v>13</v>
      </c>
      <c r="C5" s="10" t="s">
        <v>669</v>
      </c>
      <c r="D5" s="73"/>
      <c r="E5" s="10"/>
    </row>
    <row r="6" spans="1:19" x14ac:dyDescent="0.75">
      <c r="B6" s="73" t="s">
        <v>35</v>
      </c>
      <c r="C6" s="72" t="s">
        <v>634</v>
      </c>
      <c r="D6" s="73" t="s">
        <v>641</v>
      </c>
      <c r="E6" s="117" t="s">
        <v>660</v>
      </c>
      <c r="F6" s="117"/>
      <c r="G6" s="117"/>
    </row>
    <row r="7" spans="1:19" x14ac:dyDescent="0.75">
      <c r="B7" s="73" t="s">
        <v>18</v>
      </c>
      <c r="C7" s="80" t="s">
        <v>637</v>
      </c>
      <c r="D7" s="73" t="s">
        <v>642</v>
      </c>
      <c r="E7" s="118" t="s">
        <v>661</v>
      </c>
      <c r="F7" s="117"/>
      <c r="G7" s="117"/>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892</v>
      </c>
      <c r="I6" s="26" t="str">
        <f>CONCATENATE("Title: ##34#",B6,"##34#")</f>
        <v>Title: ##34#A.1.3 - Health insurance and payment information##34#</v>
      </c>
    </row>
    <row r="7" spans="1:11" ht="15.5" customHeight="1" thickBot="1" x14ac:dyDescent="0.9">
      <c r="A7" s="20" t="s">
        <v>5</v>
      </c>
      <c r="B7" s="21" t="s">
        <v>883</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7" t="s">
        <v>325</v>
      </c>
      <c r="D23" s="98"/>
      <c r="E23" s="98"/>
      <c r="F23" s="99"/>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18" t="s">
        <v>673</v>
      </c>
      <c r="F3" s="117"/>
      <c r="G3" s="117"/>
    </row>
    <row r="4" spans="1:19" x14ac:dyDescent="0.75">
      <c r="B4" s="73" t="s">
        <v>19</v>
      </c>
      <c r="C4" s="54" t="s">
        <v>874</v>
      </c>
      <c r="D4" s="73" t="s">
        <v>645</v>
      </c>
      <c r="E4" s="118" t="s">
        <v>807</v>
      </c>
      <c r="F4" s="117"/>
      <c r="G4" s="117"/>
    </row>
    <row r="5" spans="1:19" x14ac:dyDescent="0.75">
      <c r="B5" s="73" t="s">
        <v>13</v>
      </c>
      <c r="C5" s="10" t="s">
        <v>678</v>
      </c>
      <c r="D5" s="73"/>
      <c r="E5" s="10"/>
    </row>
    <row r="6" spans="1:19" x14ac:dyDescent="0.75">
      <c r="B6" s="73" t="s">
        <v>35</v>
      </c>
      <c r="C6" s="72" t="s">
        <v>634</v>
      </c>
      <c r="D6" s="73" t="s">
        <v>641</v>
      </c>
      <c r="E6" s="118" t="s">
        <v>673</v>
      </c>
      <c r="F6" s="117"/>
      <c r="G6" s="117"/>
    </row>
    <row r="7" spans="1:19" x14ac:dyDescent="0.75">
      <c r="B7" s="73" t="s">
        <v>18</v>
      </c>
      <c r="C7" s="80" t="s">
        <v>637</v>
      </c>
      <c r="D7" s="73" t="s">
        <v>642</v>
      </c>
      <c r="E7" s="118" t="s">
        <v>672</v>
      </c>
      <c r="F7" s="117"/>
      <c r="G7" s="117"/>
    </row>
    <row r="8" spans="1:19" ht="44.25" x14ac:dyDescent="0.75">
      <c r="B8" s="73" t="s">
        <v>635</v>
      </c>
      <c r="C8" s="10" t="s">
        <v>679</v>
      </c>
      <c r="D8" s="73"/>
      <c r="E8" s="10"/>
      <c r="I8" s="14" t="s">
        <v>607</v>
      </c>
      <c r="J8" s="14" t="s">
        <v>608</v>
      </c>
      <c r="K8" s="14" t="s">
        <v>609</v>
      </c>
      <c r="L8" s="14" t="s">
        <v>610</v>
      </c>
      <c r="M8" s="9" t="s">
        <v>611</v>
      </c>
      <c r="P8" s="69" t="s">
        <v>612</v>
      </c>
      <c r="Q8" s="69">
        <v>6</v>
      </c>
    </row>
    <row r="9" spans="1:19" ht="29.5" x14ac:dyDescent="0.75">
      <c r="B9" s="73" t="s">
        <v>636</v>
      </c>
      <c r="C9" s="1" t="s">
        <v>680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340</v>
      </c>
      <c r="E14" s="8"/>
      <c r="F14" s="9"/>
      <c r="G14" s="9" t="s">
        <v>775</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776</v>
      </c>
      <c r="E16" s="9"/>
      <c r="F16" s="75" t="s">
        <v>618</v>
      </c>
      <c r="G16" s="9" t="s">
        <v>674</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777</v>
      </c>
      <c r="E17" s="9"/>
      <c r="F17" s="75" t="s">
        <v>618</v>
      </c>
      <c r="G17" s="9" t="s">
        <v>675</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778</v>
      </c>
      <c r="E18" s="9"/>
      <c r="F18" s="75" t="s">
        <v>618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779</v>
      </c>
      <c r="E19" s="9"/>
      <c r="F19" s="75" t="s">
        <v>618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676</v>
      </c>
      <c r="E20" s="9"/>
      <c r="F20" s="75" t="s">
        <v>618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780</v>
      </c>
      <c r="E21" s="9"/>
      <c r="F21" s="75" t="s">
        <v>618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19" t="str">
        <f>'Payer-ConceptMap-1'!E3</f>
        <v>http://hl7.eu/fhir/laboratory/StructureDefinition/Payer</v>
      </c>
      <c r="F3" s="120"/>
      <c r="G3" s="120"/>
    </row>
    <row r="4" spans="1:19" x14ac:dyDescent="0.75">
      <c r="B4" s="73" t="s">
        <v>19</v>
      </c>
      <c r="C4" s="54" t="str">
        <f>'Payer-ConceptMap-1'!C4</f>
        <v>payer2FHIR-eu-lab</v>
      </c>
      <c r="D4" s="73" t="s">
        <v>645</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18" t="str">
        <f>E3</f>
        <v>http://hl7.eu/fhir/laboratory/StructureDefinition/Payer</v>
      </c>
      <c r="F6" s="117"/>
      <c r="G6" s="117"/>
    </row>
    <row r="7" spans="1:19" x14ac:dyDescent="0.75">
      <c r="B7" s="73" t="s">
        <v>18</v>
      </c>
      <c r="C7" s="80" t="str">
        <f>'Payer-ConceptMap-1'!C7</f>
        <v>http://hl7.eu/fhir/laboratory</v>
      </c>
      <c r="D7" s="73" t="s">
        <v>642</v>
      </c>
      <c r="E7" s="118" t="s">
        <v>661</v>
      </c>
      <c r="F7" s="117"/>
      <c r="G7" s="117"/>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17</v>
      </c>
      <c r="E14" s="8"/>
      <c r="F14" s="75" t="s">
        <v>620</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44.25" x14ac:dyDescent="0.75">
      <c r="A16" s="23"/>
      <c r="B16" s="9" t="str">
        <f>'A1.3 Payer'!B9</f>
        <v>insurance.identifier</v>
      </c>
      <c r="C16" s="9" t="str">
        <f>'A1.3 Payer'!C9</f>
        <v>A.1.3.1.1 Health insurance code</v>
      </c>
      <c r="D16" s="14"/>
      <c r="E16" s="9"/>
      <c r="F16" s="75" t="s">
        <v>620</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620</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620</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620</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88.5" x14ac:dyDescent="0.75">
      <c r="A21" s="23"/>
      <c r="B21" s="9" t="str">
        <f>'A1.3 Payer'!$B$11</f>
        <v>insurance.subjectIdentifier</v>
      </c>
      <c r="C21" s="9" t="str">
        <f>'A1.3 Payer'!$C$11</f>
        <v>A.1.3.1.3 Health insurance number</v>
      </c>
      <c r="D21" s="9" t="s">
        <v>360</v>
      </c>
      <c r="E21" s="9"/>
      <c r="F21" s="75" t="s">
        <v>619</v>
      </c>
      <c r="G21" s="75" t="s">
        <v>895</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677</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873</v>
      </c>
      <c r="I6" s="26" t="str">
        <f>CONCATENATE("Title: ##34#",B6,"##34#")</f>
        <v>Title: ##34#A.1.4 - Information recipient##34#</v>
      </c>
    </row>
    <row r="7" spans="1:11" ht="59" x14ac:dyDescent="0.75">
      <c r="A7" s="46" t="s">
        <v>5</v>
      </c>
      <c r="B7" s="58" t="s">
        <v>884</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859</v>
      </c>
      <c r="D11" s="60" t="s">
        <v>860</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864</v>
      </c>
      <c r="C12" s="9" t="s">
        <v>861</v>
      </c>
      <c r="D12" s="14" t="s">
        <v>862</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863</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7" t="s">
        <v>326</v>
      </c>
      <c r="D26" s="98"/>
      <c r="E26" s="98"/>
      <c r="F26" s="99"/>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852</v>
      </c>
      <c r="D30" s="1" t="s">
        <v>64</v>
      </c>
      <c r="E30" s="1" t="s">
        <v>856</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853</v>
      </c>
      <c r="D31" t="s">
        <v>855</v>
      </c>
      <c r="E31" s="1" t="s">
        <v>857</v>
      </c>
      <c r="F31" t="s">
        <v>858</v>
      </c>
      <c r="H31" t="str">
        <f t="shared" ref="H31:H32" si="4">C31&amp;" "&amp;D31</f>
        <v>A.1.4.5 Country</v>
      </c>
      <c r="I31" s="1" t="str">
        <f t="shared" si="3"/>
        <v>Country of the recipient. - Preferred system(s): ISO 3166</v>
      </c>
    </row>
    <row r="32" spans="2:9" ht="192.5" thickBot="1" x14ac:dyDescent="0.9">
      <c r="C32" s="36" t="s">
        <v>854</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909</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910</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911</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912</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913</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J51"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s="118" t="s">
        <v>682</v>
      </c>
      <c r="F3" s="117"/>
      <c r="G3" s="117"/>
    </row>
    <row r="4" spans="1:19" x14ac:dyDescent="0.75">
      <c r="B4" s="73" t="s">
        <v>19</v>
      </c>
      <c r="C4" s="54" t="s">
        <v>875</v>
      </c>
      <c r="D4" s="73" t="s">
        <v>645</v>
      </c>
      <c r="E4" s="84" t="s">
        <v>685</v>
      </c>
    </row>
    <row r="5" spans="1:19" x14ac:dyDescent="0.75">
      <c r="B5" s="73" t="s">
        <v>13</v>
      </c>
      <c r="C5" s="10" t="s">
        <v>681</v>
      </c>
      <c r="D5" s="73"/>
      <c r="E5" s="10"/>
    </row>
    <row r="6" spans="1:19" x14ac:dyDescent="0.75">
      <c r="B6" s="73" t="s">
        <v>35</v>
      </c>
      <c r="C6" s="72" t="s">
        <v>682</v>
      </c>
      <c r="D6" s="73" t="s">
        <v>641</v>
      </c>
      <c r="E6" s="118" t="s">
        <v>682</v>
      </c>
      <c r="F6" s="117"/>
      <c r="G6" s="117"/>
    </row>
    <row r="7" spans="1:19" x14ac:dyDescent="0.75">
      <c r="B7" s="73" t="s">
        <v>18</v>
      </c>
      <c r="C7" s="80" t="s">
        <v>637</v>
      </c>
      <c r="D7" s="73" t="s">
        <v>642</v>
      </c>
      <c r="E7" s="118" t="s">
        <v>685</v>
      </c>
      <c r="F7" s="117"/>
      <c r="G7" s="117"/>
    </row>
    <row r="8" spans="1:19" ht="44.25" x14ac:dyDescent="0.75">
      <c r="B8" s="73" t="s">
        <v>635</v>
      </c>
      <c r="C8" s="10" t="s">
        <v>683</v>
      </c>
      <c r="D8" s="73"/>
      <c r="E8"/>
      <c r="I8" s="14" t="s">
        <v>607</v>
      </c>
      <c r="J8" s="14" t="s">
        <v>608</v>
      </c>
      <c r="K8" s="14" t="s">
        <v>609</v>
      </c>
      <c r="L8" s="14" t="s">
        <v>610</v>
      </c>
      <c r="M8" s="9" t="s">
        <v>611</v>
      </c>
      <c r="P8" s="69" t="s">
        <v>612</v>
      </c>
      <c r="Q8" s="69">
        <v>6</v>
      </c>
    </row>
    <row r="9" spans="1:19" ht="29.5" x14ac:dyDescent="0.75">
      <c r="B9" s="73" t="s">
        <v>636</v>
      </c>
      <c r="C9" s="1" t="s">
        <v>684</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'A1.4 Recipient'!B5</f>
        <v>Recipient</v>
      </c>
      <c r="C14" s="9"/>
      <c r="D14" t="s">
        <v>768</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781</v>
      </c>
      <c r="E15" s="62"/>
      <c r="F15" s="75" t="s">
        <v>618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59" x14ac:dyDescent="0.75">
      <c r="A16" s="23"/>
      <c r="B16" s="9" t="str">
        <f>'A1.4 Recipient'!$B$9</f>
        <v>name</v>
      </c>
      <c r="C16" s="9" t="str">
        <f>'A1.4 Recipient'!$C$9</f>
        <v>A.1.4.2 Recipient name</v>
      </c>
      <c r="D16" s="14" t="s">
        <v>782</v>
      </c>
      <c r="E16" s="62"/>
      <c r="F16" s="75" t="s">
        <v>618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103.25" x14ac:dyDescent="0.75">
      <c r="A17" s="23"/>
      <c r="B17" s="9" t="str">
        <f>'A1.4 Recipient'!B10</f>
        <v>organization</v>
      </c>
      <c r="C17" s="9" t="str">
        <f>'A1.4 Recipient'!C10</f>
        <v>A.1.4.3 Recipient organization</v>
      </c>
      <c r="D17" s="9" t="s">
        <v>783</v>
      </c>
      <c r="E17" s="9"/>
      <c r="F17" s="75" t="s">
        <v>618</v>
      </c>
      <c r="G17" s="75" t="s">
        <v>865</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INDEX('Recipient-ConceptMap-1'!$I$15:$N$273,Q17+1,R17)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784</v>
      </c>
      <c r="E18" s="9"/>
      <c r="F18" s="75" t="s">
        <v>618</v>
      </c>
      <c r="G18" s="75" t="s">
        <v>866</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955</v>
      </c>
      <c r="E19" s="9"/>
      <c r="F19" s="75" t="s">
        <v>618</v>
      </c>
      <c r="G19" s="75" t="s">
        <v>958</v>
      </c>
      <c r="H19" s="76"/>
      <c r="I19" s="14" t="str">
        <f t="shared" ref="I19:I24" si="12">"* group[=].element[+].code = #"&amp;$B$14&amp;"."&amp;B19</f>
        <v>* group[=].element[+].code = #Recipient.address</v>
      </c>
      <c r="J19" s="14" t="str">
        <f t="shared" ref="J19:J24" si="13">"* group[=].element[=].display = ##34#"&amp;C19&amp;"##34#"</f>
        <v>* group[=].element[=].display = ##34#A.1.4.4 Address##34#</v>
      </c>
      <c r="K19" s="14" t="str">
        <f t="shared" ref="K19:K24" si="14">IF(F19="unmatched","//-- unmatched",IF(D19="","* group[=].element[=].target.code = #"&amp;$D$14,"* group[=].element[=].target.code = #"&amp;$D$14&amp;"."&amp;D19))</f>
        <v>* group[=].element[=].target.code = #extension:information-recipient.ValueReference.address</v>
      </c>
      <c r="L19" s="14" t="str">
        <f t="shared" ref="L19:L24" si="15">IF(F19="unmatched","//-- unmatched","* group[=].element[=].target.display = ##34#"&amp;E19&amp;"##34#")</f>
        <v>* group[=].element[=].target.display = ##34###34#</v>
      </c>
      <c r="M19" s="14" t="str">
        <f t="shared" ref="M19:M24" si="16">"* group[=].element[=].target.equivalence = #"&amp;F19</f>
        <v>* group[=].element[=].target.equivalence = #equivalent</v>
      </c>
      <c r="N19" s="4" t="str">
        <f t="shared" ref="N19:N24" si="17">IF(G19&lt;&gt;"",CONCATENATE("* group[=].element[=].target.comment = ","##34#",G19,"##34#"),"")</f>
        <v>* group[=].element[=].target.comment = ##34#If ValueReference.resolve().ofType(Practioner)##34#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956</v>
      </c>
      <c r="E20" s="9"/>
      <c r="F20" s="75" t="s">
        <v>618</v>
      </c>
      <c r="G20" s="75" t="s">
        <v>958</v>
      </c>
      <c r="H20" s="76"/>
      <c r="I20" s="14" t="str">
        <f t="shared" si="12"/>
        <v>* group[=].element[+].code = #Recipient.country</v>
      </c>
      <c r="J20" s="14" t="str">
        <f t="shared" si="13"/>
        <v>* group[=].element[=].display = ##34#A.1.4.5 Country##34#</v>
      </c>
      <c r="K20" s="14" t="str">
        <f t="shared" si="14"/>
        <v>* group[=].element[=].target.code = #extension:information-recipient.ValueReference.country</v>
      </c>
      <c r="L20" s="14" t="str">
        <f t="shared" si="15"/>
        <v>* group[=].element[=].target.display = ##34###34#</v>
      </c>
      <c r="M20" s="14" t="str">
        <f t="shared" si="16"/>
        <v>* group[=].element[=].target.equivalence = #equivalent</v>
      </c>
      <c r="N20" s="4" t="str">
        <f t="shared" si="17"/>
        <v>* group[=].element[=].target.comment = ##34#If ValueReference.resolve().ofType(Practioner)##34#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957</v>
      </c>
      <c r="E21" s="9"/>
      <c r="F21" s="75" t="s">
        <v>618</v>
      </c>
      <c r="G21" s="75" t="s">
        <v>958</v>
      </c>
      <c r="H21" s="76"/>
      <c r="I21" s="14" t="str">
        <f t="shared" si="12"/>
        <v>* group[=].element[+].code = #Recipient.telecom</v>
      </c>
      <c r="J21" s="14" t="str">
        <f t="shared" si="13"/>
        <v>* group[=].element[=].display = ##34#A.1.4.6 Telecom##34#</v>
      </c>
      <c r="K21" s="14" t="str">
        <f t="shared" si="14"/>
        <v>* group[=].element[=].target.code = #extension:information-recipient.ValueReference.telecom</v>
      </c>
      <c r="L21" s="14" t="str">
        <f t="shared" si="15"/>
        <v>* group[=].element[=].target.display = ##34###34#</v>
      </c>
      <c r="M21" s="14" t="str">
        <f t="shared" si="16"/>
        <v>* group[=].element[=].target.equivalence = #equivalent</v>
      </c>
      <c r="N21" s="4" t="str">
        <f t="shared" si="17"/>
        <v>* group[=].element[=].target.comment = ##34#If ValueReference.resolve().ofType(Practioner)##34#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868</v>
      </c>
      <c r="E22" s="9"/>
      <c r="F22" s="75" t="s">
        <v>619</v>
      </c>
      <c r="G22" s="75" t="s">
        <v>867</v>
      </c>
      <c r="H22" s="76"/>
      <c r="I22" s="14" t="str">
        <f t="shared" si="12"/>
        <v>* group[=].element[+].code = #Recipient.address</v>
      </c>
      <c r="J22" s="14" t="str">
        <f t="shared" si="13"/>
        <v>* group[=].element[=].display = ##34#A.1.4.4 Address##34#</v>
      </c>
      <c r="K22" s="14" t="str">
        <f t="shared" si="14"/>
        <v>* group[=].element[=].target.code = #extension:information-recipient.ValueReference.practitioner.address</v>
      </c>
      <c r="L22" s="14" t="str">
        <f t="shared" si="15"/>
        <v>* group[=].element[=].target.display = ##34###34#</v>
      </c>
      <c r="M22" s="14" t="str">
        <f t="shared" si="16"/>
        <v>* group[=].element[=].target.equivalence = #relatedto</v>
      </c>
      <c r="N22" s="4" t="str">
        <f t="shared" si="17"/>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870</v>
      </c>
      <c r="E23" s="9"/>
      <c r="F23" s="75" t="s">
        <v>619</v>
      </c>
      <c r="G23" s="75" t="s">
        <v>867</v>
      </c>
      <c r="H23" s="76"/>
      <c r="I23" s="14" t="str">
        <f t="shared" si="12"/>
        <v>* group[=].element[+].code = #Recipient.country</v>
      </c>
      <c r="J23" s="14" t="str">
        <f t="shared" si="13"/>
        <v>* group[=].element[=].display = ##34#A.1.4.5 Country##34#</v>
      </c>
      <c r="K23" s="14" t="str">
        <f t="shared" si="14"/>
        <v>* group[=].element[=].target.code = #extension:information-recipient.ValueReference.practitioner.country</v>
      </c>
      <c r="L23" s="14" t="str">
        <f t="shared" si="15"/>
        <v>* group[=].element[=].target.display = ##34###34#</v>
      </c>
      <c r="M23" s="14" t="str">
        <f t="shared" si="16"/>
        <v>* group[=].element[=].target.equivalence = #relatedto</v>
      </c>
      <c r="N23" s="4" t="str">
        <f t="shared" si="17"/>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869</v>
      </c>
      <c r="E24" s="9"/>
      <c r="F24" s="75" t="s">
        <v>619</v>
      </c>
      <c r="G24" s="75" t="s">
        <v>867</v>
      </c>
      <c r="H24" s="76"/>
      <c r="I24" s="14" t="str">
        <f t="shared" si="12"/>
        <v>* group[=].element[+].code = #Recipient.telecom</v>
      </c>
      <c r="J24" s="14" t="str">
        <f t="shared" si="13"/>
        <v>* group[=].element[=].display = ##34#A.1.4.6 Telecom##34#</v>
      </c>
      <c r="K24" s="14" t="str">
        <f t="shared" si="14"/>
        <v>* group[=].element[=].target.code = #extension:information-recipient.ValueReference.practitioner.telecom</v>
      </c>
      <c r="L24" s="14" t="str">
        <f t="shared" si="15"/>
        <v>* group[=].element[=].target.display = ##34###34#</v>
      </c>
      <c r="M24" s="14" t="str">
        <f t="shared" si="16"/>
        <v>* group[=].element[=].target.equivalence = #relatedto</v>
      </c>
      <c r="N24" s="4" t="str">
        <f t="shared" si="17"/>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75"/>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75"/>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x14ac:dyDescent="0.75">
      <c r="B29" s="9"/>
      <c r="C29" s="9"/>
      <c r="D29" s="14"/>
      <c r="E29" s="14"/>
      <c r="F29" s="75"/>
      <c r="G29" s="83"/>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75"/>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x14ac:dyDescent="0.75">
      <c r="B38" s="9"/>
      <c r="C38" s="9"/>
      <c r="D38" s="14"/>
      <c r="E38" s="14"/>
      <c r="F38" s="75"/>
      <c r="G38" s="75"/>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75"/>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76"/>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x14ac:dyDescent="0.75">
      <c r="A41"/>
      <c r="B41" s="9"/>
      <c r="C41" s="9"/>
      <c r="D41" s="60"/>
      <c r="F41" s="76"/>
      <c r="G41" s="76"/>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ValueReference.resolve().ofType(Practioner)##34#</v>
      </c>
      <c r="T44"/>
    </row>
    <row r="45" spans="1:20"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76"/>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x14ac:dyDescent="0.75">
      <c r="A50"/>
      <c r="B50" s="9"/>
      <c r="C50"/>
      <c r="F50" s="76"/>
      <c r="G50" s="76"/>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ValueReference.resolve().ofType(Practioner)##34#</v>
      </c>
      <c r="T50"/>
    </row>
    <row r="51" spans="1:20" s="1" customFormat="1" x14ac:dyDescent="0.75">
      <c r="A51"/>
      <c r="B51" s="9"/>
      <c r="C51"/>
      <c r="F51" s="76"/>
      <c r="G51" s="76"/>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76"/>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x14ac:dyDescent="0.75">
      <c r="F53" s="76"/>
      <c r="G53" s="76"/>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76"/>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76"/>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x14ac:dyDescent="0.75">
      <c r="P65" s="9">
        <v>51</v>
      </c>
      <c r="Q65" s="9">
        <f t="shared" si="10"/>
        <v>8</v>
      </c>
      <c r="R65" s="9">
        <f t="shared" si="11"/>
        <v>3</v>
      </c>
      <c r="S65" s="14" t="str" cm="1">
        <f t="array" ref="S65">INDEX('Recipient-ConceptMap-1'!$I$15:$N$273,Q65+1,R65)</f>
        <v>* group[=].element[=].target.code = #extension:information-recipient.ValueReference.practitioner.country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8">IF(MOD(P80,$Q$8)=0,P80/$Q$8-1,INT(P80/$Q$8))</f>
        <v>10</v>
      </c>
      <c r="R80" s="9">
        <f t="shared" ref="R80:R86" si="19">IF(MOD(P80,$Q$8)=0,$Q$8,MOD(P80,$Q$8))</f>
        <v>6</v>
      </c>
      <c r="S80" s="14" cm="1">
        <f t="array" ref="S80">INDEX('Recipient-ConceptMap-1'!$I$15:$N$273,Q80+1,R80)</f>
        <v>0</v>
      </c>
    </row>
    <row r="81" spans="16:19" x14ac:dyDescent="0.75">
      <c r="P81" s="9">
        <v>67</v>
      </c>
      <c r="Q81" s="9">
        <f t="shared" si="18"/>
        <v>11</v>
      </c>
      <c r="R81" s="9">
        <f t="shared" si="19"/>
        <v>1</v>
      </c>
      <c r="S81" s="14" cm="1">
        <f t="array" ref="S81">INDEX('Recipient-ConceptMap-1'!$I$15:$N$273,Q81+1,R81)</f>
        <v>0</v>
      </c>
    </row>
    <row r="82" spans="16:19" x14ac:dyDescent="0.75">
      <c r="P82" s="9">
        <v>68</v>
      </c>
      <c r="Q82" s="9">
        <f t="shared" si="18"/>
        <v>11</v>
      </c>
      <c r="R82" s="9">
        <f t="shared" si="19"/>
        <v>2</v>
      </c>
      <c r="S82" s="14" cm="1">
        <f t="array" ref="S82">INDEX('Recipient-ConceptMap-1'!$I$15:$N$273,Q82+1,R82)</f>
        <v>0</v>
      </c>
    </row>
    <row r="83" spans="16:19" x14ac:dyDescent="0.75">
      <c r="P83" s="9">
        <v>69</v>
      </c>
      <c r="Q83" s="9">
        <f t="shared" si="18"/>
        <v>11</v>
      </c>
      <c r="R83" s="9">
        <f t="shared" si="19"/>
        <v>3</v>
      </c>
      <c r="S83" s="14" cm="1">
        <f t="array" ref="S83">INDEX('Recipient-ConceptMap-1'!$I$15:$N$273,Q83+1,R83)</f>
        <v>0</v>
      </c>
    </row>
    <row r="84" spans="16:19" x14ac:dyDescent="0.75">
      <c r="P84" s="9">
        <v>70</v>
      </c>
      <c r="Q84" s="9">
        <f t="shared" si="18"/>
        <v>11</v>
      </c>
      <c r="R84" s="9">
        <f t="shared" si="19"/>
        <v>4</v>
      </c>
      <c r="S84" s="14" cm="1">
        <f t="array" ref="S84">INDEX('Recipient-ConceptMap-1'!$I$15:$N$273,Q84+1,R84)</f>
        <v>0</v>
      </c>
    </row>
    <row r="85" spans="16:19" x14ac:dyDescent="0.75">
      <c r="P85" s="9">
        <v>71</v>
      </c>
      <c r="Q85" s="9">
        <f t="shared" si="18"/>
        <v>11</v>
      </c>
      <c r="R85" s="9">
        <f t="shared" si="19"/>
        <v>5</v>
      </c>
      <c r="S85" s="14" cm="1">
        <f t="array" ref="S85">INDEX('Recipient-ConceptMap-1'!$I$15:$N$273,Q85+1,R85)</f>
        <v>0</v>
      </c>
    </row>
    <row r="86" spans="16:19" x14ac:dyDescent="0.75">
      <c r="P86" s="9">
        <v>72</v>
      </c>
      <c r="Q86" s="9">
        <f t="shared" si="18"/>
        <v>11</v>
      </c>
      <c r="R86" s="9">
        <f t="shared" si="19"/>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20">IF(MOD(P124,$Q$8)=0,P124/$Q$8-1,INT(P124/$Q$8))</f>
        <v>17</v>
      </c>
      <c r="R124" s="9">
        <f t="shared" ref="R124:R187" si="21">IF(MOD(P124,$Q$8)=0,$Q$8,MOD(P124,$Q$8))</f>
        <v>5</v>
      </c>
      <c r="S124" s="14" cm="1">
        <f t="array" ref="S124">INDEX('Recipient-ConceptMap-1'!$I$15:$N$273,Q124+1,R124)</f>
        <v>0</v>
      </c>
    </row>
    <row r="125" spans="16:19" x14ac:dyDescent="0.75">
      <c r="P125" s="9">
        <v>108</v>
      </c>
      <c r="Q125" s="9">
        <f t="shared" si="20"/>
        <v>17</v>
      </c>
      <c r="R125" s="9">
        <f t="shared" si="21"/>
        <v>6</v>
      </c>
      <c r="S125" s="14" cm="1">
        <f t="array" ref="S125">INDEX('Recipient-ConceptMap-1'!$I$15:$N$273,Q125+1,R125)</f>
        <v>0</v>
      </c>
    </row>
    <row r="126" spans="16:19" x14ac:dyDescent="0.75">
      <c r="P126" s="9">
        <v>109</v>
      </c>
      <c r="Q126" s="9">
        <f t="shared" si="20"/>
        <v>18</v>
      </c>
      <c r="R126" s="9">
        <f t="shared" si="21"/>
        <v>1</v>
      </c>
      <c r="S126" s="14" cm="1">
        <f t="array" ref="S126">INDEX('Recipient-ConceptMap-1'!$I$15:$N$273,Q126+1,R126)</f>
        <v>0</v>
      </c>
    </row>
    <row r="127" spans="16:19" x14ac:dyDescent="0.75">
      <c r="P127" s="9">
        <v>110</v>
      </c>
      <c r="Q127" s="9">
        <f t="shared" si="20"/>
        <v>18</v>
      </c>
      <c r="R127" s="9">
        <f t="shared" si="21"/>
        <v>2</v>
      </c>
      <c r="S127" s="14" cm="1">
        <f t="array" ref="S127">INDEX('Recipient-ConceptMap-1'!$I$15:$N$273,Q127+1,R127)</f>
        <v>0</v>
      </c>
    </row>
    <row r="128" spans="16:19" x14ac:dyDescent="0.75">
      <c r="P128" s="9">
        <v>111</v>
      </c>
      <c r="Q128" s="9">
        <f t="shared" si="20"/>
        <v>18</v>
      </c>
      <c r="R128" s="9">
        <f t="shared" si="21"/>
        <v>3</v>
      </c>
      <c r="S128" s="14" cm="1">
        <f t="array" ref="S128">INDEX('Recipient-ConceptMap-1'!$I$15:$N$273,Q128+1,R128)</f>
        <v>0</v>
      </c>
    </row>
    <row r="129" spans="16:19" x14ac:dyDescent="0.75">
      <c r="P129" s="9">
        <v>112</v>
      </c>
      <c r="Q129" s="9">
        <f t="shared" si="20"/>
        <v>18</v>
      </c>
      <c r="R129" s="9">
        <f t="shared" si="21"/>
        <v>4</v>
      </c>
      <c r="S129" s="14" cm="1">
        <f t="array" ref="S129">INDEX('Recipient-ConceptMap-1'!$I$15:$N$273,Q129+1,R129)</f>
        <v>0</v>
      </c>
    </row>
    <row r="130" spans="16:19" x14ac:dyDescent="0.75">
      <c r="P130" s="9">
        <v>113</v>
      </c>
      <c r="Q130" s="9">
        <f t="shared" si="20"/>
        <v>18</v>
      </c>
      <c r="R130" s="9">
        <f t="shared" si="21"/>
        <v>5</v>
      </c>
      <c r="S130" s="14" cm="1">
        <f t="array" ref="S130">INDEX('Recipient-ConceptMap-1'!$I$15:$N$273,Q130+1,R130)</f>
        <v>0</v>
      </c>
    </row>
    <row r="131" spans="16:19" x14ac:dyDescent="0.75">
      <c r="P131" s="9">
        <v>114</v>
      </c>
      <c r="Q131" s="9">
        <f t="shared" si="20"/>
        <v>18</v>
      </c>
      <c r="R131" s="9">
        <f t="shared" si="21"/>
        <v>6</v>
      </c>
      <c r="S131" s="14" cm="1">
        <f t="array" ref="S131">INDEX('Recipient-ConceptMap-1'!$I$15:$N$273,Q131+1,R131)</f>
        <v>0</v>
      </c>
    </row>
    <row r="132" spans="16:19" x14ac:dyDescent="0.75">
      <c r="P132" s="9">
        <v>115</v>
      </c>
      <c r="Q132" s="9">
        <f t="shared" si="20"/>
        <v>19</v>
      </c>
      <c r="R132" s="9">
        <f t="shared" si="21"/>
        <v>1</v>
      </c>
      <c r="S132" s="14" cm="1">
        <f t="array" ref="S132">INDEX('Recipient-ConceptMap-1'!$I$15:$N$273,Q132+1,R132)</f>
        <v>0</v>
      </c>
    </row>
    <row r="133" spans="16:19" x14ac:dyDescent="0.75">
      <c r="P133" s="9">
        <v>116</v>
      </c>
      <c r="Q133" s="9">
        <f t="shared" si="20"/>
        <v>19</v>
      </c>
      <c r="R133" s="9">
        <f t="shared" si="21"/>
        <v>2</v>
      </c>
      <c r="S133" s="14" cm="1">
        <f t="array" ref="S133">INDEX('Recipient-ConceptMap-1'!$I$15:$N$273,Q133+1,R133)</f>
        <v>0</v>
      </c>
    </row>
    <row r="134" spans="16:19" x14ac:dyDescent="0.75">
      <c r="P134" s="9">
        <v>117</v>
      </c>
      <c r="Q134" s="9">
        <f t="shared" si="20"/>
        <v>19</v>
      </c>
      <c r="R134" s="9">
        <f t="shared" si="21"/>
        <v>3</v>
      </c>
      <c r="S134" s="14" cm="1">
        <f t="array" ref="S134">INDEX('Recipient-ConceptMap-1'!$I$15:$N$273,Q134+1,R134)</f>
        <v>0</v>
      </c>
    </row>
    <row r="135" spans="16:19" x14ac:dyDescent="0.75">
      <c r="P135" s="9">
        <v>118</v>
      </c>
      <c r="Q135" s="9">
        <f t="shared" si="20"/>
        <v>19</v>
      </c>
      <c r="R135" s="9">
        <f t="shared" si="21"/>
        <v>4</v>
      </c>
      <c r="S135" s="14" cm="1">
        <f t="array" ref="S135">INDEX('Recipient-ConceptMap-1'!$I$15:$N$273,Q135+1,R135)</f>
        <v>0</v>
      </c>
    </row>
    <row r="136" spans="16:19" x14ac:dyDescent="0.75">
      <c r="P136" s="9">
        <v>119</v>
      </c>
      <c r="Q136" s="9">
        <f t="shared" si="20"/>
        <v>19</v>
      </c>
      <c r="R136" s="9">
        <f t="shared" si="21"/>
        <v>5</v>
      </c>
      <c r="S136" s="14" cm="1">
        <f t="array" ref="S136">INDEX('Recipient-ConceptMap-1'!$I$15:$N$273,Q136+1,R136)</f>
        <v>0</v>
      </c>
    </row>
    <row r="137" spans="16:19" x14ac:dyDescent="0.75">
      <c r="P137" s="9">
        <v>120</v>
      </c>
      <c r="Q137" s="9">
        <f t="shared" si="20"/>
        <v>19</v>
      </c>
      <c r="R137" s="9">
        <f t="shared" si="21"/>
        <v>6</v>
      </c>
      <c r="S137" s="14" cm="1">
        <f t="array" ref="S137">INDEX('Recipient-ConceptMap-1'!$I$15:$N$273,Q137+1,R137)</f>
        <v>0</v>
      </c>
    </row>
    <row r="138" spans="16:19" x14ac:dyDescent="0.75">
      <c r="P138" s="9">
        <v>121</v>
      </c>
      <c r="Q138" s="9">
        <f t="shared" si="20"/>
        <v>20</v>
      </c>
      <c r="R138" s="9">
        <f t="shared" si="21"/>
        <v>1</v>
      </c>
      <c r="S138" s="14" cm="1">
        <f t="array" ref="S138">INDEX('Recipient-ConceptMap-1'!$I$15:$N$273,Q138+1,R138)</f>
        <v>0</v>
      </c>
    </row>
    <row r="139" spans="16:19" x14ac:dyDescent="0.75">
      <c r="P139" s="9">
        <v>122</v>
      </c>
      <c r="Q139" s="9">
        <f t="shared" si="20"/>
        <v>20</v>
      </c>
      <c r="R139" s="9">
        <f t="shared" si="21"/>
        <v>2</v>
      </c>
      <c r="S139" s="14" cm="1">
        <f t="array" ref="S139">INDEX('Recipient-ConceptMap-1'!$I$15:$N$273,Q139+1,R139)</f>
        <v>0</v>
      </c>
    </row>
    <row r="140" spans="16:19" x14ac:dyDescent="0.75">
      <c r="P140" s="9">
        <v>123</v>
      </c>
      <c r="Q140" s="9">
        <f t="shared" si="20"/>
        <v>20</v>
      </c>
      <c r="R140" s="9">
        <f t="shared" si="21"/>
        <v>3</v>
      </c>
      <c r="S140" s="14" cm="1">
        <f t="array" ref="S140">INDEX('Recipient-ConceptMap-1'!$I$15:$N$273,Q140+1,R140)</f>
        <v>0</v>
      </c>
    </row>
    <row r="141" spans="16:19" x14ac:dyDescent="0.75">
      <c r="P141" s="9">
        <v>124</v>
      </c>
      <c r="Q141" s="9">
        <f t="shared" si="20"/>
        <v>20</v>
      </c>
      <c r="R141" s="9">
        <f t="shared" si="21"/>
        <v>4</v>
      </c>
      <c r="S141" s="14" cm="1">
        <f t="array" ref="S141">INDEX('Recipient-ConceptMap-1'!$I$15:$N$273,Q141+1,R141)</f>
        <v>0</v>
      </c>
    </row>
    <row r="142" spans="16:19" x14ac:dyDescent="0.75">
      <c r="P142" s="9">
        <v>125</v>
      </c>
      <c r="Q142" s="9">
        <f t="shared" si="20"/>
        <v>20</v>
      </c>
      <c r="R142" s="9">
        <f t="shared" si="21"/>
        <v>5</v>
      </c>
      <c r="S142" s="14" cm="1">
        <f t="array" ref="S142">INDEX('Recipient-ConceptMap-1'!$I$15:$N$273,Q142+1,R142)</f>
        <v>0</v>
      </c>
    </row>
    <row r="143" spans="16:19" x14ac:dyDescent="0.75">
      <c r="P143" s="9">
        <v>126</v>
      </c>
      <c r="Q143" s="9">
        <f t="shared" si="20"/>
        <v>20</v>
      </c>
      <c r="R143" s="9">
        <f t="shared" si="21"/>
        <v>6</v>
      </c>
      <c r="S143" s="14" cm="1">
        <f t="array" ref="S143">INDEX('Recipient-ConceptMap-1'!$I$15:$N$273,Q143+1,R143)</f>
        <v>0</v>
      </c>
    </row>
    <row r="144" spans="16:19" x14ac:dyDescent="0.75">
      <c r="P144" s="9">
        <v>127</v>
      </c>
      <c r="Q144" s="9">
        <f t="shared" si="20"/>
        <v>21</v>
      </c>
      <c r="R144" s="9">
        <f t="shared" si="21"/>
        <v>1</v>
      </c>
      <c r="S144" s="14" cm="1">
        <f t="array" ref="S144">INDEX('Recipient-ConceptMap-1'!$I$15:$N$273,Q144+1,R144)</f>
        <v>0</v>
      </c>
    </row>
    <row r="145" spans="16:19" x14ac:dyDescent="0.75">
      <c r="P145" s="9">
        <v>128</v>
      </c>
      <c r="Q145" s="9">
        <f t="shared" si="20"/>
        <v>21</v>
      </c>
      <c r="R145" s="9">
        <f t="shared" si="21"/>
        <v>2</v>
      </c>
      <c r="S145" s="14" cm="1">
        <f t="array" ref="S145">INDEX('Recipient-ConceptMap-1'!$I$15:$N$273,Q145+1,R145)</f>
        <v>0</v>
      </c>
    </row>
    <row r="146" spans="16:19" x14ac:dyDescent="0.75">
      <c r="P146" s="9">
        <v>129</v>
      </c>
      <c r="Q146" s="9">
        <f t="shared" si="20"/>
        <v>21</v>
      </c>
      <c r="R146" s="9">
        <f t="shared" si="21"/>
        <v>3</v>
      </c>
      <c r="S146" s="14" cm="1">
        <f t="array" ref="S146">INDEX('Recipient-ConceptMap-1'!$I$15:$N$273,Q146+1,R146)</f>
        <v>0</v>
      </c>
    </row>
    <row r="147" spans="16:19" x14ac:dyDescent="0.75">
      <c r="P147" s="9">
        <v>130</v>
      </c>
      <c r="Q147" s="9">
        <f t="shared" si="20"/>
        <v>21</v>
      </c>
      <c r="R147" s="9">
        <f t="shared" si="21"/>
        <v>4</v>
      </c>
      <c r="S147" s="14" cm="1">
        <f t="array" ref="S147">INDEX('Recipient-ConceptMap-1'!$I$15:$N$273,Q147+1,R147)</f>
        <v>0</v>
      </c>
    </row>
    <row r="148" spans="16:19" x14ac:dyDescent="0.75">
      <c r="P148" s="9">
        <v>131</v>
      </c>
      <c r="Q148" s="9">
        <f t="shared" si="20"/>
        <v>21</v>
      </c>
      <c r="R148" s="9">
        <f t="shared" si="21"/>
        <v>5</v>
      </c>
      <c r="S148" s="14" cm="1">
        <f t="array" ref="S148">INDEX('Recipient-ConceptMap-1'!$I$15:$N$273,Q148+1,R148)</f>
        <v>0</v>
      </c>
    </row>
    <row r="149" spans="16:19" x14ac:dyDescent="0.75">
      <c r="P149" s="9">
        <v>132</v>
      </c>
      <c r="Q149" s="9">
        <f t="shared" si="20"/>
        <v>21</v>
      </c>
      <c r="R149" s="9">
        <f t="shared" si="21"/>
        <v>6</v>
      </c>
      <c r="S149" s="14" cm="1">
        <f t="array" ref="S149">INDEX('Recipient-ConceptMap-1'!$I$15:$N$273,Q149+1,R149)</f>
        <v>0</v>
      </c>
    </row>
    <row r="150" spans="16:19" x14ac:dyDescent="0.75">
      <c r="P150" s="9">
        <v>133</v>
      </c>
      <c r="Q150" s="9">
        <f t="shared" si="20"/>
        <v>22</v>
      </c>
      <c r="R150" s="9">
        <f t="shared" si="21"/>
        <v>1</v>
      </c>
      <c r="S150" s="14" cm="1">
        <f t="array" ref="S150">INDEX('Recipient-ConceptMap-1'!$I$15:$N$273,Q150+1,R150)</f>
        <v>0</v>
      </c>
    </row>
    <row r="151" spans="16:19" x14ac:dyDescent="0.75">
      <c r="P151" s="9">
        <v>134</v>
      </c>
      <c r="Q151" s="9">
        <f t="shared" si="20"/>
        <v>22</v>
      </c>
      <c r="R151" s="9">
        <f t="shared" si="21"/>
        <v>2</v>
      </c>
      <c r="S151" s="14" cm="1">
        <f t="array" ref="S151">INDEX('Recipient-ConceptMap-1'!$I$15:$N$273,Q151+1,R151)</f>
        <v>0</v>
      </c>
    </row>
    <row r="152" spans="16:19" x14ac:dyDescent="0.75">
      <c r="P152" s="9">
        <v>135</v>
      </c>
      <c r="Q152" s="9">
        <f t="shared" si="20"/>
        <v>22</v>
      </c>
      <c r="R152" s="9">
        <f t="shared" si="21"/>
        <v>3</v>
      </c>
      <c r="S152" s="14" cm="1">
        <f t="array" ref="S152">INDEX('Recipient-ConceptMap-1'!$I$15:$N$273,Q152+1,R152)</f>
        <v>0</v>
      </c>
    </row>
    <row r="153" spans="16:19" x14ac:dyDescent="0.75">
      <c r="P153" s="9">
        <v>136</v>
      </c>
      <c r="Q153" s="9">
        <f t="shared" si="20"/>
        <v>22</v>
      </c>
      <c r="R153" s="9">
        <f t="shared" si="21"/>
        <v>4</v>
      </c>
      <c r="S153" s="14" cm="1">
        <f t="array" ref="S153">INDEX('Recipient-ConceptMap-1'!$I$15:$N$273,Q153+1,R153)</f>
        <v>0</v>
      </c>
    </row>
    <row r="154" spans="16:19" x14ac:dyDescent="0.75">
      <c r="P154" s="9">
        <v>137</v>
      </c>
      <c r="Q154" s="9">
        <f t="shared" si="20"/>
        <v>22</v>
      </c>
      <c r="R154" s="9">
        <f t="shared" si="21"/>
        <v>5</v>
      </c>
      <c r="S154" s="14" cm="1">
        <f t="array" ref="S154">INDEX('Recipient-ConceptMap-1'!$I$15:$N$273,Q154+1,R154)</f>
        <v>0</v>
      </c>
    </row>
    <row r="155" spans="16:19" x14ac:dyDescent="0.75">
      <c r="P155" s="9">
        <v>138</v>
      </c>
      <c r="Q155" s="9">
        <f t="shared" si="20"/>
        <v>22</v>
      </c>
      <c r="R155" s="9">
        <f t="shared" si="21"/>
        <v>6</v>
      </c>
      <c r="S155" s="14" cm="1">
        <f t="array" ref="S155">INDEX('Recipient-ConceptMap-1'!$I$15:$N$273,Q155+1,R155)</f>
        <v>0</v>
      </c>
    </row>
    <row r="156" spans="16:19" x14ac:dyDescent="0.75">
      <c r="P156" s="9">
        <v>139</v>
      </c>
      <c r="Q156" s="9">
        <f t="shared" si="20"/>
        <v>23</v>
      </c>
      <c r="R156" s="9">
        <f t="shared" si="21"/>
        <v>1</v>
      </c>
      <c r="S156" s="14" cm="1">
        <f t="array" ref="S156">INDEX('Recipient-ConceptMap-1'!$I$15:$N$273,Q156+1,R156)</f>
        <v>0</v>
      </c>
    </row>
    <row r="157" spans="16:19" x14ac:dyDescent="0.75">
      <c r="P157" s="9">
        <v>140</v>
      </c>
      <c r="Q157" s="9">
        <f t="shared" si="20"/>
        <v>23</v>
      </c>
      <c r="R157" s="9">
        <f t="shared" si="21"/>
        <v>2</v>
      </c>
      <c r="S157" s="14" cm="1">
        <f t="array" ref="S157">INDEX('Recipient-ConceptMap-1'!$I$15:$N$273,Q157+1,R157)</f>
        <v>0</v>
      </c>
    </row>
    <row r="158" spans="16:19" x14ac:dyDescent="0.75">
      <c r="P158" s="9">
        <v>141</v>
      </c>
      <c r="Q158" s="9">
        <f t="shared" si="20"/>
        <v>23</v>
      </c>
      <c r="R158" s="9">
        <f t="shared" si="21"/>
        <v>3</v>
      </c>
      <c r="S158" s="14" cm="1">
        <f t="array" ref="S158">INDEX('Recipient-ConceptMap-1'!$I$15:$N$273,Q158+1,R158)</f>
        <v>0</v>
      </c>
    </row>
    <row r="159" spans="16:19" x14ac:dyDescent="0.75">
      <c r="P159" s="9">
        <v>142</v>
      </c>
      <c r="Q159" s="9">
        <f t="shared" si="20"/>
        <v>23</v>
      </c>
      <c r="R159" s="9">
        <f t="shared" si="21"/>
        <v>4</v>
      </c>
      <c r="S159" s="14" cm="1">
        <f t="array" ref="S159">INDEX('Recipient-ConceptMap-1'!$I$15:$N$273,Q159+1,R159)</f>
        <v>0</v>
      </c>
    </row>
    <row r="160" spans="16:19" x14ac:dyDescent="0.75">
      <c r="P160" s="9">
        <v>143</v>
      </c>
      <c r="Q160" s="9">
        <f t="shared" si="20"/>
        <v>23</v>
      </c>
      <c r="R160" s="9">
        <f t="shared" si="21"/>
        <v>5</v>
      </c>
      <c r="S160" s="14" cm="1">
        <f t="array" ref="S160">INDEX('Recipient-ConceptMap-1'!$I$15:$N$273,Q160+1,R160)</f>
        <v>0</v>
      </c>
    </row>
    <row r="161" spans="16:19" x14ac:dyDescent="0.75">
      <c r="P161" s="9">
        <v>144</v>
      </c>
      <c r="Q161" s="9">
        <f t="shared" si="20"/>
        <v>23</v>
      </c>
      <c r="R161" s="9">
        <f t="shared" si="21"/>
        <v>6</v>
      </c>
      <c r="S161" s="14" cm="1">
        <f t="array" ref="S161">INDEX('Recipient-ConceptMap-1'!$I$15:$N$273,Q161+1,R161)</f>
        <v>0</v>
      </c>
    </row>
    <row r="162" spans="16:19" x14ac:dyDescent="0.75">
      <c r="P162" s="9">
        <v>145</v>
      </c>
      <c r="Q162" s="9">
        <f t="shared" si="20"/>
        <v>24</v>
      </c>
      <c r="R162" s="9">
        <f t="shared" si="21"/>
        <v>1</v>
      </c>
      <c r="S162" s="14" cm="1">
        <f t="array" ref="S162">INDEX('Recipient-ConceptMap-1'!$I$15:$N$273,Q162+1,R162)</f>
        <v>0</v>
      </c>
    </row>
    <row r="163" spans="16:19" x14ac:dyDescent="0.75">
      <c r="P163" s="9">
        <v>146</v>
      </c>
      <c r="Q163" s="9">
        <f t="shared" si="20"/>
        <v>24</v>
      </c>
      <c r="R163" s="9">
        <f t="shared" si="21"/>
        <v>2</v>
      </c>
      <c r="S163" s="14" cm="1">
        <f t="array" ref="S163">INDEX('Recipient-ConceptMap-1'!$I$15:$N$273,Q163+1,R163)</f>
        <v>0</v>
      </c>
    </row>
    <row r="164" spans="16:19" x14ac:dyDescent="0.75">
      <c r="P164" s="9">
        <v>147</v>
      </c>
      <c r="Q164" s="9">
        <f t="shared" si="20"/>
        <v>24</v>
      </c>
      <c r="R164" s="9">
        <f t="shared" si="21"/>
        <v>3</v>
      </c>
      <c r="S164" s="14" cm="1">
        <f t="array" ref="S164">INDEX('Recipient-ConceptMap-1'!$I$15:$N$273,Q164+1,R164)</f>
        <v>0</v>
      </c>
    </row>
    <row r="165" spans="16:19" x14ac:dyDescent="0.75">
      <c r="P165" s="9">
        <v>148</v>
      </c>
      <c r="Q165" s="9">
        <f t="shared" si="20"/>
        <v>24</v>
      </c>
      <c r="R165" s="9">
        <f t="shared" si="21"/>
        <v>4</v>
      </c>
      <c r="S165" s="14" cm="1">
        <f t="array" ref="S165">INDEX('Recipient-ConceptMap-1'!$I$15:$N$273,Q165+1,R165)</f>
        <v>0</v>
      </c>
    </row>
    <row r="166" spans="16:19" x14ac:dyDescent="0.75">
      <c r="P166" s="9">
        <v>149</v>
      </c>
      <c r="Q166" s="9">
        <f t="shared" si="20"/>
        <v>24</v>
      </c>
      <c r="R166" s="9">
        <f t="shared" si="21"/>
        <v>5</v>
      </c>
      <c r="S166" s="14" cm="1">
        <f t="array" ref="S166">INDEX('Recipient-ConceptMap-1'!$I$15:$N$273,Q166+1,R166)</f>
        <v>0</v>
      </c>
    </row>
    <row r="167" spans="16:19" x14ac:dyDescent="0.75">
      <c r="P167" s="9">
        <v>150</v>
      </c>
      <c r="Q167" s="9">
        <f t="shared" si="20"/>
        <v>24</v>
      </c>
      <c r="R167" s="9">
        <f t="shared" si="21"/>
        <v>6</v>
      </c>
      <c r="S167" s="14" cm="1">
        <f t="array" ref="S167">INDEX('Recipient-ConceptMap-1'!$I$15:$N$273,Q167+1,R167)</f>
        <v>0</v>
      </c>
    </row>
    <row r="168" spans="16:19" x14ac:dyDescent="0.75">
      <c r="P168" s="9">
        <v>151</v>
      </c>
      <c r="Q168" s="9">
        <f t="shared" si="20"/>
        <v>25</v>
      </c>
      <c r="R168" s="9">
        <f t="shared" si="21"/>
        <v>1</v>
      </c>
      <c r="S168" s="14" cm="1">
        <f t="array" ref="S168">INDEX('Recipient-ConceptMap-1'!$I$15:$N$273,Q168+1,R168)</f>
        <v>0</v>
      </c>
    </row>
    <row r="169" spans="16:19" x14ac:dyDescent="0.75">
      <c r="P169" s="9">
        <v>152</v>
      </c>
      <c r="Q169" s="9">
        <f t="shared" si="20"/>
        <v>25</v>
      </c>
      <c r="R169" s="9">
        <f t="shared" si="21"/>
        <v>2</v>
      </c>
      <c r="S169" s="14" cm="1">
        <f t="array" ref="S169">INDEX('Recipient-ConceptMap-1'!$I$15:$N$273,Q169+1,R169)</f>
        <v>0</v>
      </c>
    </row>
    <row r="170" spans="16:19" x14ac:dyDescent="0.75">
      <c r="P170" s="9">
        <v>153</v>
      </c>
      <c r="Q170" s="9">
        <f t="shared" si="20"/>
        <v>25</v>
      </c>
      <c r="R170" s="9">
        <f t="shared" si="21"/>
        <v>3</v>
      </c>
      <c r="S170" s="14" cm="1">
        <f t="array" ref="S170">INDEX('Recipient-ConceptMap-1'!$I$15:$N$273,Q170+1,R170)</f>
        <v>0</v>
      </c>
    </row>
    <row r="171" spans="16:19" x14ac:dyDescent="0.75">
      <c r="P171" s="9">
        <v>154</v>
      </c>
      <c r="Q171" s="9">
        <f t="shared" si="20"/>
        <v>25</v>
      </c>
      <c r="R171" s="9">
        <f t="shared" si="21"/>
        <v>4</v>
      </c>
      <c r="S171" s="14" cm="1">
        <f t="array" ref="S171">INDEX('Recipient-ConceptMap-1'!$I$15:$N$273,Q171+1,R171)</f>
        <v>0</v>
      </c>
    </row>
    <row r="172" spans="16:19" x14ac:dyDescent="0.75">
      <c r="P172" s="9">
        <v>155</v>
      </c>
      <c r="Q172" s="9">
        <f t="shared" si="20"/>
        <v>25</v>
      </c>
      <c r="R172" s="9">
        <f t="shared" si="21"/>
        <v>5</v>
      </c>
      <c r="S172" s="14" cm="1">
        <f t="array" ref="S172">INDEX('Recipient-ConceptMap-1'!$I$15:$N$273,Q172+1,R172)</f>
        <v>0</v>
      </c>
    </row>
    <row r="173" spans="16:19" x14ac:dyDescent="0.75">
      <c r="P173" s="9">
        <v>156</v>
      </c>
      <c r="Q173" s="9">
        <f t="shared" si="20"/>
        <v>25</v>
      </c>
      <c r="R173" s="9">
        <f t="shared" si="21"/>
        <v>6</v>
      </c>
      <c r="S173" s="14" cm="1">
        <f t="array" ref="S173">INDEX('Recipient-ConceptMap-1'!$I$15:$N$273,Q173+1,R173)</f>
        <v>0</v>
      </c>
    </row>
    <row r="174" spans="16:19" x14ac:dyDescent="0.75">
      <c r="P174" s="9">
        <v>157</v>
      </c>
      <c r="Q174" s="9">
        <f t="shared" si="20"/>
        <v>26</v>
      </c>
      <c r="R174" s="9">
        <f t="shared" si="21"/>
        <v>1</v>
      </c>
      <c r="S174" s="14" cm="1">
        <f t="array" ref="S174">INDEX('Recipient-ConceptMap-1'!$I$15:$N$273,Q174+1,R174)</f>
        <v>0</v>
      </c>
    </row>
    <row r="175" spans="16:19" x14ac:dyDescent="0.75">
      <c r="P175" s="9">
        <v>158</v>
      </c>
      <c r="Q175" s="9">
        <f t="shared" si="20"/>
        <v>26</v>
      </c>
      <c r="R175" s="9">
        <f t="shared" si="21"/>
        <v>2</v>
      </c>
      <c r="S175" s="14" cm="1">
        <f t="array" ref="S175">INDEX('Recipient-ConceptMap-1'!$I$15:$N$273,Q175+1,R175)</f>
        <v>0</v>
      </c>
    </row>
    <row r="176" spans="16:19" x14ac:dyDescent="0.75">
      <c r="P176" s="9">
        <v>159</v>
      </c>
      <c r="Q176" s="9">
        <f t="shared" si="20"/>
        <v>26</v>
      </c>
      <c r="R176" s="9">
        <f t="shared" si="21"/>
        <v>3</v>
      </c>
      <c r="S176" s="14" cm="1">
        <f t="array" ref="S176">INDEX('Recipient-ConceptMap-1'!$I$15:$N$273,Q176+1,R176)</f>
        <v>0</v>
      </c>
    </row>
    <row r="177" spans="16:19" x14ac:dyDescent="0.75">
      <c r="P177" s="9">
        <v>160</v>
      </c>
      <c r="Q177" s="9">
        <f t="shared" si="20"/>
        <v>26</v>
      </c>
      <c r="R177" s="9">
        <f t="shared" si="21"/>
        <v>4</v>
      </c>
      <c r="S177" s="14" cm="1">
        <f t="array" ref="S177">INDEX('Recipient-ConceptMap-1'!$I$15:$N$273,Q177+1,R177)</f>
        <v>0</v>
      </c>
    </row>
    <row r="178" spans="16:19" x14ac:dyDescent="0.75">
      <c r="P178" s="9">
        <v>161</v>
      </c>
      <c r="Q178" s="9">
        <f t="shared" si="20"/>
        <v>26</v>
      </c>
      <c r="R178" s="9">
        <f t="shared" si="21"/>
        <v>5</v>
      </c>
      <c r="S178" s="14" cm="1">
        <f t="array" ref="S178">INDEX('Recipient-ConceptMap-1'!$I$15:$N$273,Q178+1,R178)</f>
        <v>0</v>
      </c>
    </row>
    <row r="179" spans="16:19" x14ac:dyDescent="0.75">
      <c r="P179" s="9">
        <v>162</v>
      </c>
      <c r="Q179" s="9">
        <f t="shared" si="20"/>
        <v>26</v>
      </c>
      <c r="R179" s="9">
        <f t="shared" si="21"/>
        <v>6</v>
      </c>
      <c r="S179" s="14" cm="1">
        <f t="array" ref="S179">INDEX('Recipient-ConceptMap-1'!$I$15:$N$273,Q179+1,R179)</f>
        <v>0</v>
      </c>
    </row>
    <row r="180" spans="16:19" x14ac:dyDescent="0.75">
      <c r="P180" s="9">
        <v>163</v>
      </c>
      <c r="Q180" s="9">
        <f t="shared" si="20"/>
        <v>27</v>
      </c>
      <c r="R180" s="9">
        <f t="shared" si="21"/>
        <v>1</v>
      </c>
      <c r="S180" s="14" cm="1">
        <f t="array" ref="S180">INDEX('Recipient-ConceptMap-1'!$I$15:$N$273,Q180+1,R180)</f>
        <v>0</v>
      </c>
    </row>
    <row r="181" spans="16:19" x14ac:dyDescent="0.75">
      <c r="P181" s="9">
        <v>164</v>
      </c>
      <c r="Q181" s="9">
        <f t="shared" si="20"/>
        <v>27</v>
      </c>
      <c r="R181" s="9">
        <f t="shared" si="21"/>
        <v>2</v>
      </c>
      <c r="S181" s="14" cm="1">
        <f t="array" ref="S181">INDEX('Recipient-ConceptMap-1'!$I$15:$N$273,Q181+1,R181)</f>
        <v>0</v>
      </c>
    </row>
    <row r="182" spans="16:19" x14ac:dyDescent="0.75">
      <c r="P182" s="9">
        <v>165</v>
      </c>
      <c r="Q182" s="9">
        <f t="shared" si="20"/>
        <v>27</v>
      </c>
      <c r="R182" s="9">
        <f t="shared" si="21"/>
        <v>3</v>
      </c>
      <c r="S182" s="14" cm="1">
        <f t="array" ref="S182">INDEX('Recipient-ConceptMap-1'!$I$15:$N$273,Q182+1,R182)</f>
        <v>0</v>
      </c>
    </row>
    <row r="183" spans="16:19" x14ac:dyDescent="0.75">
      <c r="P183" s="9">
        <v>166</v>
      </c>
      <c r="Q183" s="9">
        <f t="shared" si="20"/>
        <v>27</v>
      </c>
      <c r="R183" s="9">
        <f t="shared" si="21"/>
        <v>4</v>
      </c>
      <c r="S183" s="14" cm="1">
        <f t="array" ref="S183">INDEX('Recipient-ConceptMap-1'!$I$15:$N$273,Q183+1,R183)</f>
        <v>0</v>
      </c>
    </row>
    <row r="184" spans="16:19" x14ac:dyDescent="0.75">
      <c r="P184" s="9">
        <v>167</v>
      </c>
      <c r="Q184" s="9">
        <f t="shared" si="20"/>
        <v>27</v>
      </c>
      <c r="R184" s="9">
        <f t="shared" si="21"/>
        <v>5</v>
      </c>
      <c r="S184" s="14" cm="1">
        <f t="array" ref="S184">INDEX('Recipient-ConceptMap-1'!$I$15:$N$273,Q184+1,R184)</f>
        <v>0</v>
      </c>
    </row>
    <row r="185" spans="16:19" x14ac:dyDescent="0.75">
      <c r="P185" s="9">
        <v>168</v>
      </c>
      <c r="Q185" s="9">
        <f t="shared" si="20"/>
        <v>27</v>
      </c>
      <c r="R185" s="9">
        <f t="shared" si="21"/>
        <v>6</v>
      </c>
      <c r="S185" s="14" cm="1">
        <f t="array" ref="S185">INDEX('Recipient-ConceptMap-1'!$I$15:$N$273,Q185+1,R185)</f>
        <v>0</v>
      </c>
    </row>
    <row r="186" spans="16:19" x14ac:dyDescent="0.75">
      <c r="P186" s="9">
        <v>169</v>
      </c>
      <c r="Q186" s="9">
        <f t="shared" si="20"/>
        <v>28</v>
      </c>
      <c r="R186" s="9">
        <f t="shared" si="21"/>
        <v>1</v>
      </c>
      <c r="S186" s="14" cm="1">
        <f t="array" ref="S186">INDEX('Recipient-ConceptMap-1'!$I$15:$N$273,Q186+1,R186)</f>
        <v>0</v>
      </c>
    </row>
    <row r="187" spans="16:19" x14ac:dyDescent="0.75">
      <c r="P187" s="9">
        <v>170</v>
      </c>
      <c r="Q187" s="9">
        <f t="shared" si="20"/>
        <v>28</v>
      </c>
      <c r="R187" s="9">
        <f t="shared" si="21"/>
        <v>2</v>
      </c>
      <c r="S187" s="14" cm="1">
        <f t="array" ref="S187">INDEX('Recipient-ConceptMap-1'!$I$15:$N$273,Q187+1,R187)</f>
        <v>0</v>
      </c>
    </row>
    <row r="188" spans="16:19" x14ac:dyDescent="0.75">
      <c r="P188" s="9">
        <v>171</v>
      </c>
      <c r="Q188" s="9">
        <f t="shared" ref="Q188:Q193" si="22">IF(MOD(P188,$Q$8)=0,P188/$Q$8-1,INT(P188/$Q$8))</f>
        <v>28</v>
      </c>
      <c r="R188" s="9">
        <f t="shared" ref="R188:R193" si="23">IF(MOD(P188,$Q$8)=0,$Q$8,MOD(P188,$Q$8))</f>
        <v>3</v>
      </c>
      <c r="S188" s="14" cm="1">
        <f t="array" ref="S188">INDEX('Recipient-ConceptMap-1'!$I$15:$N$273,Q188+1,R188)</f>
        <v>0</v>
      </c>
    </row>
    <row r="189" spans="16:19" x14ac:dyDescent="0.75">
      <c r="P189" s="9">
        <v>172</v>
      </c>
      <c r="Q189" s="9">
        <f t="shared" si="22"/>
        <v>28</v>
      </c>
      <c r="R189" s="9">
        <f t="shared" si="23"/>
        <v>4</v>
      </c>
      <c r="S189" s="14" cm="1">
        <f t="array" ref="S189">INDEX('Recipient-ConceptMap-1'!$I$15:$N$273,Q189+1,R189)</f>
        <v>0</v>
      </c>
    </row>
    <row r="190" spans="16:19" x14ac:dyDescent="0.75">
      <c r="P190" s="9">
        <v>173</v>
      </c>
      <c r="Q190" s="9">
        <f t="shared" si="22"/>
        <v>28</v>
      </c>
      <c r="R190" s="9">
        <f t="shared" si="23"/>
        <v>5</v>
      </c>
      <c r="S190" s="14" cm="1">
        <f t="array" ref="S190">INDEX('Recipient-ConceptMap-1'!$I$15:$N$273,Q190+1,R190)</f>
        <v>0</v>
      </c>
    </row>
    <row r="191" spans="16:19" x14ac:dyDescent="0.75">
      <c r="P191" s="9">
        <v>174</v>
      </c>
      <c r="Q191" s="9">
        <f t="shared" si="22"/>
        <v>28</v>
      </c>
      <c r="R191" s="9">
        <f t="shared" si="23"/>
        <v>6</v>
      </c>
      <c r="S191" s="14" cm="1">
        <f t="array" ref="S191">INDEX('Recipient-ConceptMap-1'!$I$15:$N$273,Q191+1,R191)</f>
        <v>0</v>
      </c>
    </row>
    <row r="192" spans="16:19" x14ac:dyDescent="0.75">
      <c r="P192" s="9">
        <v>175</v>
      </c>
      <c r="Q192" s="9">
        <f t="shared" si="22"/>
        <v>29</v>
      </c>
      <c r="R192" s="9">
        <f t="shared" si="23"/>
        <v>1</v>
      </c>
      <c r="S192" s="14" cm="1">
        <f t="array" ref="S192">INDEX('Recipient-ConceptMap-1'!$I$15:$N$273,Q192+1,R192)</f>
        <v>0</v>
      </c>
    </row>
    <row r="193" spans="16:19" x14ac:dyDescent="0.75">
      <c r="P193" s="9">
        <v>176</v>
      </c>
      <c r="Q193" s="9">
        <f t="shared" si="22"/>
        <v>29</v>
      </c>
      <c r="R193" s="9">
        <f t="shared" si="23"/>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686</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891</v>
      </c>
      <c r="I6" s="26" t="str">
        <f>CONCATENATE("Title: ##34#",B6,"##34#")</f>
        <v>Title: ##34#A.1.5 - Author##34#</v>
      </c>
    </row>
    <row r="7" spans="1:11" ht="45" customHeight="1" x14ac:dyDescent="0.75">
      <c r="A7" s="46" t="s">
        <v>5</v>
      </c>
      <c r="B7" s="58" t="s">
        <v>885</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93</v>
      </c>
      <c r="D26" s="98"/>
      <c r="E26" s="98"/>
      <c r="F26" s="99"/>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914</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915</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916</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917</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815</v>
      </c>
      <c r="D3" s="73" t="s">
        <v>644</v>
      </c>
      <c r="E3" s="84" t="s">
        <v>691</v>
      </c>
    </row>
    <row r="4" spans="1:19" x14ac:dyDescent="0.75">
      <c r="B4" s="73" t="s">
        <v>19</v>
      </c>
      <c r="C4" s="54" t="s">
        <v>814</v>
      </c>
      <c r="D4" s="73" t="s">
        <v>645</v>
      </c>
      <c r="E4" s="118" t="s">
        <v>807</v>
      </c>
      <c r="F4" s="117"/>
      <c r="G4" s="117"/>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7" t="s">
        <v>643</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73.75" x14ac:dyDescent="0.75">
      <c r="A15" s="23"/>
      <c r="B15" s="62" t="s">
        <v>647</v>
      </c>
      <c r="C15" s="62" t="s">
        <v>387</v>
      </c>
      <c r="D15" s="14" t="s">
        <v>765</v>
      </c>
      <c r="E15" s="62"/>
      <c r="F15" s="75" t="s">
        <v>619</v>
      </c>
      <c r="G15" s="75" t="s">
        <v>656</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785</v>
      </c>
      <c r="E16" s="9"/>
      <c r="F16" s="75" t="s">
        <v>619</v>
      </c>
      <c r="G16" s="75" t="s">
        <v>656</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786</v>
      </c>
      <c r="E17" s="9"/>
      <c r="F17" s="75" t="s">
        <v>619</v>
      </c>
      <c r="G17" s="82" t="s">
        <v>918</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919</v>
      </c>
      <c r="E18" s="9"/>
      <c r="F18" s="75" t="s">
        <v>619</v>
      </c>
      <c r="G18" s="75" t="s">
        <v>920</v>
      </c>
      <c r="H18" s="76"/>
      <c r="I18" s="14" t="str">
        <f t="shared" si="14"/>
        <v>* group[=].element[+].code = #Author.name</v>
      </c>
      <c r="J18" s="14" t="str">
        <f t="shared" si="15"/>
        <v>* group[=].element[=].display = ##34#A.1.5.2 Author name##34#</v>
      </c>
      <c r="K18" s="14" t="str">
        <f t="shared" si="16"/>
        <v>* group[=].element[=].target.code = #DiagnosticReport.resultsInterpreter.Practitioner.name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resultsInterpreter.resolve().ofType(PractitionerRole).Practitioner.resolve().name##34#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787</v>
      </c>
      <c r="E19" s="9"/>
      <c r="F19" s="75" t="s">
        <v>619</v>
      </c>
      <c r="G19" s="75" t="s">
        <v>921</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resultsInterpreter.resolve().ofType(PractitionerRole).Practitioner.resolve().name##34#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687</v>
      </c>
      <c r="D3" s="73" t="s">
        <v>644</v>
      </c>
      <c r="E3" s="84" t="s">
        <v>691</v>
      </c>
    </row>
    <row r="4" spans="1:19" x14ac:dyDescent="0.75">
      <c r="B4" s="73" t="s">
        <v>19</v>
      </c>
      <c r="C4" s="54" t="s">
        <v>688</v>
      </c>
      <c r="D4" s="73" t="s">
        <v>645</v>
      </c>
      <c r="E4" t="str">
        <f>'Author-ConceptMap-1'!E4</f>
        <v>http://hl7.eu/fhir/laboratory/StructureDefinition/Bundle-eu-lab</v>
      </c>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7" t="s">
        <v>643</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750</v>
      </c>
      <c r="E15" s="62"/>
      <c r="F15" s="75" t="s">
        <v>619</v>
      </c>
      <c r="G15" s="75" t="s">
        <v>695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788</v>
      </c>
      <c r="E16" s="9"/>
      <c r="F16" s="75" t="s">
        <v>619</v>
      </c>
      <c r="G16" s="75" t="s">
        <v>695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789</v>
      </c>
      <c r="E17" s="9"/>
      <c r="F17" s="75" t="s">
        <v>619</v>
      </c>
      <c r="G17" s="75" t="s">
        <v>922</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923</v>
      </c>
      <c r="E18" s="9"/>
      <c r="F18" s="75" t="s">
        <v>619</v>
      </c>
      <c r="G18" s="75" t="s">
        <v>924</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790</v>
      </c>
      <c r="E19" s="9"/>
      <c r="F19" s="75" t="s">
        <v>619</v>
      </c>
      <c r="G19" s="75" t="s">
        <v>925</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815</v>
      </c>
      <c r="D3" s="73" t="s">
        <v>644</v>
      </c>
      <c r="E3" s="84" t="s">
        <v>691</v>
      </c>
    </row>
    <row r="4" spans="1:19" x14ac:dyDescent="0.75">
      <c r="B4" s="73" t="s">
        <v>19</v>
      </c>
      <c r="C4" s="54" t="s">
        <v>814</v>
      </c>
      <c r="D4" s="73" t="s">
        <v>645</v>
      </c>
      <c r="E4" t="str">
        <f>'Author-ConceptMap-2'!E4</f>
        <v>http://hl7.eu/fhir/laboratory/StructureDefinition/Bundle-eu-lab</v>
      </c>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8" t="s">
        <v>648</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791</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792</v>
      </c>
      <c r="E16" s="9"/>
      <c r="F16" s="75" t="s">
        <v>618</v>
      </c>
      <c r="G16" s="75" t="s">
        <v>926</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927</v>
      </c>
      <c r="E17" s="9"/>
      <c r="F17" s="75" t="s">
        <v>618</v>
      </c>
      <c r="G17" s="14" t="s">
        <v>928</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##34#author.ofType(PractitionerRole).Practitioner.resolve().name##34#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793</v>
      </c>
      <c r="E18" s="9"/>
      <c r="F18" s="75" t="s">
        <v>618</v>
      </c>
      <c r="G18" s="14" t="s">
        <v>929</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##34#author.ofType(PractitionerRole).Practitioner.resolve().name##34#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693</v>
      </c>
    </row>
    <row r="3" spans="2:7" x14ac:dyDescent="0.75">
      <c r="B3" s="33" t="s">
        <v>37</v>
      </c>
    </row>
    <row r="4" spans="2:7" x14ac:dyDescent="0.75">
      <c r="B4" s="77" t="str">
        <f>"Instance: "&amp;'Author-ConceptMap-1'!C4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624</v>
      </c>
    </row>
    <row r="11" spans="2:7" x14ac:dyDescent="0.75">
      <c r="B11" s="77" t="s">
        <v>625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##34#author.ofType(PractitionerRole).Practitioner.resolve().name##34#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resultsInterpreter.resolve().ofType(PractitionerRole).Practitioner.resolve().name##34#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x14ac:dyDescent="0.75">
      <c r="B82" s="14" t="str">
        <f>IF('Author-ConceptMap-1'!S44=0,"//---END",'Author-ConceptMap-1'!S44)</f>
        <v>* group[=].element[=].target.comment = ##34#If the author is the interpreter: resultsInterpreter.resolve().ofType(PractitionerRole).organization.resolve()##34#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x14ac:dyDescent="0.75">
      <c r="B112" s="14" t="str">
        <f>IF('Author-ConceptMap-2'!S32=0,"//---END",'Author-ConceptMap-2'!S32)</f>
        <v>* group[=].element[=].target.comment = ##34#If the author is the performer: performer.resolve().ofType(PractitionerRole).Practitioner.resolve().nameù##34#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893</v>
      </c>
      <c r="I6" s="26" t="str">
        <f>CONCATENATE("Title: ##34#",B6,"##34#")</f>
        <v>Title: ##34#A.1.6 - Legal authenticator##34#</v>
      </c>
    </row>
    <row r="7" spans="1:11" ht="44.25" x14ac:dyDescent="0.75">
      <c r="A7" s="46" t="s">
        <v>5</v>
      </c>
      <c r="B7" s="58" t="s">
        <v>886</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102</v>
      </c>
      <c r="D26" s="98"/>
      <c r="E26" s="98"/>
      <c r="F26" s="99"/>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930</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931</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932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933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914</v>
      </c>
    </row>
    <row r="31" spans="1:15" x14ac:dyDescent="0.75">
      <c r="C31" s="9" t="s">
        <v>915</v>
      </c>
      <c r="E31" s="22"/>
    </row>
    <row r="32" spans="1:15" x14ac:dyDescent="0.75">
      <c r="C32" s="9" t="s">
        <v>916</v>
      </c>
    </row>
    <row r="33" spans="3:3" x14ac:dyDescent="0.75">
      <c r="C33" s="9" t="s">
        <v>917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707</v>
      </c>
      <c r="D3" s="73" t="s">
        <v>644</v>
      </c>
      <c r="E3" s="118" t="str">
        <f>"http://hl7.eu/fhir/laboratory/StructureDefinition/"&amp;'A1.6 LegalAuth'!B5</f>
        <v>http://hl7.eu/fhir/laboratory/StructureDefinition/LegalAuthenticator</v>
      </c>
      <c r="F3" s="117"/>
      <c r="G3" s="117"/>
    </row>
    <row r="4" spans="1:19" x14ac:dyDescent="0.75">
      <c r="B4" s="73" t="s">
        <v>19</v>
      </c>
      <c r="C4" s="54" t="s">
        <v>876</v>
      </c>
      <c r="D4" s="73" t="s">
        <v>645</v>
      </c>
      <c r="E4" s="118" t="s">
        <v>648</v>
      </c>
      <c r="F4" s="117"/>
      <c r="G4" s="117"/>
    </row>
    <row r="5" spans="1:19" x14ac:dyDescent="0.75">
      <c r="B5" s="73" t="s">
        <v>13</v>
      </c>
      <c r="C5" s="10" t="s">
        <v>681</v>
      </c>
      <c r="D5" s="73"/>
      <c r="E5" s="10"/>
    </row>
    <row r="6" spans="1:19" x14ac:dyDescent="0.75">
      <c r="B6" s="73" t="s">
        <v>35</v>
      </c>
      <c r="C6" s="72"/>
      <c r="D6" s="73" t="s">
        <v>641</v>
      </c>
      <c r="E6" s="118" t="str">
        <f>E3</f>
        <v>http://hl7.eu/fhir/laboratory/StructureDefinition/LegalAuthenticator</v>
      </c>
      <c r="F6" s="117"/>
      <c r="G6" s="117"/>
    </row>
    <row r="7" spans="1:19" x14ac:dyDescent="0.75">
      <c r="B7" s="73" t="s">
        <v>18</v>
      </c>
      <c r="C7" s="80"/>
      <c r="D7" s="73" t="s">
        <v>642</v>
      </c>
      <c r="E7" s="118" t="str">
        <f>E4</f>
        <v>http://hl7.eu/fhir/laboratory/StructureDefinition/Composition-eu-lab</v>
      </c>
      <c r="F7" s="117"/>
      <c r="G7" s="117"/>
    </row>
    <row r="8" spans="1:19" ht="44.25" x14ac:dyDescent="0.75">
      <c r="B8" s="73" t="s">
        <v>635</v>
      </c>
      <c r="C8" s="10" t="s">
        <v>696</v>
      </c>
      <c r="D8" s="73"/>
      <c r="E8"/>
      <c r="I8" s="14" t="s">
        <v>607</v>
      </c>
      <c r="J8" s="14" t="s">
        <v>608</v>
      </c>
      <c r="K8" s="14" t="s">
        <v>609</v>
      </c>
      <c r="L8" s="14" t="s">
        <v>610</v>
      </c>
      <c r="M8" s="9" t="s">
        <v>611</v>
      </c>
      <c r="P8" s="69" t="s">
        <v>612</v>
      </c>
      <c r="Q8" s="69">
        <v>6</v>
      </c>
    </row>
    <row r="9" spans="1:19" ht="29.5" x14ac:dyDescent="0.75">
      <c r="B9" s="73" t="s">
        <v>636</v>
      </c>
      <c r="C9" s="1" t="s">
        <v>697</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718</v>
      </c>
      <c r="I14" s="14"/>
      <c r="J14" s="9"/>
      <c r="K14" s="9"/>
      <c r="L14" s="9"/>
      <c r="M14" s="71"/>
      <c r="N14" s="74"/>
    </row>
    <row r="15" spans="1:19" ht="73.75" x14ac:dyDescent="0.75">
      <c r="A15" s="23"/>
      <c r="B15" s="9" t="str">
        <f>'A1.6 LegalAuth'!B8</f>
        <v>identifier</v>
      </c>
      <c r="C15" s="9" t="str">
        <f>'A1.6 LegalAuth'!C8</f>
        <v>A.1.6.1 Legal authenticator identifier</v>
      </c>
      <c r="D15" s="14" t="s">
        <v>794</v>
      </c>
      <c r="E15" s="9"/>
      <c r="F15" s="75" t="s">
        <v>618</v>
      </c>
      <c r="G15" t="s">
        <v>795</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796</v>
      </c>
      <c r="E16" s="9"/>
      <c r="F16" s="75" t="s">
        <v>618</v>
      </c>
      <c r="G16" s="14" t="s">
        <v>934</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935</v>
      </c>
      <c r="E17" s="9"/>
      <c r="F17" s="75" t="s">
        <v>618</v>
      </c>
      <c r="G17" s="14" t="s">
        <v>936</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797</v>
      </c>
      <c r="E18" s="9"/>
      <c r="F18" s="75" t="s">
        <v>618</v>
      </c>
      <c r="G18" s="14" t="s">
        <v>937</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798</v>
      </c>
      <c r="E19" s="9"/>
      <c r="F19" s="75" t="s">
        <v>618</v>
      </c>
      <c r="G19" s="14" t="s">
        <v>799</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694</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894</v>
      </c>
      <c r="I6" s="26" t="str">
        <f>CONCATENATE("Title: ##34#",B6,"##34#")</f>
        <v>Title: ##34#A.1.7 - Result validator##34#</v>
      </c>
    </row>
    <row r="7" spans="1:11" x14ac:dyDescent="0.75">
      <c r="A7" s="46" t="s">
        <v>5</v>
      </c>
      <c r="B7" s="58" t="s">
        <v>887</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114</v>
      </c>
      <c r="D26" s="98"/>
      <c r="E26" s="98"/>
      <c r="F26" s="99"/>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930</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931</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932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933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711</v>
      </c>
      <c r="D3" s="73" t="s">
        <v>644</v>
      </c>
      <c r="E3" s="118" t="str">
        <f>"http://hl7.eu/fhir/laboratory/StructureDefinition/"&amp;'A1.7 Validator'!B5</f>
        <v>http://hl7.eu/fhir/laboratory/StructureDefinition/Validator</v>
      </c>
      <c r="F3" s="117"/>
      <c r="G3" s="117"/>
    </row>
    <row r="4" spans="1:19" x14ac:dyDescent="0.75">
      <c r="B4" s="73" t="s">
        <v>19</v>
      </c>
      <c r="C4" s="54" t="s">
        <v>877</v>
      </c>
      <c r="D4" s="73" t="s">
        <v>645</v>
      </c>
      <c r="E4" s="118" t="s">
        <v>648</v>
      </c>
      <c r="F4" s="117"/>
      <c r="G4" s="117"/>
    </row>
    <row r="5" spans="1:19" x14ac:dyDescent="0.75">
      <c r="B5" s="73" t="s">
        <v>13</v>
      </c>
      <c r="C5" s="10" t="s">
        <v>698</v>
      </c>
      <c r="D5" s="73"/>
      <c r="E5" s="10"/>
    </row>
    <row r="6" spans="1:19" x14ac:dyDescent="0.75">
      <c r="B6" s="73" t="s">
        <v>35</v>
      </c>
      <c r="C6" s="72"/>
      <c r="D6" s="73" t="s">
        <v>641</v>
      </c>
      <c r="E6" s="118" t="str">
        <f>E3</f>
        <v>http://hl7.eu/fhir/laboratory/StructureDefinition/Validator</v>
      </c>
      <c r="F6" s="117"/>
      <c r="G6" s="117"/>
    </row>
    <row r="7" spans="1:19" x14ac:dyDescent="0.75">
      <c r="B7" s="73" t="s">
        <v>18</v>
      </c>
      <c r="C7" s="80"/>
      <c r="D7" s="73" t="s">
        <v>642</v>
      </c>
      <c r="E7" s="118" t="str">
        <f>E4</f>
        <v>http://hl7.eu/fhir/laboratory/StructureDefinition/Composition-eu-lab</v>
      </c>
      <c r="F7" s="117"/>
      <c r="G7" s="117"/>
    </row>
    <row r="8" spans="1:19" ht="44.25" x14ac:dyDescent="0.75">
      <c r="B8" s="73" t="s">
        <v>635</v>
      </c>
      <c r="C8" s="10" t="s">
        <v>699</v>
      </c>
      <c r="D8" s="73"/>
      <c r="E8"/>
      <c r="I8" s="14" t="s">
        <v>607</v>
      </c>
      <c r="J8" s="14" t="s">
        <v>608</v>
      </c>
      <c r="K8" s="14" t="s">
        <v>609</v>
      </c>
      <c r="L8" s="14" t="s">
        <v>610</v>
      </c>
      <c r="M8" s="9" t="s">
        <v>611</v>
      </c>
      <c r="P8" s="69" t="s">
        <v>612</v>
      </c>
      <c r="Q8" s="69">
        <v>6</v>
      </c>
    </row>
    <row r="9" spans="1:19" ht="29.5" x14ac:dyDescent="0.75">
      <c r="B9" s="73" t="s">
        <v>636</v>
      </c>
      <c r="C9" s="1" t="s">
        <v>700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719</v>
      </c>
      <c r="I14" s="14"/>
      <c r="J14" s="9"/>
      <c r="K14" s="9"/>
      <c r="L14" s="9"/>
      <c r="M14" s="71"/>
      <c r="N14" s="74"/>
    </row>
    <row r="15" spans="1:19" ht="73.75" x14ac:dyDescent="0.75">
      <c r="A15" s="23"/>
      <c r="B15" s="9" t="str">
        <f>'A1.7 Validator'!B8</f>
        <v>identifier</v>
      </c>
      <c r="C15" s="9" t="str">
        <f>'A1.7 Validator'!C8</f>
        <v>A.1.7.1 Result validator identifier</v>
      </c>
      <c r="D15" s="14" t="s">
        <v>794</v>
      </c>
      <c r="E15" s="14"/>
      <c r="F15" s="75" t="s">
        <v>618</v>
      </c>
      <c r="G15" t="s">
        <v>800</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796</v>
      </c>
      <c r="E16" s="14"/>
      <c r="F16" s="75" t="s">
        <v>618</v>
      </c>
      <c r="G16" s="14" t="s">
        <v>938</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935</v>
      </c>
      <c r="E17" s="14"/>
      <c r="F17" s="75" t="s">
        <v>618</v>
      </c>
      <c r="G17" s="14" t="s">
        <v>939</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797</v>
      </c>
      <c r="E18" s="14"/>
      <c r="F18" s="75" t="s">
        <v>618</v>
      </c>
      <c r="G18" s="14" t="s">
        <v>940</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798</v>
      </c>
      <c r="E19" s="9"/>
      <c r="F19" s="75" t="s">
        <v>618</v>
      </c>
      <c r="G19" s="14" t="s">
        <v>801</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702</v>
      </c>
      <c r="I6" s="26" t="str">
        <f>CONCATENATE("Title: ##34#",B6,"##34#")</f>
        <v>Title: ##34#A2, A3 - Order##34#</v>
      </c>
    </row>
    <row r="7" spans="1:11" x14ac:dyDescent="0.75">
      <c r="A7" s="46" t="s">
        <v>5</v>
      </c>
      <c r="B7" s="19" t="s">
        <v>888</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5" t="s">
        <v>163</v>
      </c>
      <c r="D34" s="105" t="s">
        <v>164</v>
      </c>
      <c r="E34" s="10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6"/>
      <c r="D35" s="106"/>
      <c r="E35" s="106"/>
      <c r="F35" s="43" t="s">
        <v>167</v>
      </c>
      <c r="I35" s="1" t="str">
        <f t="shared" si="2"/>
        <v xml:space="preserve"> - Preferred system(s): SNOMED CT</v>
      </c>
    </row>
    <row r="36" spans="2:9" ht="32.75" thickBot="1" x14ac:dyDescent="0.9">
      <c r="C36" s="107"/>
      <c r="D36" s="107"/>
      <c r="E36" s="107"/>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941</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942</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943</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944</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945</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946</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708</v>
      </c>
      <c r="D3" s="73" t="s">
        <v>644</v>
      </c>
      <c r="E3" t="str">
        <f>"http://hl7.eu/fhir/laboratory/StructureDefinition/"&amp;'A2 Order'!B5</f>
        <v>http://hl7.eu/fhir/laboratory/StructureDefinition/Order</v>
      </c>
    </row>
    <row r="4" spans="1:19" x14ac:dyDescent="0.75">
      <c r="B4" s="73" t="s">
        <v>19</v>
      </c>
      <c r="C4" s="54" t="s">
        <v>878</v>
      </c>
      <c r="D4" s="73" t="s">
        <v>645</v>
      </c>
      <c r="E4" s="117" t="s">
        <v>672</v>
      </c>
      <c r="F4" s="117"/>
      <c r="G4" s="117"/>
    </row>
    <row r="5" spans="1:19" x14ac:dyDescent="0.75">
      <c r="B5" s="73" t="s">
        <v>13</v>
      </c>
      <c r="C5" s="10" t="s">
        <v>709</v>
      </c>
      <c r="D5" s="73"/>
      <c r="E5" s="10"/>
    </row>
    <row r="6" spans="1:19" x14ac:dyDescent="0.75">
      <c r="B6" s="73" t="s">
        <v>35</v>
      </c>
      <c r="C6" s="72" t="s">
        <v>634</v>
      </c>
      <c r="D6" s="73" t="s">
        <v>641</v>
      </c>
      <c r="E6" s="117" t="str">
        <f>E3</f>
        <v>http://hl7.eu/fhir/laboratory/StructureDefinition/Order</v>
      </c>
      <c r="F6" s="117"/>
      <c r="G6" s="117"/>
    </row>
    <row r="7" spans="1:19" x14ac:dyDescent="0.75">
      <c r="B7" s="73" t="s">
        <v>18</v>
      </c>
      <c r="C7" s="80" t="s">
        <v>637</v>
      </c>
      <c r="D7" s="73" t="s">
        <v>642</v>
      </c>
      <c r="E7" s="117" t="s">
        <v>672</v>
      </c>
      <c r="F7" s="117"/>
      <c r="G7" s="117"/>
    </row>
    <row r="8" spans="1:19" ht="44.25" x14ac:dyDescent="0.75">
      <c r="B8" s="73" t="s">
        <v>635</v>
      </c>
      <c r="C8" s="10" t="s">
        <v>709</v>
      </c>
      <c r="D8" s="73"/>
      <c r="E8" s="10"/>
      <c r="I8" s="14" t="s">
        <v>607</v>
      </c>
      <c r="J8" s="14" t="s">
        <v>608</v>
      </c>
      <c r="K8" s="14" t="s">
        <v>609</v>
      </c>
      <c r="L8" s="14" t="s">
        <v>610</v>
      </c>
      <c r="M8" s="9" t="s">
        <v>611</v>
      </c>
      <c r="P8" s="69" t="s">
        <v>612</v>
      </c>
      <c r="Q8" s="69">
        <v>6</v>
      </c>
    </row>
    <row r="9" spans="1:19" ht="29.5" x14ac:dyDescent="0.75">
      <c r="B9" s="73" t="s">
        <v>636</v>
      </c>
      <c r="C9" s="1" t="s">
        <v>710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713</v>
      </c>
      <c r="E17" s="9"/>
      <c r="F17" s="75" t="s">
        <v>619</v>
      </c>
      <c r="G17" s="75" t="s">
        <v>714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715</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802</v>
      </c>
      <c r="E19" s="9"/>
      <c r="F19" s="75" t="s">
        <v>619</v>
      </c>
      <c r="G19" s="75" t="s">
        <v>714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803</v>
      </c>
      <c r="E20" s="9"/>
      <c r="F20" s="75" t="s">
        <v>619</v>
      </c>
      <c r="G20" s="14" t="s">
        <v>947</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948</v>
      </c>
      <c r="E21" s="9"/>
      <c r="F21" s="75" t="s">
        <v>619</v>
      </c>
      <c r="G21" s="14" t="s">
        <v>949</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804</v>
      </c>
      <c r="E22" s="9"/>
      <c r="F22" s="75" t="s">
        <v>619</v>
      </c>
      <c r="G22" s="14" t="s">
        <v>950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805</v>
      </c>
      <c r="E23" s="9"/>
      <c r="F23" s="75" t="s">
        <v>619</v>
      </c>
      <c r="G23" s="14" t="s">
        <v>951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804</v>
      </c>
      <c r="E24" s="9"/>
      <c r="F24" s="75" t="s">
        <v>619</v>
      </c>
      <c r="G24" s="14" t="s">
        <v>952</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806</v>
      </c>
      <c r="E25" s="9"/>
      <c r="F25" s="75" t="s">
        <v>618</v>
      </c>
      <c r="G25" s="14" t="s">
        <v>953</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716</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717</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716</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703</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824</v>
      </c>
      <c r="I6" s="26" t="str">
        <f>CONCATENATE("Title: ##34#",B6,"##34#")</f>
        <v>Title: ##34#A.4 - Specimen information##34#</v>
      </c>
    </row>
    <row r="7" spans="1:11" x14ac:dyDescent="0.75">
      <c r="A7" s="46" t="s">
        <v>5</v>
      </c>
      <c r="B7" s="19" t="s">
        <v>889</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728</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5" t="s">
        <v>188</v>
      </c>
      <c r="D33" s="108" t="s">
        <v>189</v>
      </c>
      <c r="E33" s="10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6"/>
      <c r="D34" s="109"/>
      <c r="E34" s="106"/>
      <c r="F34" s="41"/>
      <c r="I34" s="1" t="str">
        <f t="shared" si="2"/>
        <v xml:space="preserve"> - Preferred system(s): </v>
      </c>
    </row>
    <row r="35" spans="2:9" ht="16.75" thickBot="1" x14ac:dyDescent="0.9">
      <c r="B35" t="str">
        <f t="shared" si="1"/>
        <v xml:space="preserve"> </v>
      </c>
      <c r="C35" s="107"/>
      <c r="D35" s="110"/>
      <c r="E35" s="10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720</v>
      </c>
      <c r="D3" s="73" t="s">
        <v>644</v>
      </c>
      <c r="E3" s="84" t="str">
        <f>"http://hl7.eu/fhir/laboratory/StructureDefinition/"&amp;'A.4 Specimen'!B5</f>
        <v>http://hl7.eu/fhir/laboratory/StructureDefinition/SpecimenLab</v>
      </c>
    </row>
    <row r="4" spans="1:19" x14ac:dyDescent="0.75">
      <c r="B4" s="73" t="s">
        <v>19</v>
      </c>
      <c r="C4" s="54" t="s">
        <v>879</v>
      </c>
      <c r="D4" s="73" t="s">
        <v>645</v>
      </c>
      <c r="E4" s="118" t="s">
        <v>908</v>
      </c>
      <c r="F4" s="117"/>
      <c r="G4" s="117"/>
    </row>
    <row r="5" spans="1:19" x14ac:dyDescent="0.75">
      <c r="B5" s="73" t="s">
        <v>13</v>
      </c>
      <c r="C5" s="10" t="s">
        <v>721</v>
      </c>
      <c r="D5" s="73"/>
      <c r="E5" s="10"/>
    </row>
    <row r="6" spans="1:19" x14ac:dyDescent="0.75">
      <c r="B6" s="73" t="s">
        <v>35</v>
      </c>
      <c r="C6" s="72"/>
      <c r="D6" s="73" t="s">
        <v>641</v>
      </c>
      <c r="E6" s="118" t="str">
        <f>E3</f>
        <v>http://hl7.eu/fhir/laboratory/StructureDefinition/SpecimenLab</v>
      </c>
      <c r="F6" s="117"/>
      <c r="G6" s="117"/>
    </row>
    <row r="7" spans="1:19" x14ac:dyDescent="0.75">
      <c r="B7" s="73" t="s">
        <v>18</v>
      </c>
      <c r="C7" s="80"/>
      <c r="D7" s="73" t="s">
        <v>642</v>
      </c>
      <c r="E7" s="118" t="s">
        <v>908</v>
      </c>
      <c r="F7" s="117"/>
      <c r="G7" s="117"/>
    </row>
    <row r="8" spans="1:19" ht="44.25" x14ac:dyDescent="0.75">
      <c r="B8" s="73" t="s">
        <v>635</v>
      </c>
      <c r="C8" s="53" t="s">
        <v>722</v>
      </c>
      <c r="D8" s="73"/>
      <c r="E8" s="10"/>
      <c r="I8" s="14" t="s">
        <v>607</v>
      </c>
      <c r="J8" s="14" t="s">
        <v>608</v>
      </c>
      <c r="K8" s="14" t="s">
        <v>609</v>
      </c>
      <c r="L8" s="14" t="s">
        <v>610</v>
      </c>
      <c r="M8" s="9" t="s">
        <v>611</v>
      </c>
      <c r="P8" s="69" t="s">
        <v>612</v>
      </c>
      <c r="Q8" s="69">
        <v>6</v>
      </c>
    </row>
    <row r="9" spans="1:19" ht="29.5" x14ac:dyDescent="0.75">
      <c r="B9" s="73" t="s">
        <v>636</v>
      </c>
      <c r="C9" s="14" t="s">
        <v>723</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724</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825</v>
      </c>
      <c r="E16" s="9"/>
      <c r="F16" s="75" t="s">
        <v>619</v>
      </c>
      <c r="G16" s="75" t="s">
        <v>896</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725</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727</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729</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907</v>
      </c>
      <c r="E20" s="9"/>
      <c r="F20" s="75" t="s">
        <v>619</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906</v>
      </c>
      <c r="E21" s="14"/>
      <c r="F21" s="75" t="s">
        <v>619</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904</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730</v>
      </c>
      <c r="E23" s="9"/>
      <c r="F23" s="75" t="s">
        <v>619</v>
      </c>
      <c r="G23" s="96" t="s">
        <v>905</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730</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731</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732</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823</v>
      </c>
      <c r="I6" s="26" t="str">
        <f>CONCATENATE("Title: ##34#",B6,"##34#")</f>
        <v>Title: ##34#A.5 - Results data elements##34#</v>
      </c>
    </row>
    <row r="7" spans="1:11" x14ac:dyDescent="0.75">
      <c r="A7" s="46" t="s">
        <v>5</v>
      </c>
      <c r="B7" s="14" t="s">
        <v>890</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7" t="s">
        <v>198</v>
      </c>
      <c r="D36" s="98"/>
      <c r="E36" s="98"/>
      <c r="F36" s="99"/>
    </row>
    <row r="37" spans="2:9" ht="16.75" thickBot="1" x14ac:dyDescent="0.9">
      <c r="B37" t="str">
        <f t="shared" si="1"/>
        <v xml:space="preserve">A.5.1 Laboratory report narrative  </v>
      </c>
      <c r="C37" s="97" t="s">
        <v>535</v>
      </c>
      <c r="D37" s="98"/>
      <c r="E37" s="98"/>
      <c r="F37" s="99"/>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7" t="s">
        <v>537</v>
      </c>
      <c r="D40" s="98"/>
      <c r="E40" s="98"/>
      <c r="F40" s="99"/>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5" t="s">
        <v>210</v>
      </c>
      <c r="D42" s="108" t="s">
        <v>211</v>
      </c>
      <c r="E42" s="105" t="s">
        <v>212</v>
      </c>
      <c r="F42" s="43" t="s">
        <v>130</v>
      </c>
      <c r="I42" s="1" t="str">
        <f t="shared" si="2"/>
        <v>Code representing the observation using the agreed code systems. - Preferred system(s): LOINC</v>
      </c>
    </row>
    <row r="43" spans="2:9" ht="16" x14ac:dyDescent="0.75">
      <c r="B43" t="str">
        <f t="shared" si="1"/>
        <v xml:space="preserve"> </v>
      </c>
      <c r="C43" s="106"/>
      <c r="D43" s="109"/>
      <c r="E43" s="106"/>
      <c r="F43" s="43" t="s">
        <v>213</v>
      </c>
      <c r="I43" s="1" t="str">
        <f t="shared" si="2"/>
        <v xml:space="preserve"> - Preferred system(s): NPU</v>
      </c>
    </row>
    <row r="44" spans="2:9" ht="32.75" thickBot="1" x14ac:dyDescent="0.9">
      <c r="B44" t="str">
        <f t="shared" si="1"/>
        <v xml:space="preserve"> </v>
      </c>
      <c r="C44" s="107"/>
      <c r="D44" s="110"/>
      <c r="E44" s="10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5" t="s">
        <v>226</v>
      </c>
      <c r="D49" s="108" t="s">
        <v>227</v>
      </c>
      <c r="E49" s="10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6"/>
      <c r="D50" s="109"/>
      <c r="E50" s="106"/>
      <c r="F50" s="41"/>
      <c r="I50" s="1" t="str">
        <f t="shared" si="2"/>
        <v xml:space="preserve"> - Preferred system(s): </v>
      </c>
    </row>
    <row r="51" spans="2:9" ht="16.75" thickBot="1" x14ac:dyDescent="0.9">
      <c r="B51" t="str">
        <f t="shared" si="1"/>
        <v xml:space="preserve"> </v>
      </c>
      <c r="C51" s="107"/>
      <c r="D51" s="110"/>
      <c r="E51" s="107"/>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5" t="s">
        <v>238</v>
      </c>
      <c r="D55" s="108" t="s">
        <v>239</v>
      </c>
      <c r="E55" s="105"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6"/>
      <c r="D56" s="109"/>
      <c r="E56" s="106"/>
      <c r="F56" s="44"/>
      <c r="I56" s="1" t="str">
        <f t="shared" si="2"/>
        <v xml:space="preserve"> - Preferred system(s): </v>
      </c>
    </row>
    <row r="57" spans="2:9" ht="48.75" thickBot="1" x14ac:dyDescent="0.9">
      <c r="B57" t="str">
        <f t="shared" si="1"/>
        <v xml:space="preserve"> </v>
      </c>
      <c r="C57" s="107"/>
      <c r="D57" s="110"/>
      <c r="E57" s="107"/>
      <c r="F57" s="39" t="s">
        <v>242</v>
      </c>
      <c r="I57" s="1" t="str">
        <f t="shared" si="2"/>
        <v xml:space="preserve"> - Preferred system(s): UCUM (for units)</v>
      </c>
    </row>
    <row r="58" spans="2:9" ht="32" x14ac:dyDescent="0.75">
      <c r="B58" t="str">
        <f t="shared" si="1"/>
        <v>A.5.2.12 Observation interpretation</v>
      </c>
      <c r="C58" s="105" t="s">
        <v>243</v>
      </c>
      <c r="D58" s="108" t="s">
        <v>244</v>
      </c>
      <c r="E58" s="105" t="s">
        <v>245</v>
      </c>
      <c r="F58" s="43" t="s">
        <v>167</v>
      </c>
      <c r="I58" s="1" t="str">
        <f t="shared" si="2"/>
        <v>Information about reference intervals and result interpretation. - Preferred system(s): SNOMED CT</v>
      </c>
    </row>
    <row r="59" spans="2:9" x14ac:dyDescent="0.75">
      <c r="B59" t="str">
        <f t="shared" si="1"/>
        <v xml:space="preserve"> </v>
      </c>
      <c r="C59" s="106"/>
      <c r="D59" s="109"/>
      <c r="E59" s="106"/>
      <c r="F59" s="41"/>
      <c r="I59" s="1" t="str">
        <f t="shared" si="2"/>
        <v xml:space="preserve"> - Preferred system(s): </v>
      </c>
    </row>
    <row r="60" spans="2:9" ht="112.75" thickBot="1" x14ac:dyDescent="0.9">
      <c r="B60" t="str">
        <f t="shared" si="1"/>
        <v xml:space="preserve"> </v>
      </c>
      <c r="C60" s="107"/>
      <c r="D60" s="110"/>
      <c r="E60" s="10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818</v>
      </c>
      <c r="D3" s="73" t="s">
        <v>644</v>
      </c>
      <c r="E3" s="84" t="str">
        <f>"http://hl7.eu/fhir/laboratory/StructureDefinition/"&amp;'A.5 Results'!B5</f>
        <v>http://hl7.eu/fhir/laboratory/StructureDefinition/Result</v>
      </c>
    </row>
    <row r="4" spans="1:19" x14ac:dyDescent="0.75">
      <c r="B4" s="73" t="s">
        <v>19</v>
      </c>
      <c r="C4" s="54" t="s">
        <v>819</v>
      </c>
      <c r="D4" s="73" t="s">
        <v>645</v>
      </c>
      <c r="E4" s="118" t="s">
        <v>807</v>
      </c>
      <c r="F4" s="117"/>
      <c r="G4" s="117"/>
    </row>
    <row r="5" spans="1:19" x14ac:dyDescent="0.75">
      <c r="B5" s="73" t="s">
        <v>13</v>
      </c>
      <c r="C5" s="10" t="s">
        <v>734</v>
      </c>
      <c r="D5" s="73"/>
      <c r="E5"/>
    </row>
    <row r="6" spans="1:19" x14ac:dyDescent="0.75">
      <c r="B6" s="73" t="s">
        <v>35</v>
      </c>
      <c r="C6" s="72"/>
      <c r="D6" s="73" t="s">
        <v>641</v>
      </c>
      <c r="E6" s="118" t="str">
        <f>E3</f>
        <v>http://hl7.eu/fhir/laboratory/StructureDefinition/Result</v>
      </c>
      <c r="F6" s="117"/>
      <c r="G6" s="117"/>
    </row>
    <row r="7" spans="1:19" x14ac:dyDescent="0.75">
      <c r="B7" s="73" t="s">
        <v>18</v>
      </c>
      <c r="C7" s="80"/>
      <c r="D7" s="73" t="s">
        <v>642</v>
      </c>
      <c r="E7" s="118" t="s">
        <v>643</v>
      </c>
      <c r="F7" s="117"/>
      <c r="G7" s="117"/>
    </row>
    <row r="8" spans="1:19" ht="44.25" x14ac:dyDescent="0.75">
      <c r="B8" s="73" t="s">
        <v>635</v>
      </c>
      <c r="C8" s="53" t="s">
        <v>735</v>
      </c>
      <c r="D8" s="73"/>
      <c r="E8" s="10"/>
      <c r="I8" s="14" t="s">
        <v>607</v>
      </c>
      <c r="J8" s="14" t="s">
        <v>608</v>
      </c>
      <c r="K8" s="14" t="s">
        <v>609</v>
      </c>
      <c r="L8" s="14" t="s">
        <v>610</v>
      </c>
      <c r="M8" s="9" t="s">
        <v>611</v>
      </c>
      <c r="P8" s="69" t="s">
        <v>612</v>
      </c>
      <c r="Q8" s="69">
        <v>6</v>
      </c>
    </row>
    <row r="9" spans="1:19" ht="29.5" x14ac:dyDescent="0.75">
      <c r="B9" s="73" t="s">
        <v>636</v>
      </c>
      <c r="C9" s="14" t="s">
        <v>736</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737</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738</v>
      </c>
      <c r="E17" s="9"/>
      <c r="F17" s="75" t="s">
        <v>619</v>
      </c>
      <c r="G17" s="75" t="s">
        <v>742</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739</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739</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739</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739</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739</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739</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739</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739</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739</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739</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739</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739</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739</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739</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739</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18" t="str">
        <f>'Results-ConceptMap-1'!E6</f>
        <v>http://hl7.eu/fhir/laboratory/StructureDefinition/Result</v>
      </c>
      <c r="F6" s="117"/>
      <c r="G6" s="117"/>
    </row>
    <row r="7" spans="1:19" ht="15.5" thickBot="1" x14ac:dyDescent="0.9">
      <c r="B7" s="73" t="s">
        <v>18</v>
      </c>
      <c r="C7" s="85">
        <f>'Results-ConceptMap-1'!C7</f>
        <v>0</v>
      </c>
      <c r="D7" s="73" t="s">
        <v>642</v>
      </c>
      <c r="E7" s="118" t="s">
        <v>648</v>
      </c>
      <c r="F7" s="117"/>
      <c r="G7" s="117"/>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737</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743</v>
      </c>
      <c r="E17" s="9"/>
      <c r="F17" s="75" t="s">
        <v>619</v>
      </c>
      <c r="G17" s="75" t="s">
        <v>740</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744</v>
      </c>
      <c r="E18" s="9"/>
      <c r="F18" s="75" t="s">
        <v>619</v>
      </c>
      <c r="G18" s="75" t="s">
        <v>741</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743</v>
      </c>
      <c r="E19" s="9"/>
      <c r="F19" s="75" t="s">
        <v>619</v>
      </c>
      <c r="G19" s="75" t="s">
        <v>740</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744</v>
      </c>
      <c r="E20" s="9"/>
      <c r="F20" s="75" t="s">
        <v>619</v>
      </c>
      <c r="G20" s="75" t="s">
        <v>741</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759</v>
      </c>
      <c r="E21" s="9"/>
      <c r="F21" s="75" t="s">
        <v>619</v>
      </c>
      <c r="G21" s="75" t="s">
        <v>740</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760</v>
      </c>
      <c r="E22" s="9"/>
      <c r="F22" s="75" t="s">
        <v>619</v>
      </c>
      <c r="G22" s="75" t="s">
        <v>741</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759</v>
      </c>
      <c r="E23" s="9"/>
      <c r="F23" s="75" t="s">
        <v>619</v>
      </c>
      <c r="G23" s="75" t="s">
        <v>739</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759</v>
      </c>
      <c r="E24" s="9"/>
      <c r="F24" s="75" t="s">
        <v>619</v>
      </c>
      <c r="G24" s="75" t="s">
        <v>739</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759</v>
      </c>
      <c r="E25" s="9"/>
      <c r="F25" s="75" t="s">
        <v>619</v>
      </c>
      <c r="G25" s="75" t="s">
        <v>739</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759</v>
      </c>
      <c r="E26" s="9"/>
      <c r="F26" s="75" t="s">
        <v>619</v>
      </c>
      <c r="G26" s="75" t="s">
        <v>739</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759</v>
      </c>
      <c r="E27" s="9"/>
      <c r="F27" s="75" t="s">
        <v>619</v>
      </c>
      <c r="G27" s="75" t="s">
        <v>739</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759</v>
      </c>
      <c r="E28" s="9"/>
      <c r="F28" s="75" t="s">
        <v>619</v>
      </c>
      <c r="G28" s="75" t="s">
        <v>739</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759</v>
      </c>
      <c r="E29" s="14"/>
      <c r="F29" s="75" t="s">
        <v>619</v>
      </c>
      <c r="G29" s="75" t="s">
        <v>739</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759</v>
      </c>
      <c r="E30" s="14"/>
      <c r="F30" s="75" t="s">
        <v>619</v>
      </c>
      <c r="G30" s="75" t="s">
        <v>739</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759</v>
      </c>
      <c r="E31" s="14"/>
      <c r="F31" s="75" t="s">
        <v>619</v>
      </c>
      <c r="G31" s="75" t="s">
        <v>739</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759</v>
      </c>
      <c r="E32" s="14"/>
      <c r="F32" s="75" t="s">
        <v>619</v>
      </c>
      <c r="G32" s="75" t="s">
        <v>739</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759</v>
      </c>
      <c r="E33" s="14"/>
      <c r="F33" s="75" t="s">
        <v>619</v>
      </c>
      <c r="G33" s="75" t="s">
        <v>739</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759</v>
      </c>
      <c r="E34" s="14"/>
      <c r="F34" s="75" t="s">
        <v>619</v>
      </c>
      <c r="G34" s="75" t="s">
        <v>739</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759</v>
      </c>
      <c r="E35" s="14"/>
      <c r="F35" s="75" t="s">
        <v>619</v>
      </c>
      <c r="G35" s="75" t="s">
        <v>739</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759</v>
      </c>
      <c r="E36" s="14"/>
      <c r="F36" s="75" t="s">
        <v>619</v>
      </c>
      <c r="G36" s="75" t="s">
        <v>739</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18" t="str">
        <f>'Results-ConceptMap-1'!E6</f>
        <v>http://hl7.eu/fhir/laboratory/StructureDefinition/Result</v>
      </c>
      <c r="F6" s="117"/>
      <c r="G6" s="117"/>
    </row>
    <row r="7" spans="1:19" ht="15.5" thickBot="1" x14ac:dyDescent="0.9">
      <c r="B7" s="73" t="s">
        <v>18</v>
      </c>
      <c r="C7" s="85">
        <f>'Results-ConceptMap-1'!C7</f>
        <v>0</v>
      </c>
      <c r="D7" s="73" t="s">
        <v>642</v>
      </c>
      <c r="E7" s="118" t="s">
        <v>745</v>
      </c>
      <c r="F7" s="117"/>
      <c r="G7" s="117"/>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746</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747</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756</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809</v>
      </c>
      <c r="E21" s="9"/>
      <c r="F21" s="75" t="s">
        <v>619</v>
      </c>
      <c r="G21" s="75" t="s">
        <v>756</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808</v>
      </c>
      <c r="E22" s="9"/>
      <c r="F22" s="75" t="s">
        <v>619</v>
      </c>
      <c r="G22" s="75" t="s">
        <v>756</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753</v>
      </c>
      <c r="E23" s="9"/>
      <c r="F23" s="75" t="s">
        <v>618</v>
      </c>
      <c r="G23" s="82" t="s">
        <v>811</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752</v>
      </c>
      <c r="E24" s="9"/>
      <c r="F24" s="75" t="s">
        <v>618</v>
      </c>
      <c r="G24" s="82" t="s">
        <v>811</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753</v>
      </c>
      <c r="E25" s="9"/>
      <c r="F25" s="75" t="s">
        <v>618</v>
      </c>
      <c r="G25" s="82" t="s">
        <v>812</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810</v>
      </c>
      <c r="E26" s="9"/>
      <c r="F26" s="75" t="s">
        <v>618</v>
      </c>
      <c r="G26" s="82" t="s">
        <v>813</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748</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749</v>
      </c>
      <c r="E28" s="14"/>
      <c r="F28" s="75" t="s">
        <v>619</v>
      </c>
      <c r="G28" s="82" t="s">
        <v>901</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898</v>
      </c>
      <c r="E29" s="14"/>
      <c r="F29" s="75" t="s">
        <v>619</v>
      </c>
      <c r="G29" s="82" t="s">
        <v>902</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749</v>
      </c>
      <c r="E30" s="14"/>
      <c r="F30" s="75" t="s">
        <v>619</v>
      </c>
      <c r="G30" s="96" t="s">
        <v>899</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900</v>
      </c>
      <c r="E31" s="14"/>
      <c r="F31" s="75" t="s">
        <v>619</v>
      </c>
      <c r="G31" s="96" t="s">
        <v>903</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761</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750</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750</v>
      </c>
      <c r="E34" s="14"/>
      <c r="F34" s="75" t="s">
        <v>619</v>
      </c>
      <c r="G34" s="82" t="s">
        <v>816</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754</v>
      </c>
      <c r="E35" s="14"/>
      <c r="F35" s="75" t="s">
        <v>618</v>
      </c>
      <c r="G35" s="75" t="s">
        <v>756</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755</v>
      </c>
      <c r="E36" s="14"/>
      <c r="F36" s="75" t="s">
        <v>618</v>
      </c>
      <c r="G36" s="75" t="s">
        <v>756</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751</v>
      </c>
      <c r="E37" s="14"/>
      <c r="F37" s="75" t="s">
        <v>618</v>
      </c>
      <c r="G37" s="83" t="s">
        <v>756</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757</v>
      </c>
      <c r="E38" s="14"/>
      <c r="F38" s="75" t="s">
        <v>618</v>
      </c>
      <c r="G38" s="83" t="s">
        <v>756</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737</v>
      </c>
      <c r="E39" s="14"/>
      <c r="F39" s="75" t="s">
        <v>619</v>
      </c>
      <c r="G39" s="88" t="s">
        <v>726</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762</v>
      </c>
      <c r="E40" s="14"/>
      <c r="F40" s="75" t="s">
        <v>619</v>
      </c>
      <c r="G40" s="83" t="s">
        <v>954</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763</v>
      </c>
      <c r="E41" s="14"/>
      <c r="F41" s="75" t="s">
        <v>619</v>
      </c>
      <c r="G41" s="83" t="s">
        <v>817</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758</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2023-11-27T14:01:18Z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