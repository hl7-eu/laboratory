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trlProps/ctrlProp3.xml" ContentType="application/vnd.ms-excel.controlproperties+xml"/>
  <Override PartName="/xl/drawings/drawing3.xml" ContentType="application/vnd.openxmlformats-officedocument.drawing+xml"/>
  <Override PartName="/xl/ctrlProps/ctrlProp4.xml" ContentType="application/vnd.ms-excel.controlproperties+xml"/>
  <Override PartName="/xl/drawings/drawing4.xml" ContentType="application/vnd.openxmlformats-officedocument.drawing+xml"/>
  <Override PartName="/xl/ctrlProps/ctrlProp5.xml" ContentType="application/vnd.ms-excel.controlproperties+xml"/>
  <Override PartName="/xl/drawings/drawing5.xml" ContentType="application/vnd.openxmlformats-officedocument.drawing+xml"/>
  <Override PartName="/xl/ctrlProps/ctrlProp6.xml" ContentType="application/vnd.ms-excel.controlproperties+xml"/>
  <Override PartName="/xl/drawings/drawing6.xml" ContentType="application/vnd.openxmlformats-officedocument.drawing+xml"/>
  <Override PartName="/xl/ctrlProps/ctrlProp7.xml" ContentType="application/vnd.ms-excel.controlproperties+xml"/>
  <Override PartName="/xl/drawings/drawing7.xml" ContentType="application/vnd.openxmlformats-officedocument.drawing+xml"/>
  <Override PartName="/xl/ctrlProps/ctrlProp8.xml" ContentType="application/vnd.ms-excel.controlproperties+xml"/>
  <Override PartName="/xl/drawings/drawing8.xml" ContentType="application/vnd.openxmlformats-officedocument.drawing+xml"/>
  <Override PartName="/xl/ctrlProps/ctrlProp9.xml" ContentType="application/vnd.ms-excel.controlproperties+xml"/>
  <Override PartName="/xl/drawings/drawing9.xml" ContentType="application/vnd.openxmlformats-officedocument.drawing+xml"/>
  <Override PartName="/xl/ctrlProps/ctrlProp10.xml" ContentType="application/vnd.ms-excel.controlproperties+xml"/>
  <Override PartName="/xl/drawings/drawing10.xml" ContentType="application/vnd.openxmlformats-officedocument.drawing+xml"/>
  <Override PartName="/xl/ctrlProps/ctrlProp11.xml" ContentType="application/vnd.ms-excel.controlproperties+xml"/>
  <Override PartName="/xl/drawings/drawing11.xml" ContentType="application/vnd.openxmlformats-officedocument.drawing+xml"/>
  <Override PartName="/xl/ctrlProps/ctrlProp12.xml" ContentType="application/vnd.ms-excel.controlproperties+xml"/>
  <Override PartName="/xl/drawings/drawing12.xml" ContentType="application/vnd.openxmlformats-officedocument.drawing+xml"/>
  <Override PartName="/xl/ctrlProps/ctrlProp13.xml" ContentType="application/vnd.ms-excel.controlproperties+xml"/>
  <Override PartName="/xl/drawings/drawing13.xml" ContentType="application/vnd.openxmlformats-officedocument.drawing+xml"/>
  <Override PartName="/xl/ctrlProps/ctrlProp14.xml" ContentType="application/vnd.ms-excel.controlproperties+xml"/>
  <Override PartName="/xl/drawings/drawing14.xml" ContentType="application/vnd.openxmlformats-officedocument.drawing+xml"/>
  <Override PartName="/xl/ctrlProps/ctrlProp15.xml" ContentType="application/vnd.ms-excel.controlproperties+xml"/>
  <Override PartName="/xl/comments1.xml" ContentType="application/vnd.openxmlformats-officedocument.spreadsheetml.comments+xml"/>
  <Override PartName="/xl/threadedComments/threadedComment1.xml" ContentType="application/vnd.ms-excel.threadedcomments+xml"/>
  <Override PartName="/xl/drawings/drawing15.xml" ContentType="application/vnd.openxmlformats-officedocument.drawing+xml"/>
  <Override PartName="/xl/ctrlProps/ctrlProp16.xml" ContentType="application/vnd.ms-excel.controlproperties+xml"/>
  <Override PartName="/xl/drawings/drawing16.xml" ContentType="application/vnd.openxmlformats-officedocument.drawing+xml"/>
  <Override PartName="/xl/ctrlProps/ctrlProp17.xml" ContentType="application/vnd.ms-excel.controlproperties+xml"/>
  <Override PartName="/xl/drawings/drawing17.xml" ContentType="application/vnd.openxmlformats-officedocument.drawing+xml"/>
  <Override PartName="/xl/ctrlProps/ctrlProp18.xml" ContentType="application/vnd.ms-excel.controlproperties+xml"/>
  <Override PartName="/xl/drawings/drawing18.xml" ContentType="application/vnd.openxmlformats-officedocument.drawing+xml"/>
  <Override PartName="/xl/ctrlProps/ctrlProp19.xml" ContentType="application/vnd.ms-excel.controlproperties+xml"/>
  <Override PartName="/xl/drawings/drawing19.xml" ContentType="application/vnd.openxmlformats-officedocument.drawing+xml"/>
  <Override PartName="/xl/ctrlProps/ctrlProp20.xml" ContentType="application/vnd.ms-excel.controlproperties+xml"/>
  <Override PartName="/xl/drawings/drawing20.xml" ContentType="application/vnd.openxmlformats-officedocument.drawing+xml"/>
  <Override PartName="/xl/ctrlProps/ctrlProp21.xml" ContentType="application/vnd.ms-excel.controlpropertie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529" codeName="{5022B3EB-BCE5-7840-4BB8-8062D341818C}"/>
  <workbookPr backupFile="1" codeName="Questa_cartella_di_lavoro" defaultThemeVersion="166925"/>
  <mc:AlternateContent xmlns:mc="http://schemas.openxmlformats.org/markup-compatibility/2006">
    <mc:Choice Requires="x15">
      <x15ac:absPath xmlns:x15ac="http://schemas.microsoft.com/office/spreadsheetml/2010/11/ac" url="C:\workspace\hl7eu-lab\src-models\"/>
    </mc:Choice>
  </mc:AlternateContent>
  <xr:revisionPtr revIDLastSave="0" documentId="13_ncr:1_{4A2A3E60-FA05-4058-B8EC-6DD42BB624B9}" xr6:coauthVersionLast="47" xr6:coauthVersionMax="47" xr10:uidLastSave="{00000000-0000-0000-0000-000000000000}"/>
  <bookViews>
    <workbookView xWindow="-90" yWindow="-21710" windowWidth="38620" windowHeight="21100" firstSheet="49" activeTab="57" xr2:uid="{6572D17F-2786-461A-AF68-FCA595C6091B}"/>
  </bookViews>
  <sheets>
    <sheet name="Header" sheetId="106" r:id="rId1"/>
    <sheet name="Body" sheetId="107" r:id="rId2"/>
    <sheet name="Common" sheetId="114" r:id="rId3"/>
    <sheet name="Report" sheetId="108" r:id="rId4"/>
    <sheet name="Report-Map-1" sheetId="109" r:id="rId5"/>
    <sheet name="Report-fsh" sheetId="110" r:id="rId6"/>
    <sheet name="Report-ConceptMap-1" sheetId="137" r:id="rId7"/>
    <sheet name="Report-ConceptMap-2" sheetId="140" r:id="rId8"/>
    <sheet name="Report-CM-fsh" sheetId="138" r:id="rId9"/>
    <sheet name="Subj" sheetId="12" r:id="rId10"/>
    <sheet name="Subj-Map-1" sheetId="33" r:id="rId11"/>
    <sheet name="Subj-fsh" sheetId="73" r:id="rId12"/>
    <sheet name="Subj-ConceptMap-1" sheetId="141" r:id="rId13"/>
    <sheet name="Subj-CM-fsh" sheetId="143" r:id="rId14"/>
    <sheet name="A1.3 Payer" sheetId="111" r:id="rId15"/>
    <sheet name="Payer-Map-1" sheetId="112" r:id="rId16"/>
    <sheet name="Payer-fsh" sheetId="113" r:id="rId17"/>
    <sheet name="Payer-ConceptMap-1" sheetId="144" r:id="rId18"/>
    <sheet name="Payer-CM-fsh" sheetId="145" r:id="rId19"/>
    <sheet name="A1.4 Recipient" sheetId="115" r:id="rId20"/>
    <sheet name="Recipient-Map-1" sheetId="116" r:id="rId21"/>
    <sheet name="Recipient-fsh" sheetId="117" r:id="rId22"/>
    <sheet name="Recipient-ConceptMap-1" sheetId="146" r:id="rId23"/>
    <sheet name="Recipient-CM-fsh" sheetId="147" r:id="rId24"/>
    <sheet name="A1.5 Author" sheetId="124" r:id="rId25"/>
    <sheet name="Author-Map-1" sheetId="125" r:id="rId26"/>
    <sheet name="Author-fsh" sheetId="126" r:id="rId27"/>
    <sheet name="Author-ConceptMap-1" sheetId="148" r:id="rId28"/>
    <sheet name="Author-ConceptMap-2" sheetId="151" r:id="rId29"/>
    <sheet name="Author-ConceptMap-3" sheetId="153" r:id="rId30"/>
    <sheet name="Author-CM-fsh" sheetId="156" r:id="rId31"/>
    <sheet name="A1.6 LegalAuth" sheetId="121" r:id="rId32"/>
    <sheet name="LegalAuth-Map-1" sheetId="122" r:id="rId33"/>
    <sheet name="LegalAuth-fsh" sheetId="123" r:id="rId34"/>
    <sheet name="LegalAuth-ConceptMap-1" sheetId="154" r:id="rId35"/>
    <sheet name="LegalAuth-CM-fsh" sheetId="155" r:id="rId36"/>
    <sheet name="A1.7 Validator" sheetId="118" r:id="rId37"/>
    <sheet name="Validator-Map-1" sheetId="119" r:id="rId38"/>
    <sheet name="Validator-fsh" sheetId="120" r:id="rId39"/>
    <sheet name="Validator-ConceptMap-1" sheetId="157" r:id="rId40"/>
    <sheet name="Validator-CM-fsh" sheetId="158" r:id="rId41"/>
    <sheet name="A2 Order" sheetId="128" r:id="rId42"/>
    <sheet name="Order-Map-1" sheetId="129" r:id="rId43"/>
    <sheet name="Order-fsh" sheetId="130" r:id="rId44"/>
    <sheet name="Order-ConceptMap-1" sheetId="159" r:id="rId45"/>
    <sheet name="Order-CM-fsh" sheetId="161" r:id="rId46"/>
    <sheet name="A.4 Specimen" sheetId="131" r:id="rId47"/>
    <sheet name="Specimen-Map-1" sheetId="132" r:id="rId48"/>
    <sheet name="Specimen-fsh" sheetId="133" r:id="rId49"/>
    <sheet name="Specimen-ConceptMap-1" sheetId="162" r:id="rId50"/>
    <sheet name="Specimen-CM-fsh" sheetId="165" r:id="rId51"/>
    <sheet name="A.5 Results" sheetId="134" r:id="rId52"/>
    <sheet name="Results-Map-1" sheetId="135" r:id="rId53"/>
    <sheet name="Results-fsh" sheetId="136" r:id="rId54"/>
    <sheet name="Results-ConceptMap-1" sheetId="168" r:id="rId55"/>
    <sheet name="Results-ConceptMap-2" sheetId="169" r:id="rId56"/>
    <sheet name="Results-ConceptMap-3" sheetId="170" r:id="rId57"/>
    <sheet name="Results-CM-fsh" sheetId="171" r:id="rId58"/>
  </sheets>
  <externalReferences>
    <externalReference r:id="rId59"/>
  </externalReferences>
  <definedNames>
    <definedName name="CENEN13606Lekarska_prepustacia_sprava">'[1]Hospital Discharge Report '!#REF!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22" i="169" l="1"/>
  <c r="C22" i="169"/>
  <c r="Q16" i="170"/>
  <c r="R16" i="170"/>
  <c r="S16" i="170" a="1"/>
  <c r="S16" i="170"/>
  <c r="B22" i="171" s="1"/>
  <c r="Q17" i="170"/>
  <c r="R17" i="170"/>
  <c r="S17" i="170" a="1"/>
  <c r="S17" i="170" s="1"/>
  <c r="B23" i="171" s="1"/>
  <c r="Q18" i="170"/>
  <c r="R18" i="170"/>
  <c r="S18" i="170" a="1"/>
  <c r="S18" i="170"/>
  <c r="B24" i="171" s="1"/>
  <c r="Q19" i="170"/>
  <c r="R19" i="170"/>
  <c r="S19" i="170" a="1"/>
  <c r="S19" i="170" s="1"/>
  <c r="B25" i="171" s="1"/>
  <c r="Q20" i="170"/>
  <c r="R20" i="170"/>
  <c r="S20" i="170" a="1"/>
  <c r="S20" i="170"/>
  <c r="B26" i="171" s="1"/>
  <c r="Q21" i="170"/>
  <c r="R21" i="170"/>
  <c r="S21" i="170" a="1"/>
  <c r="S21" i="170" s="1"/>
  <c r="B27" i="171" s="1"/>
  <c r="Q22" i="170"/>
  <c r="R22" i="170"/>
  <c r="S22" i="170" a="1"/>
  <c r="S22" i="170"/>
  <c r="B28" i="171" s="1"/>
  <c r="Q23" i="170"/>
  <c r="R23" i="170"/>
  <c r="S23" i="170" a="1"/>
  <c r="S23" i="170" s="1"/>
  <c r="B29" i="171" s="1"/>
  <c r="Q24" i="170"/>
  <c r="R24" i="170"/>
  <c r="S24" i="170" a="1"/>
  <c r="S24" i="170"/>
  <c r="B30" i="171" s="1"/>
  <c r="Q25" i="170"/>
  <c r="R25" i="170"/>
  <c r="S25" i="170" a="1"/>
  <c r="S25" i="170" s="1"/>
  <c r="B31" i="171" s="1"/>
  <c r="Q26" i="170"/>
  <c r="R26" i="170"/>
  <c r="S26" i="170" a="1"/>
  <c r="S26" i="170"/>
  <c r="B32" i="171" s="1"/>
  <c r="Q27" i="170"/>
  <c r="R27" i="170"/>
  <c r="S27" i="170" a="1"/>
  <c r="S27" i="170" s="1"/>
  <c r="B33" i="171" s="1"/>
  <c r="Q28" i="170"/>
  <c r="R28" i="170"/>
  <c r="S28" i="170" a="1"/>
  <c r="S28" i="170"/>
  <c r="B34" i="171" s="1"/>
  <c r="Q29" i="170"/>
  <c r="R29" i="170"/>
  <c r="S29" i="170" a="1"/>
  <c r="S29" i="170" s="1"/>
  <c r="B35" i="171" s="1"/>
  <c r="Q30" i="170"/>
  <c r="R30" i="170"/>
  <c r="S30" i="170" a="1"/>
  <c r="S30" i="170"/>
  <c r="B36" i="171" s="1"/>
  <c r="Q31" i="170"/>
  <c r="R31" i="170"/>
  <c r="S31" i="170" a="1"/>
  <c r="S31" i="170" s="1"/>
  <c r="B37" i="171" s="1"/>
  <c r="Q32" i="170"/>
  <c r="R32" i="170"/>
  <c r="S32" i="170" a="1"/>
  <c r="S32" i="170"/>
  <c r="B38" i="171" s="1"/>
  <c r="Q33" i="170"/>
  <c r="R33" i="170"/>
  <c r="S33" i="170" a="1"/>
  <c r="S33" i="170" s="1"/>
  <c r="B39" i="171" s="1"/>
  <c r="Q34" i="170"/>
  <c r="R34" i="170"/>
  <c r="S34" i="170" a="1"/>
  <c r="S34" i="170"/>
  <c r="B40" i="171" s="1"/>
  <c r="Q35" i="170"/>
  <c r="R35" i="170"/>
  <c r="S35" i="170" a="1"/>
  <c r="S35" i="170" s="1"/>
  <c r="B41" i="171" s="1"/>
  <c r="Q36" i="170"/>
  <c r="R36" i="170"/>
  <c r="S36" i="170" a="1"/>
  <c r="S36" i="170"/>
  <c r="B42" i="171" s="1"/>
  <c r="Q37" i="170"/>
  <c r="R37" i="170"/>
  <c r="S37" i="170" a="1"/>
  <c r="S37" i="170" s="1"/>
  <c r="B43" i="171" s="1"/>
  <c r="Q38" i="170"/>
  <c r="R38" i="170"/>
  <c r="S38" i="170" a="1"/>
  <c r="S38" i="170"/>
  <c r="B44" i="171" s="1"/>
  <c r="Q39" i="170"/>
  <c r="R39" i="170"/>
  <c r="S39" i="170" a="1"/>
  <c r="S39" i="170" s="1"/>
  <c r="B45" i="171" s="1"/>
  <c r="Q40" i="170"/>
  <c r="R40" i="170"/>
  <c r="S40" i="170" a="1"/>
  <c r="S40" i="170"/>
  <c r="B46" i="171" s="1"/>
  <c r="Q41" i="170"/>
  <c r="R41" i="170"/>
  <c r="S41" i="170" a="1"/>
  <c r="S41" i="170" s="1"/>
  <c r="B47" i="171" s="1"/>
  <c r="Q42" i="170"/>
  <c r="R42" i="170"/>
  <c r="S42" i="170" a="1"/>
  <c r="S42" i="170"/>
  <c r="B48" i="171" s="1"/>
  <c r="Q43" i="170"/>
  <c r="R43" i="170"/>
  <c r="S43" i="170" a="1"/>
  <c r="S43" i="170" s="1"/>
  <c r="B49" i="171" s="1"/>
  <c r="Q44" i="170"/>
  <c r="R44" i="170"/>
  <c r="S44" i="170" a="1"/>
  <c r="S44" i="170"/>
  <c r="B50" i="171" s="1"/>
  <c r="Q45" i="170"/>
  <c r="R45" i="170"/>
  <c r="S45" i="170" a="1"/>
  <c r="S45" i="170" s="1"/>
  <c r="B51" i="171" s="1"/>
  <c r="Q46" i="170"/>
  <c r="R46" i="170"/>
  <c r="S46" i="170" a="1"/>
  <c r="S46" i="170"/>
  <c r="B52" i="171" s="1"/>
  <c r="Q47" i="170"/>
  <c r="R47" i="170"/>
  <c r="S47" i="170" a="1"/>
  <c r="S47" i="170" s="1"/>
  <c r="B53" i="171" s="1"/>
  <c r="Q48" i="170"/>
  <c r="R48" i="170"/>
  <c r="S48" i="170" a="1"/>
  <c r="S48" i="170"/>
  <c r="B54" i="171" s="1"/>
  <c r="Q49" i="170"/>
  <c r="R49" i="170"/>
  <c r="S49" i="170" a="1"/>
  <c r="S49" i="170" s="1"/>
  <c r="B55" i="171" s="1"/>
  <c r="Q50" i="170"/>
  <c r="R50" i="170"/>
  <c r="S50" i="170" a="1"/>
  <c r="S50" i="170"/>
  <c r="B56" i="171" s="1"/>
  <c r="Q51" i="170"/>
  <c r="R51" i="170"/>
  <c r="S51" i="170" a="1"/>
  <c r="S51" i="170" s="1"/>
  <c r="B57" i="171" s="1"/>
  <c r="Q52" i="170"/>
  <c r="R52" i="170"/>
  <c r="S52" i="170" a="1"/>
  <c r="S52" i="170"/>
  <c r="B58" i="171" s="1"/>
  <c r="Q53" i="170"/>
  <c r="R53" i="170"/>
  <c r="S53" i="170" a="1"/>
  <c r="S53" i="170" s="1"/>
  <c r="B59" i="171" s="1"/>
  <c r="Q54" i="170"/>
  <c r="R54" i="170"/>
  <c r="S54" i="170" a="1"/>
  <c r="S54" i="170"/>
  <c r="B60" i="171" s="1"/>
  <c r="Q55" i="170"/>
  <c r="R55" i="170"/>
  <c r="S55" i="170" a="1"/>
  <c r="S55" i="170" s="1"/>
  <c r="B61" i="171" s="1"/>
  <c r="Q56" i="170"/>
  <c r="R56" i="170"/>
  <c r="S56" i="170" a="1"/>
  <c r="S56" i="170"/>
  <c r="B62" i="171" s="1"/>
  <c r="Q57" i="170"/>
  <c r="R57" i="170"/>
  <c r="S57" i="170" a="1"/>
  <c r="S57" i="170" s="1"/>
  <c r="B63" i="171" s="1"/>
  <c r="Q58" i="170"/>
  <c r="R58" i="170"/>
  <c r="S58" i="170" a="1"/>
  <c r="S58" i="170"/>
  <c r="B64" i="171" s="1"/>
  <c r="Q59" i="170"/>
  <c r="R59" i="170"/>
  <c r="S59" i="170" a="1"/>
  <c r="S59" i="170" s="1"/>
  <c r="B65" i="171" s="1"/>
  <c r="B396" i="171"/>
  <c r="B397" i="171"/>
  <c r="B404" i="171"/>
  <c r="B332" i="171"/>
  <c r="B288" i="171"/>
  <c r="B289" i="171"/>
  <c r="B162" i="171"/>
  <c r="B163" i="171"/>
  <c r="B164" i="171"/>
  <c r="B165" i="171"/>
  <c r="B166" i="171"/>
  <c r="B167" i="171"/>
  <c r="B168" i="171"/>
  <c r="B169" i="171"/>
  <c r="B170" i="171"/>
  <c r="B171" i="171"/>
  <c r="B172" i="171"/>
  <c r="B173" i="171"/>
  <c r="B174" i="171"/>
  <c r="B175" i="171"/>
  <c r="B176" i="171"/>
  <c r="B177" i="171"/>
  <c r="B178" i="171"/>
  <c r="B179" i="171"/>
  <c r="B180" i="171"/>
  <c r="B181" i="171"/>
  <c r="B182" i="171"/>
  <c r="B183" i="171"/>
  <c r="B184" i="171"/>
  <c r="B185" i="171"/>
  <c r="B186" i="171"/>
  <c r="B187" i="171"/>
  <c r="B188" i="171"/>
  <c r="B189" i="171"/>
  <c r="B190" i="171"/>
  <c r="B191" i="171"/>
  <c r="B192" i="171"/>
  <c r="B193" i="171"/>
  <c r="B194" i="171"/>
  <c r="B195" i="171"/>
  <c r="B196" i="171"/>
  <c r="B197" i="171"/>
  <c r="B198" i="171"/>
  <c r="B199" i="171"/>
  <c r="B200" i="171"/>
  <c r="B201" i="171"/>
  <c r="B202" i="171"/>
  <c r="B203" i="171"/>
  <c r="B204" i="171"/>
  <c r="B205" i="171"/>
  <c r="B206" i="171"/>
  <c r="B207" i="171"/>
  <c r="B208" i="171"/>
  <c r="B209" i="171"/>
  <c r="B210" i="171"/>
  <c r="B211" i="171"/>
  <c r="B212" i="171"/>
  <c r="B213" i="171"/>
  <c r="B214" i="171"/>
  <c r="B215" i="171"/>
  <c r="B216" i="171"/>
  <c r="B217" i="171"/>
  <c r="B218" i="171"/>
  <c r="B219" i="171"/>
  <c r="B220" i="171"/>
  <c r="B221" i="171"/>
  <c r="B222" i="171"/>
  <c r="B223" i="171"/>
  <c r="B224" i="171"/>
  <c r="B225" i="171"/>
  <c r="B226" i="171"/>
  <c r="B227" i="171"/>
  <c r="B228" i="171"/>
  <c r="B229" i="171"/>
  <c r="B230" i="171"/>
  <c r="B231" i="171"/>
  <c r="B232" i="171"/>
  <c r="B233" i="171"/>
  <c r="B234" i="171"/>
  <c r="B235" i="171"/>
  <c r="B236" i="171"/>
  <c r="B237" i="171"/>
  <c r="B238" i="171"/>
  <c r="B239" i="171"/>
  <c r="B240" i="171"/>
  <c r="B241" i="171"/>
  <c r="B242" i="171"/>
  <c r="B243" i="171"/>
  <c r="B244" i="171"/>
  <c r="B245" i="171"/>
  <c r="B246" i="171"/>
  <c r="B247" i="171"/>
  <c r="B248" i="171"/>
  <c r="B249" i="171"/>
  <c r="B250" i="171"/>
  <c r="B251" i="171"/>
  <c r="B252" i="171"/>
  <c r="B253" i="171"/>
  <c r="B254" i="171"/>
  <c r="B255" i="171"/>
  <c r="B256" i="171"/>
  <c r="B257" i="171"/>
  <c r="B258" i="171"/>
  <c r="B259" i="171"/>
  <c r="B260" i="171"/>
  <c r="B261" i="171"/>
  <c r="B262" i="171"/>
  <c r="B263" i="171"/>
  <c r="B264" i="171"/>
  <c r="B265" i="171"/>
  <c r="B266" i="171"/>
  <c r="B267" i="171"/>
  <c r="B268" i="171"/>
  <c r="B269" i="171"/>
  <c r="B270" i="171"/>
  <c r="B271" i="171"/>
  <c r="B272" i="171"/>
  <c r="B147" i="171"/>
  <c r="B148" i="171"/>
  <c r="B149" i="171"/>
  <c r="B150" i="171"/>
  <c r="B151" i="171"/>
  <c r="B152" i="171"/>
  <c r="B153" i="171"/>
  <c r="B154" i="171"/>
  <c r="B155" i="171"/>
  <c r="B156" i="171"/>
  <c r="B158" i="171"/>
  <c r="B159" i="171"/>
  <c r="B161" i="171"/>
  <c r="B124" i="171"/>
  <c r="B125" i="171"/>
  <c r="B126" i="171"/>
  <c r="B127" i="171"/>
  <c r="B128" i="171"/>
  <c r="B129" i="171"/>
  <c r="B130" i="171"/>
  <c r="B131" i="171"/>
  <c r="B132" i="171"/>
  <c r="B133" i="171"/>
  <c r="B134" i="171"/>
  <c r="B135" i="171"/>
  <c r="B136" i="171"/>
  <c r="B137" i="171"/>
  <c r="B138" i="171"/>
  <c r="B139" i="171"/>
  <c r="B140" i="171"/>
  <c r="B141" i="171"/>
  <c r="B142" i="171"/>
  <c r="B143" i="171"/>
  <c r="B144" i="171"/>
  <c r="B145" i="171"/>
  <c r="B146" i="171"/>
  <c r="B115" i="171"/>
  <c r="B116" i="171"/>
  <c r="B117" i="171"/>
  <c r="B118" i="171"/>
  <c r="B119" i="171"/>
  <c r="B120" i="171"/>
  <c r="B121" i="171"/>
  <c r="B122" i="171"/>
  <c r="B123" i="171"/>
  <c r="B95" i="171"/>
  <c r="B96" i="171"/>
  <c r="B97" i="171"/>
  <c r="B98" i="171"/>
  <c r="B99" i="171"/>
  <c r="B100" i="171"/>
  <c r="B101" i="171"/>
  <c r="B102" i="171"/>
  <c r="B103" i="171"/>
  <c r="B104" i="171"/>
  <c r="B105" i="171"/>
  <c r="B106" i="171"/>
  <c r="B107" i="171"/>
  <c r="B108" i="171"/>
  <c r="B109" i="171"/>
  <c r="B110" i="171"/>
  <c r="B111" i="171"/>
  <c r="B112" i="171"/>
  <c r="B113" i="171"/>
  <c r="B114" i="171"/>
  <c r="B87" i="171"/>
  <c r="B88" i="171"/>
  <c r="B89" i="171"/>
  <c r="B90" i="171"/>
  <c r="B91" i="171"/>
  <c r="B92" i="171"/>
  <c r="B93" i="171"/>
  <c r="B94" i="171"/>
  <c r="B71" i="171"/>
  <c r="B72" i="171"/>
  <c r="B73" i="171"/>
  <c r="B74" i="171"/>
  <c r="B75" i="171"/>
  <c r="B76" i="171"/>
  <c r="B77" i="171"/>
  <c r="B78" i="171"/>
  <c r="B79" i="171"/>
  <c r="B80" i="171"/>
  <c r="B81" i="171"/>
  <c r="B82" i="171"/>
  <c r="B83" i="171"/>
  <c r="B84" i="171"/>
  <c r="B85" i="171"/>
  <c r="B86" i="171"/>
  <c r="B66" i="171"/>
  <c r="B67" i="171"/>
  <c r="B68" i="171"/>
  <c r="B69" i="171"/>
  <c r="B70" i="171"/>
  <c r="Q143" i="170"/>
  <c r="R143" i="170"/>
  <c r="S143" i="170" a="1"/>
  <c r="S143" i="170" s="1"/>
  <c r="Q144" i="170"/>
  <c r="R144" i="170"/>
  <c r="S144" i="170" a="1"/>
  <c r="S144" i="170"/>
  <c r="Q145" i="170"/>
  <c r="R145" i="170"/>
  <c r="S145" i="170" a="1"/>
  <c r="S145" i="170" s="1"/>
  <c r="Q146" i="170"/>
  <c r="R146" i="170"/>
  <c r="S146" i="170" a="1"/>
  <c r="S146" i="170"/>
  <c r="Q147" i="170"/>
  <c r="R147" i="170"/>
  <c r="S147" i="170" a="1"/>
  <c r="S147" i="170" s="1"/>
  <c r="Q148" i="170"/>
  <c r="R148" i="170"/>
  <c r="S148" i="170" a="1"/>
  <c r="S148" i="170"/>
  <c r="Q149" i="170"/>
  <c r="R149" i="170"/>
  <c r="S149" i="170" a="1"/>
  <c r="S149" i="170" s="1"/>
  <c r="Q150" i="170"/>
  <c r="R150" i="170"/>
  <c r="S150" i="170" a="1"/>
  <c r="S150" i="170"/>
  <c r="Q151" i="170"/>
  <c r="R151" i="170"/>
  <c r="S151" i="170" a="1"/>
  <c r="S151" i="170" s="1"/>
  <c r="Q152" i="170"/>
  <c r="R152" i="170"/>
  <c r="S152" i="170" a="1"/>
  <c r="S152" i="170"/>
  <c r="Q153" i="170"/>
  <c r="R153" i="170"/>
  <c r="S153" i="170" a="1"/>
  <c r="S153" i="170" s="1"/>
  <c r="Q137" i="170"/>
  <c r="S137" i="170" s="1" a="1"/>
  <c r="S137" i="170" s="1"/>
  <c r="R137" i="170"/>
  <c r="Q138" i="170"/>
  <c r="S138" i="170" s="1" a="1"/>
  <c r="S138" i="170" s="1"/>
  <c r="R138" i="170"/>
  <c r="Q139" i="170"/>
  <c r="S139" i="170" s="1" a="1"/>
  <c r="S139" i="170" s="1"/>
  <c r="R139" i="170"/>
  <c r="Q140" i="170"/>
  <c r="S140" i="170" s="1" a="1"/>
  <c r="S140" i="170" s="1"/>
  <c r="R140" i="170"/>
  <c r="Q141" i="170"/>
  <c r="S141" i="170" s="1" a="1"/>
  <c r="S141" i="170" s="1"/>
  <c r="R141" i="170"/>
  <c r="Q142" i="170"/>
  <c r="S142" i="170" s="1" a="1"/>
  <c r="S142" i="170" s="1"/>
  <c r="R142" i="170"/>
  <c r="Q121" i="170"/>
  <c r="S121" i="170" s="1" a="1"/>
  <c r="S121" i="170" s="1"/>
  <c r="R121" i="170"/>
  <c r="Q122" i="170"/>
  <c r="R122" i="170"/>
  <c r="S122" i="170" a="1"/>
  <c r="S122" i="170"/>
  <c r="Q123" i="170"/>
  <c r="S123" i="170" s="1" a="1"/>
  <c r="S123" i="170" s="1"/>
  <c r="R123" i="170"/>
  <c r="Q124" i="170"/>
  <c r="R124" i="170"/>
  <c r="S124" i="170" a="1"/>
  <c r="S124" i="170"/>
  <c r="Q125" i="170"/>
  <c r="S125" i="170" s="1" a="1"/>
  <c r="S125" i="170" s="1"/>
  <c r="R125" i="170"/>
  <c r="Q126" i="170"/>
  <c r="R126" i="170"/>
  <c r="S126" i="170" a="1"/>
  <c r="S126" i="170"/>
  <c r="Q127" i="170"/>
  <c r="S127" i="170" s="1" a="1"/>
  <c r="S127" i="170" s="1"/>
  <c r="R127" i="170"/>
  <c r="Q128" i="170"/>
  <c r="R128" i="170"/>
  <c r="S128" i="170" a="1"/>
  <c r="S128" i="170"/>
  <c r="Q129" i="170"/>
  <c r="S129" i="170" s="1" a="1"/>
  <c r="S129" i="170" s="1"/>
  <c r="R129" i="170"/>
  <c r="Q130" i="170"/>
  <c r="R130" i="170"/>
  <c r="S130" i="170" a="1"/>
  <c r="S130" i="170"/>
  <c r="Q131" i="170"/>
  <c r="S131" i="170" s="1" a="1"/>
  <c r="S131" i="170" s="1"/>
  <c r="R131" i="170"/>
  <c r="Q132" i="170"/>
  <c r="R132" i="170"/>
  <c r="S132" i="170" a="1"/>
  <c r="S132" i="170"/>
  <c r="Q133" i="170"/>
  <c r="S133" i="170" s="1" a="1"/>
  <c r="S133" i="170" s="1"/>
  <c r="R133" i="170"/>
  <c r="Q134" i="170"/>
  <c r="R134" i="170"/>
  <c r="S134" i="170" a="1"/>
  <c r="S134" i="170"/>
  <c r="Q135" i="170"/>
  <c r="S135" i="170" s="1" a="1"/>
  <c r="S135" i="170" s="1"/>
  <c r="R135" i="170"/>
  <c r="Q136" i="170"/>
  <c r="R136" i="170"/>
  <c r="S136" i="170" a="1"/>
  <c r="S136" i="170"/>
  <c r="Q106" i="170"/>
  <c r="S106" i="170" s="1" a="1"/>
  <c r="S106" i="170" s="1"/>
  <c r="R106" i="170"/>
  <c r="Q107" i="170"/>
  <c r="R107" i="170"/>
  <c r="S107" i="170" a="1"/>
  <c r="S107" i="170"/>
  <c r="Q108" i="170"/>
  <c r="S108" i="170" s="1" a="1"/>
  <c r="S108" i="170" s="1"/>
  <c r="R108" i="170"/>
  <c r="Q109" i="170"/>
  <c r="R109" i="170"/>
  <c r="S109" i="170" a="1"/>
  <c r="S109" i="170"/>
  <c r="Q110" i="170"/>
  <c r="S110" i="170" s="1" a="1"/>
  <c r="S110" i="170" s="1"/>
  <c r="R110" i="170"/>
  <c r="Q111" i="170"/>
  <c r="R111" i="170"/>
  <c r="S111" i="170" a="1"/>
  <c r="S111" i="170"/>
  <c r="Q112" i="170"/>
  <c r="S112" i="170" s="1" a="1"/>
  <c r="S112" i="170" s="1"/>
  <c r="R112" i="170"/>
  <c r="Q113" i="170"/>
  <c r="R113" i="170"/>
  <c r="S113" i="170" a="1"/>
  <c r="S113" i="170"/>
  <c r="Q114" i="170"/>
  <c r="S114" i="170" s="1" a="1"/>
  <c r="S114" i="170" s="1"/>
  <c r="R114" i="170"/>
  <c r="Q115" i="170"/>
  <c r="R115" i="170"/>
  <c r="S115" i="170" a="1"/>
  <c r="S115" i="170"/>
  <c r="Q116" i="170"/>
  <c r="S116" i="170" s="1" a="1"/>
  <c r="S116" i="170" s="1"/>
  <c r="R116" i="170"/>
  <c r="Q117" i="170"/>
  <c r="R117" i="170"/>
  <c r="S117" i="170" a="1"/>
  <c r="S117" i="170"/>
  <c r="Q118" i="170"/>
  <c r="S118" i="170" s="1" a="1"/>
  <c r="S118" i="170" s="1"/>
  <c r="R118" i="170"/>
  <c r="Q119" i="170"/>
  <c r="R119" i="170"/>
  <c r="S119" i="170" a="1"/>
  <c r="S119" i="170"/>
  <c r="Q120" i="170"/>
  <c r="S120" i="170" s="1" a="1"/>
  <c r="S120" i="170" s="1"/>
  <c r="R120" i="170"/>
  <c r="Q87" i="170"/>
  <c r="S87" i="170" s="1" a="1"/>
  <c r="S87" i="170" s="1"/>
  <c r="R87" i="170"/>
  <c r="Q88" i="170"/>
  <c r="S88" i="170" s="1" a="1"/>
  <c r="S88" i="170" s="1"/>
  <c r="R88" i="170"/>
  <c r="Q89" i="170"/>
  <c r="S89" i="170" s="1" a="1"/>
  <c r="S89" i="170" s="1"/>
  <c r="R89" i="170"/>
  <c r="Q90" i="170"/>
  <c r="S90" i="170" s="1" a="1"/>
  <c r="S90" i="170" s="1"/>
  <c r="R90" i="170"/>
  <c r="Q91" i="170"/>
  <c r="S91" i="170" s="1" a="1"/>
  <c r="S91" i="170" s="1"/>
  <c r="R91" i="170"/>
  <c r="Q92" i="170"/>
  <c r="S92" i="170" s="1" a="1"/>
  <c r="S92" i="170" s="1"/>
  <c r="R92" i="170"/>
  <c r="Q93" i="170"/>
  <c r="S93" i="170" s="1" a="1"/>
  <c r="S93" i="170" s="1"/>
  <c r="R93" i="170"/>
  <c r="Q94" i="170"/>
  <c r="S94" i="170" s="1" a="1"/>
  <c r="S94" i="170" s="1"/>
  <c r="R94" i="170"/>
  <c r="Q95" i="170"/>
  <c r="S95" i="170" s="1" a="1"/>
  <c r="S95" i="170" s="1"/>
  <c r="R95" i="170"/>
  <c r="Q96" i="170"/>
  <c r="S96" i="170" s="1" a="1"/>
  <c r="S96" i="170" s="1"/>
  <c r="R96" i="170"/>
  <c r="Q97" i="170"/>
  <c r="S97" i="170" s="1" a="1"/>
  <c r="S97" i="170" s="1"/>
  <c r="R97" i="170"/>
  <c r="Q98" i="170"/>
  <c r="S98" i="170" s="1" a="1"/>
  <c r="S98" i="170" s="1"/>
  <c r="R98" i="170"/>
  <c r="Q99" i="170"/>
  <c r="S99" i="170" s="1" a="1"/>
  <c r="S99" i="170" s="1"/>
  <c r="R99" i="170"/>
  <c r="Q100" i="170"/>
  <c r="S100" i="170" s="1" a="1"/>
  <c r="S100" i="170" s="1"/>
  <c r="R100" i="170"/>
  <c r="Q101" i="170"/>
  <c r="S101" i="170" s="1" a="1"/>
  <c r="S101" i="170" s="1"/>
  <c r="R101" i="170"/>
  <c r="Q102" i="170"/>
  <c r="S102" i="170" s="1" a="1"/>
  <c r="S102" i="170" s="1"/>
  <c r="R102" i="170"/>
  <c r="Q103" i="170"/>
  <c r="S103" i="170" s="1" a="1"/>
  <c r="S103" i="170" s="1"/>
  <c r="R103" i="170"/>
  <c r="Q104" i="170"/>
  <c r="S104" i="170" s="1" a="1"/>
  <c r="S104" i="170" s="1"/>
  <c r="R104" i="170"/>
  <c r="Q105" i="170"/>
  <c r="S105" i="170" s="1" a="1"/>
  <c r="S105" i="170" s="1"/>
  <c r="R105" i="170"/>
  <c r="Q60" i="170"/>
  <c r="R60" i="170"/>
  <c r="S60" i="170" a="1"/>
  <c r="S60" i="170" s="1"/>
  <c r="Q61" i="170"/>
  <c r="S61" i="170" s="1" a="1"/>
  <c r="S61" i="170" s="1"/>
  <c r="R61" i="170"/>
  <c r="Q62" i="170"/>
  <c r="R62" i="170"/>
  <c r="S62" i="170" a="1"/>
  <c r="S62" i="170" s="1"/>
  <c r="Q63" i="170"/>
  <c r="S63" i="170" s="1" a="1"/>
  <c r="S63" i="170" s="1"/>
  <c r="R63" i="170"/>
  <c r="Q64" i="170"/>
  <c r="R64" i="170"/>
  <c r="S64" i="170" a="1"/>
  <c r="S64" i="170" s="1"/>
  <c r="Q65" i="170"/>
  <c r="S65" i="170" s="1" a="1"/>
  <c r="S65" i="170" s="1"/>
  <c r="R65" i="170"/>
  <c r="Q66" i="170"/>
  <c r="R66" i="170"/>
  <c r="S66" i="170" a="1"/>
  <c r="S66" i="170" s="1"/>
  <c r="Q67" i="170"/>
  <c r="S67" i="170" s="1" a="1"/>
  <c r="S67" i="170" s="1"/>
  <c r="R67" i="170"/>
  <c r="Q68" i="170"/>
  <c r="R68" i="170"/>
  <c r="S68" i="170" a="1"/>
  <c r="S68" i="170" s="1"/>
  <c r="Q69" i="170"/>
  <c r="S69" i="170" s="1" a="1"/>
  <c r="S69" i="170" s="1"/>
  <c r="R69" i="170"/>
  <c r="Q70" i="170"/>
  <c r="R70" i="170"/>
  <c r="S70" i="170" a="1"/>
  <c r="S70" i="170" s="1"/>
  <c r="Q71" i="170"/>
  <c r="S71" i="170" s="1" a="1"/>
  <c r="S71" i="170" s="1"/>
  <c r="R71" i="170"/>
  <c r="Q72" i="170"/>
  <c r="R72" i="170"/>
  <c r="S72" i="170" a="1"/>
  <c r="S72" i="170" s="1"/>
  <c r="Q73" i="170"/>
  <c r="S73" i="170" s="1" a="1"/>
  <c r="S73" i="170" s="1"/>
  <c r="R73" i="170"/>
  <c r="Q74" i="170"/>
  <c r="R74" i="170"/>
  <c r="S74" i="170" a="1"/>
  <c r="S74" i="170" s="1"/>
  <c r="Q75" i="170"/>
  <c r="S75" i="170" s="1" a="1"/>
  <c r="S75" i="170" s="1"/>
  <c r="R75" i="170"/>
  <c r="Q76" i="170"/>
  <c r="R76" i="170"/>
  <c r="S76" i="170" a="1"/>
  <c r="S76" i="170" s="1"/>
  <c r="Q77" i="170"/>
  <c r="S77" i="170" s="1" a="1"/>
  <c r="S77" i="170" s="1"/>
  <c r="R77" i="170"/>
  <c r="Q78" i="170"/>
  <c r="R78" i="170"/>
  <c r="S78" i="170" a="1"/>
  <c r="S78" i="170" s="1"/>
  <c r="Q79" i="170"/>
  <c r="S79" i="170" s="1" a="1"/>
  <c r="S79" i="170" s="1"/>
  <c r="R79" i="170"/>
  <c r="Q80" i="170"/>
  <c r="R80" i="170"/>
  <c r="S80" i="170" a="1"/>
  <c r="S80" i="170" s="1"/>
  <c r="Q81" i="170"/>
  <c r="S81" i="170" s="1" a="1"/>
  <c r="S81" i="170" s="1"/>
  <c r="R81" i="170"/>
  <c r="Q82" i="170"/>
  <c r="R82" i="170"/>
  <c r="S82" i="170" a="1"/>
  <c r="S82" i="170" s="1"/>
  <c r="Q83" i="170"/>
  <c r="S83" i="170" s="1" a="1"/>
  <c r="S83" i="170" s="1"/>
  <c r="R83" i="170"/>
  <c r="Q84" i="170"/>
  <c r="R84" i="170"/>
  <c r="S84" i="170" a="1"/>
  <c r="S84" i="170" s="1"/>
  <c r="Q85" i="170"/>
  <c r="S85" i="170" s="1" a="1"/>
  <c r="S85" i="170" s="1"/>
  <c r="R85" i="170"/>
  <c r="Q86" i="170"/>
  <c r="R86" i="170"/>
  <c r="S86" i="170" a="1"/>
  <c r="S86" i="170" s="1"/>
  <c r="I34" i="170"/>
  <c r="J34" i="170"/>
  <c r="K34" i="170"/>
  <c r="L34" i="170"/>
  <c r="M34" i="170"/>
  <c r="N34" i="170"/>
  <c r="I35" i="170"/>
  <c r="J35" i="170"/>
  <c r="K35" i="170"/>
  <c r="L35" i="170"/>
  <c r="M35" i="170"/>
  <c r="N35" i="170"/>
  <c r="I36" i="170"/>
  <c r="J36" i="170"/>
  <c r="K36" i="170"/>
  <c r="L36" i="170"/>
  <c r="M36" i="170"/>
  <c r="N36" i="170"/>
  <c r="I19" i="170"/>
  <c r="J19" i="170"/>
  <c r="K19" i="170"/>
  <c r="L19" i="170"/>
  <c r="M19" i="170"/>
  <c r="N19" i="170"/>
  <c r="I20" i="170"/>
  <c r="J20" i="170"/>
  <c r="K20" i="170"/>
  <c r="L20" i="170"/>
  <c r="M20" i="170"/>
  <c r="N20" i="170"/>
  <c r="I21" i="170"/>
  <c r="J21" i="170"/>
  <c r="K21" i="170"/>
  <c r="L21" i="170"/>
  <c r="M21" i="170"/>
  <c r="N21" i="170"/>
  <c r="I22" i="170"/>
  <c r="J22" i="170"/>
  <c r="K22" i="170"/>
  <c r="L22" i="170"/>
  <c r="M22" i="170"/>
  <c r="N22" i="170"/>
  <c r="I23" i="170"/>
  <c r="J23" i="170"/>
  <c r="K23" i="170"/>
  <c r="L23" i="170"/>
  <c r="M23" i="170"/>
  <c r="N23" i="170"/>
  <c r="I24" i="170"/>
  <c r="J24" i="170"/>
  <c r="K24" i="170"/>
  <c r="L24" i="170"/>
  <c r="M24" i="170"/>
  <c r="N24" i="170"/>
  <c r="I25" i="170"/>
  <c r="J25" i="170"/>
  <c r="K25" i="170"/>
  <c r="L25" i="170"/>
  <c r="M25" i="170"/>
  <c r="N25" i="170"/>
  <c r="I26" i="170"/>
  <c r="J26" i="170"/>
  <c r="K26" i="170"/>
  <c r="L26" i="170"/>
  <c r="M26" i="170"/>
  <c r="N26" i="170"/>
  <c r="I27" i="170"/>
  <c r="J27" i="170"/>
  <c r="K27" i="170"/>
  <c r="L27" i="170"/>
  <c r="M27" i="170"/>
  <c r="N27" i="170"/>
  <c r="I28" i="170"/>
  <c r="J28" i="170"/>
  <c r="K28" i="170"/>
  <c r="L28" i="170"/>
  <c r="M28" i="170"/>
  <c r="N28" i="170"/>
  <c r="I29" i="170"/>
  <c r="J29" i="170"/>
  <c r="K29" i="170"/>
  <c r="L29" i="170"/>
  <c r="M29" i="170"/>
  <c r="N29" i="170"/>
  <c r="I30" i="170"/>
  <c r="J30" i="170"/>
  <c r="K30" i="170"/>
  <c r="L30" i="170"/>
  <c r="M30" i="170"/>
  <c r="N30" i="170"/>
  <c r="I31" i="170"/>
  <c r="J31" i="170"/>
  <c r="K31" i="170"/>
  <c r="L31" i="170"/>
  <c r="M31" i="170"/>
  <c r="N31" i="170"/>
  <c r="I32" i="170"/>
  <c r="J32" i="170"/>
  <c r="K32" i="170"/>
  <c r="L32" i="170"/>
  <c r="M32" i="170"/>
  <c r="N32" i="170"/>
  <c r="I33" i="170"/>
  <c r="J33" i="170"/>
  <c r="K33" i="170"/>
  <c r="L33" i="170"/>
  <c r="M33" i="170"/>
  <c r="N33" i="170"/>
  <c r="I16" i="170"/>
  <c r="J16" i="170"/>
  <c r="K16" i="170"/>
  <c r="L16" i="170"/>
  <c r="M16" i="170"/>
  <c r="N16" i="170"/>
  <c r="I17" i="170"/>
  <c r="J17" i="170"/>
  <c r="K17" i="170"/>
  <c r="L17" i="170"/>
  <c r="M17" i="170"/>
  <c r="N17" i="170"/>
  <c r="I18" i="170"/>
  <c r="J18" i="170"/>
  <c r="K18" i="170"/>
  <c r="L18" i="170"/>
  <c r="M18" i="170"/>
  <c r="N18" i="170"/>
  <c r="C36" i="170"/>
  <c r="B36" i="170"/>
  <c r="B33" i="170"/>
  <c r="C33" i="170"/>
  <c r="B21" i="170"/>
  <c r="C21" i="170"/>
  <c r="B31" i="170"/>
  <c r="C31" i="170"/>
  <c r="B22" i="170"/>
  <c r="C22" i="170"/>
  <c r="B23" i="170"/>
  <c r="C23" i="170"/>
  <c r="B24" i="170"/>
  <c r="C24" i="170"/>
  <c r="B25" i="170"/>
  <c r="C25" i="170"/>
  <c r="B26" i="170"/>
  <c r="C26" i="170"/>
  <c r="B27" i="170"/>
  <c r="C27" i="170"/>
  <c r="B28" i="170"/>
  <c r="C28" i="170"/>
  <c r="B29" i="170"/>
  <c r="C29" i="170"/>
  <c r="B30" i="170"/>
  <c r="C30" i="170"/>
  <c r="B32" i="170"/>
  <c r="C32" i="170"/>
  <c r="B34" i="170"/>
  <c r="C34" i="170"/>
  <c r="B35" i="170"/>
  <c r="C35" i="170"/>
  <c r="B37" i="170"/>
  <c r="C37" i="170"/>
  <c r="B38" i="170"/>
  <c r="C38" i="170"/>
  <c r="B16" i="170"/>
  <c r="C16" i="170"/>
  <c r="B17" i="170"/>
  <c r="C17" i="170"/>
  <c r="B18" i="170"/>
  <c r="C18" i="170"/>
  <c r="B19" i="170"/>
  <c r="C19" i="170"/>
  <c r="B20" i="170"/>
  <c r="C20" i="170"/>
  <c r="C15" i="170"/>
  <c r="J15" i="170" s="1"/>
  <c r="B15" i="170"/>
  <c r="I15" i="170" s="1"/>
  <c r="B14" i="170"/>
  <c r="Q146" i="169"/>
  <c r="S146" i="169" s="1" a="1"/>
  <c r="S146" i="169" s="1"/>
  <c r="B410" i="171" s="1"/>
  <c r="R146" i="169"/>
  <c r="Q147" i="169"/>
  <c r="R147" i="169"/>
  <c r="S147" i="169" a="1"/>
  <c r="S147" i="169" s="1"/>
  <c r="B411" i="171" s="1"/>
  <c r="Q148" i="169"/>
  <c r="S148" i="169" s="1" a="1"/>
  <c r="S148" i="169" s="1"/>
  <c r="B412" i="171" s="1"/>
  <c r="R148" i="169"/>
  <c r="Q149" i="169"/>
  <c r="R149" i="169"/>
  <c r="S149" i="169" a="1"/>
  <c r="S149" i="169" s="1"/>
  <c r="B413" i="171" s="1"/>
  <c r="Q150" i="169"/>
  <c r="S150" i="169" s="1" a="1"/>
  <c r="S150" i="169" s="1"/>
  <c r="B414" i="171" s="1"/>
  <c r="R150" i="169"/>
  <c r="Q151" i="169"/>
  <c r="R151" i="169"/>
  <c r="S151" i="169" a="1"/>
  <c r="S151" i="169" s="1"/>
  <c r="B415" i="171" s="1"/>
  <c r="Q152" i="169"/>
  <c r="S152" i="169" s="1" a="1"/>
  <c r="S152" i="169" s="1"/>
  <c r="R152" i="169"/>
  <c r="Q153" i="169"/>
  <c r="R153" i="169"/>
  <c r="S153" i="169" a="1"/>
  <c r="S153" i="169"/>
  <c r="Q154" i="169"/>
  <c r="S154" i="169" s="1" a="1"/>
  <c r="S154" i="169" s="1"/>
  <c r="R154" i="169"/>
  <c r="Q155" i="169"/>
  <c r="R155" i="169"/>
  <c r="S155" i="169" a="1"/>
  <c r="S155" i="169" s="1"/>
  <c r="Q156" i="169"/>
  <c r="S156" i="169" s="1" a="1"/>
  <c r="S156" i="169" s="1"/>
  <c r="R156" i="169"/>
  <c r="Q157" i="169"/>
  <c r="R157" i="169"/>
  <c r="S157" i="169" a="1"/>
  <c r="S157" i="169" s="1"/>
  <c r="Q158" i="169"/>
  <c r="S158" i="169" s="1" a="1"/>
  <c r="S158" i="169" s="1"/>
  <c r="R158" i="169"/>
  <c r="Q131" i="169"/>
  <c r="S131" i="169" s="1" a="1"/>
  <c r="S131" i="169" s="1"/>
  <c r="B395" i="171" s="1"/>
  <c r="R131" i="169"/>
  <c r="Q132" i="169"/>
  <c r="R132" i="169"/>
  <c r="S132" i="169" s="1" a="1"/>
  <c r="S132" i="169" s="1"/>
  <c r="Q133" i="169"/>
  <c r="S133" i="169" s="1" a="1"/>
  <c r="S133" i="169" s="1"/>
  <c r="R133" i="169"/>
  <c r="Q134" i="169"/>
  <c r="R134" i="169"/>
  <c r="S134" i="169" s="1" a="1"/>
  <c r="S134" i="169" s="1"/>
  <c r="B398" i="171" s="1"/>
  <c r="Q135" i="169"/>
  <c r="S135" i="169" s="1" a="1"/>
  <c r="S135" i="169" s="1"/>
  <c r="B399" i="171" s="1"/>
  <c r="R135" i="169"/>
  <c r="Q136" i="169"/>
  <c r="R136" i="169"/>
  <c r="S136" i="169" s="1" a="1"/>
  <c r="S136" i="169" s="1"/>
  <c r="B400" i="171" s="1"/>
  <c r="Q137" i="169"/>
  <c r="S137" i="169" s="1" a="1"/>
  <c r="S137" i="169" s="1"/>
  <c r="B401" i="171" s="1"/>
  <c r="R137" i="169"/>
  <c r="Q138" i="169"/>
  <c r="R138" i="169"/>
  <c r="S138" i="169" s="1" a="1"/>
  <c r="S138" i="169" s="1"/>
  <c r="B402" i="171" s="1"/>
  <c r="Q139" i="169"/>
  <c r="S139" i="169" s="1" a="1"/>
  <c r="S139" i="169" s="1"/>
  <c r="B403" i="171" s="1"/>
  <c r="R139" i="169"/>
  <c r="Q140" i="169"/>
  <c r="R140" i="169"/>
  <c r="S140" i="169" s="1" a="1"/>
  <c r="S140" i="169" s="1"/>
  <c r="Q141" i="169"/>
  <c r="S141" i="169" s="1" a="1"/>
  <c r="S141" i="169" s="1"/>
  <c r="B405" i="171" s="1"/>
  <c r="R141" i="169"/>
  <c r="Q142" i="169"/>
  <c r="R142" i="169"/>
  <c r="S142" i="169" s="1" a="1"/>
  <c r="S142" i="169" s="1"/>
  <c r="B406" i="171" s="1"/>
  <c r="Q143" i="169"/>
  <c r="S143" i="169" s="1" a="1"/>
  <c r="S143" i="169" s="1"/>
  <c r="B407" i="171" s="1"/>
  <c r="R143" i="169"/>
  <c r="Q144" i="169"/>
  <c r="R144" i="169"/>
  <c r="S144" i="169" s="1" a="1"/>
  <c r="S144" i="169" s="1"/>
  <c r="B408" i="171" s="1"/>
  <c r="Q145" i="169"/>
  <c r="S145" i="169" s="1" a="1"/>
  <c r="S145" i="169" s="1"/>
  <c r="B409" i="171" s="1"/>
  <c r="R145" i="169"/>
  <c r="S116" i="169" a="1"/>
  <c r="S116" i="169" s="1"/>
  <c r="B380" i="171" s="1"/>
  <c r="S117" i="169" a="1"/>
  <c r="S117" i="169" s="1"/>
  <c r="B381" i="171" s="1"/>
  <c r="S118" i="169" a="1"/>
  <c r="S118" i="169" s="1"/>
  <c r="B382" i="171" s="1"/>
  <c r="S119" i="169" a="1"/>
  <c r="S119" i="169" s="1"/>
  <c r="B383" i="171" s="1"/>
  <c r="S120" i="169" a="1"/>
  <c r="S120" i="169" s="1"/>
  <c r="B384" i="171" s="1"/>
  <c r="S121" i="169" a="1"/>
  <c r="S121" i="169" s="1"/>
  <c r="B385" i="171" s="1"/>
  <c r="S122" i="169" a="1"/>
  <c r="S122" i="169"/>
  <c r="B386" i="171" s="1"/>
  <c r="S123" i="169" a="1"/>
  <c r="S123" i="169" s="1"/>
  <c r="B387" i="171" s="1"/>
  <c r="S124" i="169" a="1"/>
  <c r="S124" i="169" s="1"/>
  <c r="B388" i="171" s="1"/>
  <c r="S125" i="169" a="1"/>
  <c r="S125" i="169" s="1"/>
  <c r="B389" i="171" s="1"/>
  <c r="S126" i="169" a="1"/>
  <c r="S126" i="169"/>
  <c r="B390" i="171" s="1"/>
  <c r="S127" i="169" a="1"/>
  <c r="S127" i="169" s="1"/>
  <c r="B391" i="171" s="1"/>
  <c r="S128" i="169" a="1"/>
  <c r="S128" i="169" s="1"/>
  <c r="B392" i="171" s="1"/>
  <c r="S129" i="169" a="1"/>
  <c r="S129" i="169" s="1"/>
  <c r="B393" i="171" s="1"/>
  <c r="S130" i="169" a="1"/>
  <c r="S130" i="169"/>
  <c r="B394" i="171" s="1"/>
  <c r="S16" i="169" a="1"/>
  <c r="S16" i="169" s="1"/>
  <c r="B280" i="171" s="1"/>
  <c r="S17" i="169" a="1"/>
  <c r="S17" i="169" s="1"/>
  <c r="B281" i="171" s="1"/>
  <c r="S18" i="169" a="1"/>
  <c r="S18" i="169"/>
  <c r="B282" i="171" s="1"/>
  <c r="S19" i="169" a="1"/>
  <c r="S19" i="169"/>
  <c r="B283" i="171" s="1"/>
  <c r="S20" i="169" a="1"/>
  <c r="S20" i="169" s="1"/>
  <c r="B284" i="171" s="1"/>
  <c r="S21" i="169" a="1"/>
  <c r="S21" i="169" s="1"/>
  <c r="B285" i="171" s="1"/>
  <c r="S22" i="169" a="1"/>
  <c r="S22" i="169" s="1"/>
  <c r="B286" i="171" s="1"/>
  <c r="S23" i="169" a="1"/>
  <c r="S23" i="169"/>
  <c r="B287" i="171" s="1"/>
  <c r="S24" i="169" a="1"/>
  <c r="S24" i="169" s="1"/>
  <c r="S25" i="169" a="1"/>
  <c r="S25" i="169" s="1"/>
  <c r="S26" i="169" a="1"/>
  <c r="S26" i="169"/>
  <c r="B290" i="171" s="1"/>
  <c r="S27" i="169" a="1"/>
  <c r="S27" i="169" s="1"/>
  <c r="B291" i="171" s="1"/>
  <c r="S28" i="169" a="1"/>
  <c r="S28" i="169" s="1"/>
  <c r="B292" i="171" s="1"/>
  <c r="S29" i="169" a="1"/>
  <c r="S29" i="169" s="1"/>
  <c r="B293" i="171" s="1"/>
  <c r="S30" i="169" a="1"/>
  <c r="S30" i="169"/>
  <c r="B294" i="171" s="1"/>
  <c r="S31" i="169" a="1"/>
  <c r="S31" i="169"/>
  <c r="B295" i="171" s="1"/>
  <c r="S32" i="169" a="1"/>
  <c r="S32" i="169" s="1"/>
  <c r="B296" i="171" s="1"/>
  <c r="S33" i="169" a="1"/>
  <c r="S33" i="169" s="1"/>
  <c r="B297" i="171" s="1"/>
  <c r="S34" i="169" a="1"/>
  <c r="S34" i="169" s="1"/>
  <c r="B298" i="171" s="1"/>
  <c r="S35" i="169" a="1"/>
  <c r="S35" i="169" s="1"/>
  <c r="B299" i="171" s="1"/>
  <c r="S36" i="169" a="1"/>
  <c r="S36" i="169" s="1"/>
  <c r="B300" i="171" s="1"/>
  <c r="S37" i="169" a="1"/>
  <c r="S37" i="169" s="1"/>
  <c r="B301" i="171" s="1"/>
  <c r="S38" i="169" a="1"/>
  <c r="S38" i="169" s="1"/>
  <c r="B302" i="171" s="1"/>
  <c r="S39" i="169" a="1"/>
  <c r="S39" i="169" s="1"/>
  <c r="B303" i="171" s="1"/>
  <c r="S40" i="169" a="1"/>
  <c r="S40" i="169" s="1"/>
  <c r="B304" i="171" s="1"/>
  <c r="S41" i="169" a="1"/>
  <c r="S41" i="169" s="1"/>
  <c r="B305" i="171" s="1"/>
  <c r="S42" i="169" a="1"/>
  <c r="S42" i="169"/>
  <c r="B306" i="171" s="1"/>
  <c r="S43" i="169" a="1"/>
  <c r="S43" i="169" s="1"/>
  <c r="B307" i="171" s="1"/>
  <c r="S44" i="169" a="1"/>
  <c r="S44" i="169" s="1"/>
  <c r="B308" i="171" s="1"/>
  <c r="S45" i="169" a="1"/>
  <c r="S45" i="169" s="1"/>
  <c r="B309" i="171" s="1"/>
  <c r="S46" i="169" a="1"/>
  <c r="S46" i="169" s="1"/>
  <c r="B310" i="171" s="1"/>
  <c r="S47" i="169" a="1"/>
  <c r="S47" i="169" s="1"/>
  <c r="B311" i="171" s="1"/>
  <c r="S48" i="169" a="1"/>
  <c r="S48" i="169" s="1"/>
  <c r="B312" i="171" s="1"/>
  <c r="S49" i="169" a="1"/>
  <c r="S49" i="169" s="1"/>
  <c r="B313" i="171" s="1"/>
  <c r="S50" i="169" a="1"/>
  <c r="S50" i="169" s="1"/>
  <c r="B314" i="171" s="1"/>
  <c r="S51" i="169" a="1"/>
  <c r="S51" i="169" s="1"/>
  <c r="B315" i="171" s="1"/>
  <c r="S52" i="169" a="1"/>
  <c r="S52" i="169" s="1"/>
  <c r="B316" i="171" s="1"/>
  <c r="S53" i="169" a="1"/>
  <c r="S53" i="169" s="1"/>
  <c r="B317" i="171" s="1"/>
  <c r="S54" i="169" a="1"/>
  <c r="S54" i="169" s="1"/>
  <c r="B318" i="171" s="1"/>
  <c r="S55" i="169" a="1"/>
  <c r="S55" i="169" s="1"/>
  <c r="B319" i="171" s="1"/>
  <c r="S56" i="169" a="1"/>
  <c r="S56" i="169" s="1"/>
  <c r="B320" i="171" s="1"/>
  <c r="S62" i="169" a="1"/>
  <c r="S62" i="169" s="1"/>
  <c r="B326" i="171" s="1"/>
  <c r="S63" i="169" a="1"/>
  <c r="S63" i="169"/>
  <c r="B327" i="171" s="1"/>
  <c r="S64" i="169" a="1"/>
  <c r="S64" i="169" s="1"/>
  <c r="B328" i="171" s="1"/>
  <c r="S65" i="169" a="1"/>
  <c r="S65" i="169" s="1"/>
  <c r="B329" i="171" s="1"/>
  <c r="S66" i="169" a="1"/>
  <c r="S66" i="169" s="1"/>
  <c r="B330" i="171" s="1"/>
  <c r="S67" i="169" a="1"/>
  <c r="S67" i="169" s="1"/>
  <c r="B331" i="171" s="1"/>
  <c r="S68" i="169" a="1"/>
  <c r="S68" i="169" s="1"/>
  <c r="S69" i="169" a="1"/>
  <c r="S69" i="169" s="1"/>
  <c r="B333" i="171" s="1"/>
  <c r="S70" i="169" a="1"/>
  <c r="S70" i="169" s="1"/>
  <c r="B334" i="171" s="1"/>
  <c r="S71" i="169" a="1"/>
  <c r="S71" i="169" s="1"/>
  <c r="B335" i="171" s="1"/>
  <c r="S72" i="169" a="1"/>
  <c r="S72" i="169" s="1"/>
  <c r="B336" i="171" s="1"/>
  <c r="S73" i="169" a="1"/>
  <c r="S73" i="169" s="1"/>
  <c r="B337" i="171" s="1"/>
  <c r="S74" i="169" a="1"/>
  <c r="S74" i="169"/>
  <c r="B338" i="171" s="1"/>
  <c r="S75" i="169" a="1"/>
  <c r="S75" i="169" s="1"/>
  <c r="B339" i="171" s="1"/>
  <c r="S76" i="169" a="1"/>
  <c r="S76" i="169" s="1"/>
  <c r="B340" i="171" s="1"/>
  <c r="S77" i="169" a="1"/>
  <c r="S77" i="169" s="1"/>
  <c r="B341" i="171" s="1"/>
  <c r="S78" i="169" a="1"/>
  <c r="S78" i="169" s="1"/>
  <c r="B342" i="171" s="1"/>
  <c r="S79" i="169" a="1"/>
  <c r="S79" i="169" s="1"/>
  <c r="B343" i="171" s="1"/>
  <c r="S80" i="169" a="1"/>
  <c r="S80" i="169" s="1"/>
  <c r="B344" i="171" s="1"/>
  <c r="S81" i="169" a="1"/>
  <c r="S81" i="169" s="1"/>
  <c r="B345" i="171" s="1"/>
  <c r="S82" i="169" a="1"/>
  <c r="S82" i="169" s="1"/>
  <c r="B346" i="171" s="1"/>
  <c r="S83" i="169" a="1"/>
  <c r="S83" i="169" s="1"/>
  <c r="B347" i="171" s="1"/>
  <c r="S84" i="169" a="1"/>
  <c r="S84" i="169" s="1"/>
  <c r="B348" i="171" s="1"/>
  <c r="S85" i="169" a="1"/>
  <c r="S85" i="169" s="1"/>
  <c r="B349" i="171" s="1"/>
  <c r="S86" i="169" a="1"/>
  <c r="S86" i="169" s="1"/>
  <c r="B350" i="171" s="1"/>
  <c r="S87" i="169" a="1"/>
  <c r="S87" i="169" s="1"/>
  <c r="B351" i="171" s="1"/>
  <c r="S88" i="169" a="1"/>
  <c r="S88" i="169" s="1"/>
  <c r="B352" i="171" s="1"/>
  <c r="S89" i="169" a="1"/>
  <c r="S89" i="169" s="1"/>
  <c r="B353" i="171" s="1"/>
  <c r="S90" i="169" a="1"/>
  <c r="S90" i="169"/>
  <c r="B354" i="171" s="1"/>
  <c r="S91" i="169" a="1"/>
  <c r="S91" i="169" s="1"/>
  <c r="B355" i="171" s="1"/>
  <c r="S92" i="169" a="1"/>
  <c r="S92" i="169" s="1"/>
  <c r="B356" i="171" s="1"/>
  <c r="S93" i="169" a="1"/>
  <c r="S93" i="169" s="1"/>
  <c r="B357" i="171" s="1"/>
  <c r="S94" i="169" a="1"/>
  <c r="S94" i="169" s="1"/>
  <c r="B358" i="171" s="1"/>
  <c r="S95" i="169" a="1"/>
  <c r="S95" i="169"/>
  <c r="B359" i="171" s="1"/>
  <c r="S96" i="169" a="1"/>
  <c r="S96" i="169" s="1"/>
  <c r="B360" i="171" s="1"/>
  <c r="S97" i="169" a="1"/>
  <c r="S97" i="169" s="1"/>
  <c r="B361" i="171" s="1"/>
  <c r="S98" i="169" a="1"/>
  <c r="S98" i="169" s="1"/>
  <c r="B362" i="171" s="1"/>
  <c r="S99" i="169" a="1"/>
  <c r="S99" i="169" s="1"/>
  <c r="B363" i="171" s="1"/>
  <c r="S100" i="169" a="1"/>
  <c r="S100" i="169" s="1"/>
  <c r="B364" i="171" s="1"/>
  <c r="S101" i="169" a="1"/>
  <c r="S101" i="169" s="1"/>
  <c r="B365" i="171" s="1"/>
  <c r="S102" i="169" a="1"/>
  <c r="S102" i="169" s="1"/>
  <c r="B366" i="171" s="1"/>
  <c r="S103" i="169" a="1"/>
  <c r="S103" i="169" s="1"/>
  <c r="B367" i="171" s="1"/>
  <c r="S104" i="169" a="1"/>
  <c r="S104" i="169" s="1"/>
  <c r="B368" i="171" s="1"/>
  <c r="S105" i="169" a="1"/>
  <c r="S105" i="169" s="1"/>
  <c r="B369" i="171" s="1"/>
  <c r="S106" i="169" a="1"/>
  <c r="S106" i="169"/>
  <c r="B370" i="171" s="1"/>
  <c r="S107" i="169" a="1"/>
  <c r="S107" i="169" s="1"/>
  <c r="B371" i="171" s="1"/>
  <c r="S108" i="169" a="1"/>
  <c r="S108" i="169" s="1"/>
  <c r="B372" i="171" s="1"/>
  <c r="S109" i="169" a="1"/>
  <c r="S109" i="169" s="1"/>
  <c r="B373" i="171" s="1"/>
  <c r="S110" i="169" a="1"/>
  <c r="S110" i="169" s="1"/>
  <c r="B374" i="171" s="1"/>
  <c r="S111" i="169" a="1"/>
  <c r="S111" i="169"/>
  <c r="B375" i="171" s="1"/>
  <c r="S112" i="169" a="1"/>
  <c r="S112" i="169" s="1"/>
  <c r="B376" i="171" s="1"/>
  <c r="S113" i="169" a="1"/>
  <c r="S113" i="169" s="1"/>
  <c r="B377" i="171" s="1"/>
  <c r="S114" i="169" a="1"/>
  <c r="S114" i="169" s="1"/>
  <c r="B378" i="171" s="1"/>
  <c r="S115" i="169" a="1"/>
  <c r="S115" i="169" s="1"/>
  <c r="B379" i="171" s="1"/>
  <c r="Q16" i="169"/>
  <c r="R16" i="169"/>
  <c r="Q17" i="169"/>
  <c r="R17" i="169"/>
  <c r="Q18" i="169"/>
  <c r="R18" i="169"/>
  <c r="Q19" i="169"/>
  <c r="R19" i="169"/>
  <c r="Q20" i="169"/>
  <c r="R20" i="169"/>
  <c r="Q21" i="169"/>
  <c r="R21" i="169"/>
  <c r="Q22" i="169"/>
  <c r="R22" i="169"/>
  <c r="Q23" i="169"/>
  <c r="R23" i="169"/>
  <c r="Q24" i="169"/>
  <c r="R24" i="169"/>
  <c r="Q25" i="169"/>
  <c r="R25" i="169"/>
  <c r="Q26" i="169"/>
  <c r="R26" i="169"/>
  <c r="Q27" i="169"/>
  <c r="R27" i="169"/>
  <c r="Q28" i="169"/>
  <c r="R28" i="169"/>
  <c r="Q29" i="169"/>
  <c r="R29" i="169"/>
  <c r="Q30" i="169"/>
  <c r="R30" i="169"/>
  <c r="Q31" i="169"/>
  <c r="R31" i="169"/>
  <c r="Q32" i="169"/>
  <c r="R32" i="169"/>
  <c r="Q33" i="169"/>
  <c r="R33" i="169"/>
  <c r="Q34" i="169"/>
  <c r="R34" i="169"/>
  <c r="Q35" i="169"/>
  <c r="R35" i="169"/>
  <c r="Q36" i="169"/>
  <c r="R36" i="169"/>
  <c r="Q37" i="169"/>
  <c r="R37" i="169"/>
  <c r="Q38" i="169"/>
  <c r="R38" i="169"/>
  <c r="Q39" i="169"/>
  <c r="R39" i="169"/>
  <c r="Q40" i="169"/>
  <c r="R40" i="169"/>
  <c r="Q41" i="169"/>
  <c r="R41" i="169"/>
  <c r="Q42" i="169"/>
  <c r="R42" i="169"/>
  <c r="Q43" i="169"/>
  <c r="R43" i="169"/>
  <c r="Q44" i="169"/>
  <c r="R44" i="169"/>
  <c r="Q45" i="169"/>
  <c r="R45" i="169"/>
  <c r="Q46" i="169"/>
  <c r="R46" i="169"/>
  <c r="Q47" i="169"/>
  <c r="R47" i="169"/>
  <c r="Q48" i="169"/>
  <c r="R48" i="169"/>
  <c r="Q49" i="169"/>
  <c r="R49" i="169"/>
  <c r="Q50" i="169"/>
  <c r="R50" i="169"/>
  <c r="Q51" i="169"/>
  <c r="R51" i="169"/>
  <c r="Q52" i="169"/>
  <c r="R52" i="169"/>
  <c r="Q53" i="169"/>
  <c r="R53" i="169"/>
  <c r="Q54" i="169"/>
  <c r="R54" i="169"/>
  <c r="Q55" i="169"/>
  <c r="R55" i="169"/>
  <c r="Q56" i="169"/>
  <c r="R56" i="169"/>
  <c r="Q57" i="169"/>
  <c r="R57" i="169"/>
  <c r="Q58" i="169"/>
  <c r="R58" i="169"/>
  <c r="Q59" i="169"/>
  <c r="R59" i="169"/>
  <c r="Q60" i="169"/>
  <c r="R60" i="169"/>
  <c r="Q61" i="169"/>
  <c r="R61" i="169"/>
  <c r="Q62" i="169"/>
  <c r="R62" i="169"/>
  <c r="Q63" i="169"/>
  <c r="R63" i="169"/>
  <c r="Q64" i="169"/>
  <c r="R64" i="169"/>
  <c r="Q65" i="169"/>
  <c r="R65" i="169"/>
  <c r="Q66" i="169"/>
  <c r="R66" i="169"/>
  <c r="Q67" i="169"/>
  <c r="R67" i="169"/>
  <c r="Q68" i="169"/>
  <c r="R68" i="169"/>
  <c r="Q69" i="169"/>
  <c r="R69" i="169"/>
  <c r="Q70" i="169"/>
  <c r="R70" i="169"/>
  <c r="Q71" i="169"/>
  <c r="R71" i="169"/>
  <c r="Q72" i="169"/>
  <c r="R72" i="169"/>
  <c r="Q73" i="169"/>
  <c r="R73" i="169"/>
  <c r="Q74" i="169"/>
  <c r="R74" i="169"/>
  <c r="Q75" i="169"/>
  <c r="R75" i="169"/>
  <c r="Q76" i="169"/>
  <c r="R76" i="169"/>
  <c r="Q77" i="169"/>
  <c r="R77" i="169"/>
  <c r="Q78" i="169"/>
  <c r="R78" i="169"/>
  <c r="Q79" i="169"/>
  <c r="R79" i="169"/>
  <c r="Q80" i="169"/>
  <c r="R80" i="169"/>
  <c r="Q81" i="169"/>
  <c r="R81" i="169"/>
  <c r="Q82" i="169"/>
  <c r="R82" i="169"/>
  <c r="Q83" i="169"/>
  <c r="R83" i="169"/>
  <c r="Q84" i="169"/>
  <c r="R84" i="169"/>
  <c r="Q85" i="169"/>
  <c r="R85" i="169"/>
  <c r="Q86" i="169"/>
  <c r="R86" i="169"/>
  <c r="Q87" i="169"/>
  <c r="R87" i="169"/>
  <c r="Q88" i="169"/>
  <c r="R88" i="169"/>
  <c r="Q89" i="169"/>
  <c r="R89" i="169"/>
  <c r="Q90" i="169"/>
  <c r="R90" i="169"/>
  <c r="Q91" i="169"/>
  <c r="R91" i="169"/>
  <c r="Q92" i="169"/>
  <c r="R92" i="169"/>
  <c r="Q93" i="169"/>
  <c r="R93" i="169"/>
  <c r="Q94" i="169"/>
  <c r="R94" i="169"/>
  <c r="Q95" i="169"/>
  <c r="R95" i="169"/>
  <c r="Q96" i="169"/>
  <c r="R96" i="169"/>
  <c r="Q97" i="169"/>
  <c r="R97" i="169"/>
  <c r="Q98" i="169"/>
  <c r="R98" i="169"/>
  <c r="Q99" i="169"/>
  <c r="R99" i="169"/>
  <c r="Q100" i="169"/>
  <c r="R100" i="169"/>
  <c r="Q101" i="169"/>
  <c r="R101" i="169"/>
  <c r="Q102" i="169"/>
  <c r="R102" i="169"/>
  <c r="Q103" i="169"/>
  <c r="R103" i="169"/>
  <c r="Q104" i="169"/>
  <c r="R104" i="169"/>
  <c r="Q105" i="169"/>
  <c r="R105" i="169"/>
  <c r="Q106" i="169"/>
  <c r="R106" i="169"/>
  <c r="Q107" i="169"/>
  <c r="R107" i="169"/>
  <c r="Q108" i="169"/>
  <c r="R108" i="169"/>
  <c r="Q109" i="169"/>
  <c r="R109" i="169"/>
  <c r="Q110" i="169"/>
  <c r="R110" i="169"/>
  <c r="Q111" i="169"/>
  <c r="R111" i="169"/>
  <c r="Q112" i="169"/>
  <c r="R112" i="169"/>
  <c r="Q113" i="169"/>
  <c r="R113" i="169"/>
  <c r="Q114" i="169"/>
  <c r="R114" i="169"/>
  <c r="Q115" i="169"/>
  <c r="R115" i="169"/>
  <c r="Q116" i="169"/>
  <c r="R116" i="169"/>
  <c r="Q117" i="169"/>
  <c r="R117" i="169"/>
  <c r="Q118" i="169"/>
  <c r="R118" i="169"/>
  <c r="Q119" i="169"/>
  <c r="R119" i="169"/>
  <c r="Q120" i="169"/>
  <c r="R120" i="169"/>
  <c r="Q121" i="169"/>
  <c r="R121" i="169"/>
  <c r="Q122" i="169"/>
  <c r="R122" i="169"/>
  <c r="Q123" i="169"/>
  <c r="R123" i="169"/>
  <c r="Q124" i="169"/>
  <c r="R124" i="169"/>
  <c r="Q125" i="169"/>
  <c r="R125" i="169"/>
  <c r="Q126" i="169"/>
  <c r="R126" i="169"/>
  <c r="Q127" i="169"/>
  <c r="R127" i="169"/>
  <c r="Q128" i="169"/>
  <c r="R128" i="169"/>
  <c r="Q129" i="169"/>
  <c r="R129" i="169"/>
  <c r="Q130" i="169"/>
  <c r="R130" i="169"/>
  <c r="I28" i="169"/>
  <c r="J28" i="169"/>
  <c r="K28" i="169"/>
  <c r="L28" i="169"/>
  <c r="M28" i="169"/>
  <c r="N28" i="169"/>
  <c r="I29" i="169"/>
  <c r="J29" i="169"/>
  <c r="K29" i="169"/>
  <c r="L29" i="169"/>
  <c r="M29" i="169"/>
  <c r="N29" i="169"/>
  <c r="I30" i="169"/>
  <c r="J30" i="169"/>
  <c r="K30" i="169"/>
  <c r="L30" i="169"/>
  <c r="M30" i="169"/>
  <c r="N30" i="169"/>
  <c r="I31" i="169"/>
  <c r="J31" i="169"/>
  <c r="K31" i="169"/>
  <c r="L31" i="169"/>
  <c r="M31" i="169"/>
  <c r="N31" i="169"/>
  <c r="I32" i="169"/>
  <c r="J32" i="169"/>
  <c r="K32" i="169"/>
  <c r="L32" i="169"/>
  <c r="M32" i="169"/>
  <c r="N32" i="169"/>
  <c r="I33" i="169"/>
  <c r="J33" i="169"/>
  <c r="K33" i="169"/>
  <c r="L33" i="169"/>
  <c r="M33" i="169"/>
  <c r="N33" i="169"/>
  <c r="I34" i="169"/>
  <c r="J34" i="169"/>
  <c r="K34" i="169"/>
  <c r="L34" i="169"/>
  <c r="M34" i="169"/>
  <c r="N34" i="169"/>
  <c r="I35" i="169"/>
  <c r="J35" i="169"/>
  <c r="K35" i="169"/>
  <c r="L35" i="169"/>
  <c r="M35" i="169"/>
  <c r="N35" i="169"/>
  <c r="I36" i="169"/>
  <c r="J36" i="169"/>
  <c r="K36" i="169"/>
  <c r="L36" i="169"/>
  <c r="M36" i="169"/>
  <c r="N36" i="169"/>
  <c r="I17" i="169"/>
  <c r="J17" i="169"/>
  <c r="K17" i="169"/>
  <c r="L17" i="169"/>
  <c r="M17" i="169"/>
  <c r="N17" i="169"/>
  <c r="I18" i="169"/>
  <c r="J18" i="169"/>
  <c r="K18" i="169"/>
  <c r="L18" i="169"/>
  <c r="M18" i="169"/>
  <c r="N18" i="169"/>
  <c r="I19" i="169"/>
  <c r="J19" i="169"/>
  <c r="K19" i="169"/>
  <c r="L19" i="169"/>
  <c r="M19" i="169"/>
  <c r="N19" i="169"/>
  <c r="I20" i="169"/>
  <c r="J20" i="169"/>
  <c r="K20" i="169"/>
  <c r="L20" i="169"/>
  <c r="M20" i="169"/>
  <c r="N20" i="169"/>
  <c r="I21" i="169"/>
  <c r="J21" i="169"/>
  <c r="K21" i="169"/>
  <c r="L21" i="169"/>
  <c r="M21" i="169"/>
  <c r="N21" i="169"/>
  <c r="I22" i="169"/>
  <c r="S57" i="169" s="1" a="1"/>
  <c r="S57" i="169" s="1"/>
  <c r="B321" i="171" s="1"/>
  <c r="J22" i="169"/>
  <c r="S58" i="169" s="1" a="1"/>
  <c r="S58" i="169" s="1"/>
  <c r="B322" i="171" s="1"/>
  <c r="K22" i="169"/>
  <c r="S59" i="169" s="1" a="1"/>
  <c r="S59" i="169" s="1"/>
  <c r="B323" i="171" s="1"/>
  <c r="L22" i="169"/>
  <c r="S60" i="169" s="1" a="1"/>
  <c r="S60" i="169" s="1"/>
  <c r="B324" i="171" s="1"/>
  <c r="M22" i="169"/>
  <c r="S61" i="169" s="1" a="1"/>
  <c r="S61" i="169" s="1"/>
  <c r="B325" i="171" s="1"/>
  <c r="N22" i="169"/>
  <c r="I23" i="169"/>
  <c r="J23" i="169"/>
  <c r="K23" i="169"/>
  <c r="L23" i="169"/>
  <c r="M23" i="169"/>
  <c r="N23" i="169"/>
  <c r="I24" i="169"/>
  <c r="J24" i="169"/>
  <c r="K24" i="169"/>
  <c r="L24" i="169"/>
  <c r="M24" i="169"/>
  <c r="N24" i="169"/>
  <c r="I25" i="169"/>
  <c r="J25" i="169"/>
  <c r="K25" i="169"/>
  <c r="L25" i="169"/>
  <c r="M25" i="169"/>
  <c r="N25" i="169"/>
  <c r="I26" i="169"/>
  <c r="J26" i="169"/>
  <c r="K26" i="169"/>
  <c r="L26" i="169"/>
  <c r="M26" i="169"/>
  <c r="N26" i="169"/>
  <c r="I27" i="169"/>
  <c r="J27" i="169"/>
  <c r="K27" i="169"/>
  <c r="L27" i="169"/>
  <c r="M27" i="169"/>
  <c r="N27" i="169"/>
  <c r="I16" i="169"/>
  <c r="J16" i="169"/>
  <c r="K16" i="169"/>
  <c r="L16" i="169"/>
  <c r="M16" i="169"/>
  <c r="N16" i="169"/>
  <c r="Q120" i="168"/>
  <c r="R120" i="168"/>
  <c r="S120" i="168" a="1"/>
  <c r="S120" i="168" s="1"/>
  <c r="Q121" i="168"/>
  <c r="R121" i="168"/>
  <c r="S121" i="168" a="1"/>
  <c r="S121" i="168"/>
  <c r="Q122" i="168"/>
  <c r="R122" i="168"/>
  <c r="S122" i="168" a="1"/>
  <c r="S122" i="168" s="1"/>
  <c r="Q123" i="168"/>
  <c r="R123" i="168"/>
  <c r="S123" i="168" a="1"/>
  <c r="S123" i="168"/>
  <c r="Q124" i="168"/>
  <c r="R124" i="168"/>
  <c r="S124" i="168" a="1"/>
  <c r="S124" i="168" s="1"/>
  <c r="Q125" i="168"/>
  <c r="R125" i="168"/>
  <c r="S125" i="168" a="1"/>
  <c r="S125" i="168"/>
  <c r="Q126" i="168"/>
  <c r="R126" i="168"/>
  <c r="S126" i="168" a="1"/>
  <c r="S126" i="168" s="1"/>
  <c r="Q127" i="168"/>
  <c r="R127" i="168"/>
  <c r="S127" i="168" a="1"/>
  <c r="S127" i="168"/>
  <c r="Q128" i="168"/>
  <c r="R128" i="168"/>
  <c r="S128" i="168" a="1"/>
  <c r="S128" i="168" s="1"/>
  <c r="Q129" i="168"/>
  <c r="R129" i="168"/>
  <c r="S129" i="168" a="1"/>
  <c r="S129" i="168"/>
  <c r="Q130" i="168"/>
  <c r="R130" i="168"/>
  <c r="S130" i="168" a="1"/>
  <c r="S130" i="168" s="1"/>
  <c r="Q131" i="168"/>
  <c r="R131" i="168"/>
  <c r="S131" i="168" a="1"/>
  <c r="S131" i="168"/>
  <c r="Q132" i="168"/>
  <c r="R132" i="168"/>
  <c r="S132" i="168" a="1"/>
  <c r="S132" i="168" s="1"/>
  <c r="Q133" i="168"/>
  <c r="R133" i="168"/>
  <c r="S133" i="168" a="1"/>
  <c r="S133" i="168"/>
  <c r="Q134" i="168"/>
  <c r="R134" i="168"/>
  <c r="S134" i="168" a="1"/>
  <c r="S134" i="168" s="1"/>
  <c r="Q135" i="168"/>
  <c r="R135" i="168"/>
  <c r="S135" i="168" a="1"/>
  <c r="S135" i="168"/>
  <c r="Q136" i="168"/>
  <c r="R136" i="168"/>
  <c r="S136" i="168" a="1"/>
  <c r="S136" i="168" s="1"/>
  <c r="Q137" i="168"/>
  <c r="R137" i="168"/>
  <c r="S137" i="168" a="1"/>
  <c r="S137" i="168"/>
  <c r="Q98" i="168"/>
  <c r="R98" i="168"/>
  <c r="S98" i="168" s="1" a="1"/>
  <c r="S98" i="168" s="1"/>
  <c r="Q99" i="168"/>
  <c r="S99" i="168" s="1" a="1"/>
  <c r="S99" i="168" s="1"/>
  <c r="R99" i="168"/>
  <c r="Q100" i="168"/>
  <c r="S100" i="168" s="1" a="1"/>
  <c r="S100" i="168" s="1"/>
  <c r="R100" i="168"/>
  <c r="Q101" i="168"/>
  <c r="S101" i="168" s="1" a="1"/>
  <c r="S101" i="168" s="1"/>
  <c r="R101" i="168"/>
  <c r="Q102" i="168"/>
  <c r="S102" i="168" s="1" a="1"/>
  <c r="S102" i="168" s="1"/>
  <c r="R102" i="168"/>
  <c r="Q103" i="168"/>
  <c r="S103" i="168" s="1" a="1"/>
  <c r="S103" i="168" s="1"/>
  <c r="R103" i="168"/>
  <c r="Q104" i="168"/>
  <c r="S104" i="168" s="1" a="1"/>
  <c r="S104" i="168" s="1"/>
  <c r="R104" i="168"/>
  <c r="Q105" i="168"/>
  <c r="S105" i="168" s="1" a="1"/>
  <c r="S105" i="168" s="1"/>
  <c r="R105" i="168"/>
  <c r="Q106" i="168"/>
  <c r="S106" i="168" s="1" a="1"/>
  <c r="S106" i="168" s="1"/>
  <c r="R106" i="168"/>
  <c r="Q107" i="168"/>
  <c r="S107" i="168" s="1" a="1"/>
  <c r="S107" i="168" s="1"/>
  <c r="R107" i="168"/>
  <c r="Q108" i="168"/>
  <c r="S108" i="168" s="1" a="1"/>
  <c r="S108" i="168" s="1"/>
  <c r="R108" i="168"/>
  <c r="Q109" i="168"/>
  <c r="S109" i="168" s="1" a="1"/>
  <c r="S109" i="168" s="1"/>
  <c r="R109" i="168"/>
  <c r="Q110" i="168"/>
  <c r="S110" i="168" s="1" a="1"/>
  <c r="S110" i="168" s="1"/>
  <c r="R110" i="168"/>
  <c r="Q111" i="168"/>
  <c r="S111" i="168" s="1" a="1"/>
  <c r="S111" i="168" s="1"/>
  <c r="R111" i="168"/>
  <c r="Q112" i="168"/>
  <c r="S112" i="168" s="1" a="1"/>
  <c r="S112" i="168" s="1"/>
  <c r="R112" i="168"/>
  <c r="Q113" i="168"/>
  <c r="S113" i="168" s="1" a="1"/>
  <c r="S113" i="168" s="1"/>
  <c r="R113" i="168"/>
  <c r="Q114" i="168"/>
  <c r="S114" i="168" s="1" a="1"/>
  <c r="S114" i="168" s="1"/>
  <c r="R114" i="168"/>
  <c r="Q115" i="168"/>
  <c r="S115" i="168" s="1" a="1"/>
  <c r="S115" i="168" s="1"/>
  <c r="R115" i="168"/>
  <c r="Q116" i="168"/>
  <c r="S116" i="168" s="1" a="1"/>
  <c r="S116" i="168" s="1"/>
  <c r="R116" i="168"/>
  <c r="Q117" i="168"/>
  <c r="S117" i="168" s="1" a="1"/>
  <c r="S117" i="168" s="1"/>
  <c r="R117" i="168"/>
  <c r="Q118" i="168"/>
  <c r="S118" i="168" s="1" a="1"/>
  <c r="S118" i="168" s="1"/>
  <c r="R118" i="168"/>
  <c r="Q119" i="168"/>
  <c r="S119" i="168" s="1" a="1"/>
  <c r="S119" i="168" s="1"/>
  <c r="R119" i="168"/>
  <c r="Q85" i="168"/>
  <c r="S85" i="168" s="1" a="1"/>
  <c r="S85" i="168" s="1"/>
  <c r="R85" i="168"/>
  <c r="Q86" i="168"/>
  <c r="R86" i="168"/>
  <c r="S86" i="168" s="1" a="1"/>
  <c r="S86" i="168" s="1"/>
  <c r="Q87" i="168"/>
  <c r="S87" i="168" s="1" a="1"/>
  <c r="S87" i="168" s="1"/>
  <c r="R87" i="168"/>
  <c r="Q88" i="168"/>
  <c r="R88" i="168"/>
  <c r="S88" i="168" s="1" a="1"/>
  <c r="S88" i="168" s="1"/>
  <c r="Q89" i="168"/>
  <c r="S89" i="168" s="1" a="1"/>
  <c r="S89" i="168" s="1"/>
  <c r="R89" i="168"/>
  <c r="Q90" i="168"/>
  <c r="R90" i="168"/>
  <c r="S90" i="168" s="1" a="1"/>
  <c r="S90" i="168" s="1"/>
  <c r="Q91" i="168"/>
  <c r="S91" i="168" s="1" a="1"/>
  <c r="S91" i="168" s="1"/>
  <c r="R91" i="168"/>
  <c r="Q92" i="168"/>
  <c r="R92" i="168"/>
  <c r="S92" i="168" s="1" a="1"/>
  <c r="S92" i="168" s="1"/>
  <c r="Q93" i="168"/>
  <c r="S93" i="168" s="1" a="1"/>
  <c r="S93" i="168" s="1"/>
  <c r="R93" i="168"/>
  <c r="Q94" i="168"/>
  <c r="R94" i="168"/>
  <c r="S94" i="168" s="1" a="1"/>
  <c r="S94" i="168" s="1"/>
  <c r="Q95" i="168"/>
  <c r="S95" i="168" s="1" a="1"/>
  <c r="S95" i="168" s="1"/>
  <c r="R95" i="168"/>
  <c r="Q96" i="168"/>
  <c r="R96" i="168"/>
  <c r="S96" i="168" s="1" a="1"/>
  <c r="S96" i="168" s="1"/>
  <c r="Q97" i="168"/>
  <c r="S97" i="168" s="1" a="1"/>
  <c r="S97" i="168" s="1"/>
  <c r="R97" i="168"/>
  <c r="Q69" i="168"/>
  <c r="S69" i="168" s="1" a="1"/>
  <c r="S69" i="168" s="1"/>
  <c r="R69" i="168"/>
  <c r="Q70" i="168"/>
  <c r="R70" i="168"/>
  <c r="S70" i="168" s="1" a="1"/>
  <c r="S70" i="168" s="1"/>
  <c r="Q71" i="168"/>
  <c r="S71" i="168" s="1" a="1"/>
  <c r="S71" i="168" s="1"/>
  <c r="R71" i="168"/>
  <c r="Q72" i="168"/>
  <c r="R72" i="168"/>
  <c r="S72" i="168" s="1" a="1"/>
  <c r="S72" i="168" s="1"/>
  <c r="Q73" i="168"/>
  <c r="S73" i="168" s="1" a="1"/>
  <c r="S73" i="168" s="1"/>
  <c r="R73" i="168"/>
  <c r="Q74" i="168"/>
  <c r="R74" i="168"/>
  <c r="S74" i="168" s="1" a="1"/>
  <c r="S74" i="168" s="1"/>
  <c r="Q75" i="168"/>
  <c r="S75" i="168" s="1" a="1"/>
  <c r="S75" i="168" s="1"/>
  <c r="R75" i="168"/>
  <c r="Q76" i="168"/>
  <c r="R76" i="168"/>
  <c r="S76" i="168" s="1" a="1"/>
  <c r="S76" i="168" s="1"/>
  <c r="Q77" i="168"/>
  <c r="S77" i="168" s="1" a="1"/>
  <c r="S77" i="168" s="1"/>
  <c r="R77" i="168"/>
  <c r="Q78" i="168"/>
  <c r="S78" i="168" s="1" a="1"/>
  <c r="S78" i="168" s="1"/>
  <c r="R78" i="168"/>
  <c r="Q79" i="168"/>
  <c r="S79" i="168" s="1" a="1"/>
  <c r="S79" i="168" s="1"/>
  <c r="R79" i="168"/>
  <c r="Q80" i="168"/>
  <c r="S80" i="168" s="1" a="1"/>
  <c r="S80" i="168" s="1"/>
  <c r="R80" i="168"/>
  <c r="Q81" i="168"/>
  <c r="S81" i="168" s="1" a="1"/>
  <c r="S81" i="168" s="1"/>
  <c r="R81" i="168"/>
  <c r="Q82" i="168"/>
  <c r="S82" i="168" s="1" a="1"/>
  <c r="S82" i="168" s="1"/>
  <c r="R82" i="168"/>
  <c r="Q83" i="168"/>
  <c r="S83" i="168" s="1" a="1"/>
  <c r="S83" i="168" s="1"/>
  <c r="R83" i="168"/>
  <c r="Q84" i="168"/>
  <c r="S84" i="168" s="1" a="1"/>
  <c r="S84" i="168" s="1"/>
  <c r="R84" i="168"/>
  <c r="Q53" i="168"/>
  <c r="R53" i="168"/>
  <c r="S53" i="168" a="1"/>
  <c r="S53" i="168"/>
  <c r="Q54" i="168"/>
  <c r="R54" i="168"/>
  <c r="S54" i="168" a="1"/>
  <c r="S54" i="168"/>
  <c r="Q55" i="168"/>
  <c r="R55" i="168"/>
  <c r="S55" i="168" a="1"/>
  <c r="S55" i="168"/>
  <c r="Q56" i="168"/>
  <c r="R56" i="168"/>
  <c r="S56" i="168" a="1"/>
  <c r="S56" i="168"/>
  <c r="Q57" i="168"/>
  <c r="R57" i="168"/>
  <c r="S57" i="168" a="1"/>
  <c r="S57" i="168"/>
  <c r="Q58" i="168"/>
  <c r="R58" i="168"/>
  <c r="S58" i="168" a="1"/>
  <c r="S58" i="168"/>
  <c r="Q59" i="168"/>
  <c r="R59" i="168"/>
  <c r="S59" i="168" a="1"/>
  <c r="S59" i="168"/>
  <c r="Q60" i="168"/>
  <c r="R60" i="168"/>
  <c r="S60" i="168" a="1"/>
  <c r="S60" i="168"/>
  <c r="Q61" i="168"/>
  <c r="R61" i="168"/>
  <c r="S61" i="168" a="1"/>
  <c r="S61" i="168"/>
  <c r="Q62" i="168"/>
  <c r="R62" i="168"/>
  <c r="S62" i="168" a="1"/>
  <c r="S62" i="168"/>
  <c r="Q63" i="168"/>
  <c r="R63" i="168"/>
  <c r="S63" i="168" a="1"/>
  <c r="S63" i="168"/>
  <c r="Q64" i="168"/>
  <c r="R64" i="168"/>
  <c r="S64" i="168" a="1"/>
  <c r="S64" i="168"/>
  <c r="Q65" i="168"/>
  <c r="R65" i="168"/>
  <c r="S65" i="168" a="1"/>
  <c r="S65" i="168"/>
  <c r="Q66" i="168"/>
  <c r="R66" i="168"/>
  <c r="S66" i="168" a="1"/>
  <c r="S66" i="168"/>
  <c r="Q67" i="168"/>
  <c r="R67" i="168"/>
  <c r="S67" i="168" a="1"/>
  <c r="S67" i="168"/>
  <c r="Q68" i="168"/>
  <c r="R68" i="168"/>
  <c r="S68" i="168" a="1"/>
  <c r="S68" i="168"/>
  <c r="S16" i="168" a="1"/>
  <c r="S16" i="168" s="1"/>
  <c r="S17" i="168" a="1"/>
  <c r="S17" i="168" s="1"/>
  <c r="S18" i="168" a="1"/>
  <c r="S18" i="168" s="1"/>
  <c r="S19" i="168" a="1"/>
  <c r="S19" i="168"/>
  <c r="S20" i="168" a="1"/>
  <c r="S20" i="168" s="1"/>
  <c r="S21" i="168" a="1"/>
  <c r="S21" i="168" s="1"/>
  <c r="S22" i="168" a="1"/>
  <c r="S22" i="168" s="1"/>
  <c r="S23" i="168" a="1"/>
  <c r="S23" i="168"/>
  <c r="S24" i="168" a="1"/>
  <c r="S24" i="168" s="1"/>
  <c r="S25" i="168" a="1"/>
  <c r="S25" i="168" s="1"/>
  <c r="S26" i="168" a="1"/>
  <c r="S26" i="168" s="1"/>
  <c r="S27" i="168" a="1"/>
  <c r="S27" i="168"/>
  <c r="S28" i="168" a="1"/>
  <c r="S28" i="168" s="1"/>
  <c r="S29" i="168" a="1"/>
  <c r="S29" i="168" s="1"/>
  <c r="S30" i="168" a="1"/>
  <c r="S30" i="168" s="1"/>
  <c r="S31" i="168" a="1"/>
  <c r="S31" i="168"/>
  <c r="S32" i="168" a="1"/>
  <c r="S32" i="168" s="1"/>
  <c r="S33" i="168" a="1"/>
  <c r="S33" i="168" s="1"/>
  <c r="S34" i="168" a="1"/>
  <c r="S34" i="168" s="1"/>
  <c r="S35" i="168" a="1"/>
  <c r="S35" i="168"/>
  <c r="S36" i="168" a="1"/>
  <c r="S36" i="168" s="1"/>
  <c r="S37" i="168" a="1"/>
  <c r="S37" i="168" s="1"/>
  <c r="S38" i="168" a="1"/>
  <c r="S38" i="168" s="1"/>
  <c r="S39" i="168" a="1"/>
  <c r="S39" i="168"/>
  <c r="S40" i="168" a="1"/>
  <c r="S40" i="168" s="1"/>
  <c r="S41" i="168" a="1"/>
  <c r="S41" i="168" s="1"/>
  <c r="S42" i="168" a="1"/>
  <c r="S42" i="168" s="1"/>
  <c r="S43" i="168" a="1"/>
  <c r="S43" i="168"/>
  <c r="S44" i="168" a="1"/>
  <c r="S44" i="168" s="1"/>
  <c r="S45" i="168" a="1"/>
  <c r="S45" i="168" s="1"/>
  <c r="S46" i="168" a="1"/>
  <c r="S46" i="168" s="1"/>
  <c r="S47" i="168" a="1"/>
  <c r="S47" i="168"/>
  <c r="S48" i="168" a="1"/>
  <c r="S48" i="168" s="1"/>
  <c r="S49" i="168" a="1"/>
  <c r="S49" i="168" s="1"/>
  <c r="S50" i="168" a="1"/>
  <c r="S50" i="168" s="1"/>
  <c r="S51" i="168" a="1"/>
  <c r="S51" i="168"/>
  <c r="S52" i="168" a="1"/>
  <c r="S52" i="168" s="1"/>
  <c r="I20" i="168"/>
  <c r="J20" i="168"/>
  <c r="K20" i="168"/>
  <c r="L20" i="168"/>
  <c r="M20" i="168"/>
  <c r="N20" i="168"/>
  <c r="I21" i="168"/>
  <c r="J21" i="168"/>
  <c r="K21" i="168"/>
  <c r="L21" i="168"/>
  <c r="M21" i="168"/>
  <c r="N21" i="168"/>
  <c r="I22" i="168"/>
  <c r="J22" i="168"/>
  <c r="K22" i="168"/>
  <c r="L22" i="168"/>
  <c r="M22" i="168"/>
  <c r="N22" i="168"/>
  <c r="I23" i="168"/>
  <c r="J23" i="168"/>
  <c r="K23" i="168"/>
  <c r="L23" i="168"/>
  <c r="M23" i="168"/>
  <c r="N23" i="168"/>
  <c r="I24" i="168"/>
  <c r="J24" i="168"/>
  <c r="K24" i="168"/>
  <c r="L24" i="168"/>
  <c r="M24" i="168"/>
  <c r="N24" i="168"/>
  <c r="I25" i="168"/>
  <c r="J25" i="168"/>
  <c r="K25" i="168"/>
  <c r="L25" i="168"/>
  <c r="M25" i="168"/>
  <c r="N25" i="168"/>
  <c r="I26" i="168"/>
  <c r="J26" i="168"/>
  <c r="K26" i="168"/>
  <c r="L26" i="168"/>
  <c r="M26" i="168"/>
  <c r="N26" i="168"/>
  <c r="I27" i="168"/>
  <c r="J27" i="168"/>
  <c r="K27" i="168"/>
  <c r="L27" i="168"/>
  <c r="M27" i="168"/>
  <c r="N27" i="168"/>
  <c r="I28" i="168"/>
  <c r="J28" i="168"/>
  <c r="K28" i="168"/>
  <c r="L28" i="168"/>
  <c r="M28" i="168"/>
  <c r="N28" i="168"/>
  <c r="I29" i="168"/>
  <c r="J29" i="168"/>
  <c r="K29" i="168"/>
  <c r="L29" i="168"/>
  <c r="M29" i="168"/>
  <c r="N29" i="168"/>
  <c r="I30" i="168"/>
  <c r="J30" i="168"/>
  <c r="K30" i="168"/>
  <c r="L30" i="168"/>
  <c r="M30" i="168"/>
  <c r="N30" i="168"/>
  <c r="I31" i="168"/>
  <c r="J31" i="168"/>
  <c r="K31" i="168"/>
  <c r="L31" i="168"/>
  <c r="M31" i="168"/>
  <c r="N31" i="168"/>
  <c r="I32" i="168"/>
  <c r="J32" i="168"/>
  <c r="K32" i="168"/>
  <c r="L32" i="168"/>
  <c r="M32" i="168"/>
  <c r="N32" i="168"/>
  <c r="N33" i="168"/>
  <c r="N34" i="168"/>
  <c r="N35" i="168"/>
  <c r="N36" i="168"/>
  <c r="N37" i="168"/>
  <c r="N38" i="168"/>
  <c r="I16" i="168"/>
  <c r="J16" i="168"/>
  <c r="K16" i="168"/>
  <c r="L16" i="168"/>
  <c r="M16" i="168"/>
  <c r="N16" i="168"/>
  <c r="I17" i="168"/>
  <c r="J17" i="168"/>
  <c r="K17" i="168"/>
  <c r="L17" i="168"/>
  <c r="M17" i="168"/>
  <c r="N17" i="168"/>
  <c r="I18" i="168"/>
  <c r="J18" i="168"/>
  <c r="K18" i="168"/>
  <c r="L18" i="168"/>
  <c r="M18" i="168"/>
  <c r="N18" i="168"/>
  <c r="I19" i="168"/>
  <c r="J19" i="168"/>
  <c r="K19" i="168"/>
  <c r="L19" i="168"/>
  <c r="M19" i="168"/>
  <c r="N19" i="168"/>
  <c r="B20" i="169"/>
  <c r="C20" i="169"/>
  <c r="B18" i="169"/>
  <c r="C18" i="169"/>
  <c r="B17" i="169"/>
  <c r="C17" i="169"/>
  <c r="E6" i="170"/>
  <c r="B18" i="171" s="1"/>
  <c r="C9" i="170"/>
  <c r="C8" i="170"/>
  <c r="C7" i="170"/>
  <c r="C6" i="170"/>
  <c r="C5" i="170"/>
  <c r="C4" i="170"/>
  <c r="C3" i="170"/>
  <c r="C4" i="169"/>
  <c r="C5" i="169"/>
  <c r="C6" i="169"/>
  <c r="C7" i="169"/>
  <c r="C8" i="169"/>
  <c r="C9" i="169"/>
  <c r="C3" i="169"/>
  <c r="E6" i="169"/>
  <c r="B276" i="171" s="1"/>
  <c r="C38" i="169"/>
  <c r="B38" i="169"/>
  <c r="C37" i="169"/>
  <c r="B37" i="169"/>
  <c r="C36" i="169"/>
  <c r="B36" i="169"/>
  <c r="C35" i="169"/>
  <c r="B35" i="169"/>
  <c r="C34" i="169"/>
  <c r="B34" i="169"/>
  <c r="C33" i="169"/>
  <c r="B33" i="169"/>
  <c r="C32" i="169"/>
  <c r="B32" i="169"/>
  <c r="C31" i="169"/>
  <c r="B31" i="169"/>
  <c r="C30" i="169"/>
  <c r="B30" i="169"/>
  <c r="C29" i="169"/>
  <c r="B29" i="169"/>
  <c r="C28" i="169"/>
  <c r="B28" i="169"/>
  <c r="C27" i="169"/>
  <c r="B27" i="169"/>
  <c r="C26" i="169"/>
  <c r="B26" i="169"/>
  <c r="C25" i="169"/>
  <c r="B25" i="169"/>
  <c r="C24" i="169"/>
  <c r="B24" i="169"/>
  <c r="C23" i="169"/>
  <c r="B23" i="169"/>
  <c r="C21" i="169"/>
  <c r="B21" i="169"/>
  <c r="C19" i="169"/>
  <c r="B19" i="169"/>
  <c r="C16" i="169"/>
  <c r="B16" i="169"/>
  <c r="C15" i="169"/>
  <c r="B15" i="169"/>
  <c r="B14" i="169"/>
  <c r="L15" i="169"/>
  <c r="K15" i="169"/>
  <c r="B14" i="168"/>
  <c r="K15" i="170"/>
  <c r="K15" i="168"/>
  <c r="B32" i="168"/>
  <c r="C32" i="168"/>
  <c r="B33" i="168"/>
  <c r="C33" i="168"/>
  <c r="B34" i="168"/>
  <c r="C34" i="168"/>
  <c r="B35" i="168"/>
  <c r="C35" i="168"/>
  <c r="B20" i="168"/>
  <c r="C20" i="168"/>
  <c r="B21" i="168"/>
  <c r="C21" i="168"/>
  <c r="B22" i="168"/>
  <c r="C22" i="168"/>
  <c r="B23" i="168"/>
  <c r="C23" i="168"/>
  <c r="B24" i="168"/>
  <c r="C24" i="168"/>
  <c r="B25" i="168"/>
  <c r="C25" i="168"/>
  <c r="B26" i="168"/>
  <c r="C26" i="168"/>
  <c r="B27" i="168"/>
  <c r="C27" i="168"/>
  <c r="B28" i="168"/>
  <c r="C28" i="168"/>
  <c r="B29" i="168"/>
  <c r="C29" i="168"/>
  <c r="B30" i="168"/>
  <c r="C30" i="168"/>
  <c r="B31" i="168"/>
  <c r="C31" i="168"/>
  <c r="B16" i="168"/>
  <c r="C16" i="168"/>
  <c r="B17" i="168"/>
  <c r="C17" i="168"/>
  <c r="B18" i="168"/>
  <c r="C18" i="168"/>
  <c r="B19" i="168"/>
  <c r="C19" i="168"/>
  <c r="C15" i="168"/>
  <c r="B15" i="168"/>
  <c r="E3" i="168"/>
  <c r="E6" i="168"/>
  <c r="B277" i="171"/>
  <c r="B19" i="171"/>
  <c r="B15" i="171"/>
  <c r="B14" i="171"/>
  <c r="B13" i="171"/>
  <c r="B12" i="171"/>
  <c r="B9" i="171"/>
  <c r="B8" i="171"/>
  <c r="B4" i="171"/>
  <c r="R15" i="170"/>
  <c r="Q15" i="170"/>
  <c r="N15" i="170"/>
  <c r="M15" i="170"/>
  <c r="L15" i="170"/>
  <c r="R15" i="169"/>
  <c r="Q15" i="169"/>
  <c r="N15" i="169"/>
  <c r="M15" i="169"/>
  <c r="J15" i="169"/>
  <c r="R52" i="168"/>
  <c r="Q52" i="168"/>
  <c r="R51" i="168"/>
  <c r="Q51" i="168"/>
  <c r="R50" i="168"/>
  <c r="Q50" i="168"/>
  <c r="R49" i="168"/>
  <c r="Q49" i="168"/>
  <c r="R48" i="168"/>
  <c r="Q48" i="168"/>
  <c r="R47" i="168"/>
  <c r="Q47" i="168"/>
  <c r="R46" i="168"/>
  <c r="Q46" i="168"/>
  <c r="R45" i="168"/>
  <c r="Q45" i="168"/>
  <c r="R44" i="168"/>
  <c r="Q44" i="168"/>
  <c r="R43" i="168"/>
  <c r="Q43" i="168"/>
  <c r="R42" i="168"/>
  <c r="Q42" i="168"/>
  <c r="R41" i="168"/>
  <c r="Q41" i="168"/>
  <c r="R40" i="168"/>
  <c r="Q40" i="168"/>
  <c r="R39" i="168"/>
  <c r="Q39" i="168"/>
  <c r="R38" i="168"/>
  <c r="Q38" i="168"/>
  <c r="R37" i="168"/>
  <c r="Q37" i="168"/>
  <c r="R36" i="168"/>
  <c r="Q36" i="168"/>
  <c r="R35" i="168"/>
  <c r="Q35" i="168"/>
  <c r="R34" i="168"/>
  <c r="Q34" i="168"/>
  <c r="R33" i="168"/>
  <c r="Q33" i="168"/>
  <c r="R32" i="168"/>
  <c r="Q32" i="168"/>
  <c r="R31" i="168"/>
  <c r="Q31" i="168"/>
  <c r="R30" i="168"/>
  <c r="Q30" i="168"/>
  <c r="R29" i="168"/>
  <c r="Q29" i="168"/>
  <c r="R28" i="168"/>
  <c r="Q28" i="168"/>
  <c r="R27" i="168"/>
  <c r="Q27" i="168"/>
  <c r="R26" i="168"/>
  <c r="Q26" i="168"/>
  <c r="R25" i="168"/>
  <c r="Q25" i="168"/>
  <c r="R24" i="168"/>
  <c r="Q24" i="168"/>
  <c r="R23" i="168"/>
  <c r="Q23" i="168"/>
  <c r="R22" i="168"/>
  <c r="Q22" i="168"/>
  <c r="R21" i="168"/>
  <c r="Q21" i="168"/>
  <c r="R20" i="168"/>
  <c r="Q20" i="168"/>
  <c r="R19" i="168"/>
  <c r="Q19" i="168"/>
  <c r="R18" i="168"/>
  <c r="Q18" i="168"/>
  <c r="R17" i="168"/>
  <c r="Q17" i="168"/>
  <c r="R16" i="168"/>
  <c r="Q16" i="168"/>
  <c r="R15" i="168"/>
  <c r="Q15" i="168"/>
  <c r="N15" i="168"/>
  <c r="M15" i="168"/>
  <c r="L15" i="168"/>
  <c r="J15" i="168"/>
  <c r="I15" i="168"/>
  <c r="S15" i="168" s="1" a="1"/>
  <c r="S15" i="168" s="1"/>
  <c r="B130" i="138"/>
  <c r="B125" i="138"/>
  <c r="B126" i="138"/>
  <c r="B127" i="138"/>
  <c r="B128" i="138"/>
  <c r="B129" i="138"/>
  <c r="I32" i="137"/>
  <c r="J32" i="137"/>
  <c r="K32" i="137"/>
  <c r="L32" i="137"/>
  <c r="M32" i="137"/>
  <c r="N32" i="137"/>
  <c r="C32" i="137"/>
  <c r="B32" i="137"/>
  <c r="B55" i="165"/>
  <c r="B56" i="165"/>
  <c r="B57" i="165"/>
  <c r="B58" i="165"/>
  <c r="B59" i="165"/>
  <c r="I16" i="162"/>
  <c r="J16" i="162"/>
  <c r="K16" i="162"/>
  <c r="L16" i="162"/>
  <c r="M16" i="162"/>
  <c r="N16" i="162"/>
  <c r="I17" i="162"/>
  <c r="J17" i="162"/>
  <c r="K17" i="162"/>
  <c r="L17" i="162"/>
  <c r="M17" i="162"/>
  <c r="N17" i="162"/>
  <c r="I18" i="162"/>
  <c r="J18" i="162"/>
  <c r="K18" i="162"/>
  <c r="L18" i="162"/>
  <c r="M18" i="162"/>
  <c r="N18" i="162"/>
  <c r="I19" i="162"/>
  <c r="J19" i="162"/>
  <c r="K19" i="162"/>
  <c r="L19" i="162"/>
  <c r="M19" i="162"/>
  <c r="N19" i="162"/>
  <c r="I20" i="162"/>
  <c r="J20" i="162"/>
  <c r="K20" i="162"/>
  <c r="L20" i="162"/>
  <c r="M20" i="162"/>
  <c r="N20" i="162"/>
  <c r="I21" i="162"/>
  <c r="J21" i="162"/>
  <c r="K21" i="162"/>
  <c r="L21" i="162"/>
  <c r="M21" i="162"/>
  <c r="N21" i="162"/>
  <c r="I22" i="162"/>
  <c r="J22" i="162"/>
  <c r="K22" i="162"/>
  <c r="L22" i="162"/>
  <c r="M22" i="162"/>
  <c r="N22" i="162"/>
  <c r="I23" i="162"/>
  <c r="J23" i="162"/>
  <c r="K23" i="162"/>
  <c r="L23" i="162"/>
  <c r="M23" i="162"/>
  <c r="N23" i="162"/>
  <c r="B23" i="162"/>
  <c r="C23" i="162"/>
  <c r="B20" i="162"/>
  <c r="C20" i="162"/>
  <c r="B21" i="162"/>
  <c r="C21" i="162"/>
  <c r="B22" i="162"/>
  <c r="C22" i="162"/>
  <c r="B16" i="162"/>
  <c r="C16" i="162"/>
  <c r="B17" i="162"/>
  <c r="C17" i="162"/>
  <c r="B18" i="162"/>
  <c r="C18" i="162"/>
  <c r="B19" i="162"/>
  <c r="C19" i="162"/>
  <c r="C15" i="162"/>
  <c r="B15" i="162"/>
  <c r="B14" i="162"/>
  <c r="E6" i="162"/>
  <c r="E3" i="162"/>
  <c r="B17" i="165"/>
  <c r="B16" i="165"/>
  <c r="B15" i="165"/>
  <c r="B14" i="165"/>
  <c r="B13" i="165"/>
  <c r="B12" i="165"/>
  <c r="B9" i="165"/>
  <c r="B8" i="165"/>
  <c r="B4" i="165"/>
  <c r="R52" i="162"/>
  <c r="Q52" i="162"/>
  <c r="R51" i="162"/>
  <c r="Q51" i="162"/>
  <c r="S51" i="162" s="1" a="1"/>
  <c r="S51" i="162" s="1"/>
  <c r="R50" i="162"/>
  <c r="Q50" i="162"/>
  <c r="R49" i="162"/>
  <c r="Q49" i="162"/>
  <c r="S48" i="162" a="1"/>
  <c r="S48" i="162" s="1"/>
  <c r="B52" i="165" s="1"/>
  <c r="R48" i="162"/>
  <c r="Q48" i="162"/>
  <c r="R47" i="162"/>
  <c r="Q47" i="162"/>
  <c r="S47" i="162" s="1" a="1"/>
  <c r="S47" i="162" s="1"/>
  <c r="B51" i="165" s="1"/>
  <c r="R46" i="162"/>
  <c r="Q46" i="162"/>
  <c r="S46" i="162" s="1" a="1"/>
  <c r="S46" i="162" s="1"/>
  <c r="B50" i="165" s="1"/>
  <c r="R45" i="162"/>
  <c r="Q45" i="162"/>
  <c r="S45" i="162" s="1" a="1"/>
  <c r="S45" i="162" s="1"/>
  <c r="B49" i="165" s="1"/>
  <c r="R44" i="162"/>
  <c r="Q44" i="162"/>
  <c r="R43" i="162"/>
  <c r="Q43" i="162"/>
  <c r="S43" i="162" s="1" a="1"/>
  <c r="S43" i="162" s="1"/>
  <c r="B47" i="165" s="1"/>
  <c r="R42" i="162"/>
  <c r="Q42" i="162"/>
  <c r="R41" i="162"/>
  <c r="Q41" i="162"/>
  <c r="R40" i="162"/>
  <c r="Q40" i="162"/>
  <c r="R39" i="162"/>
  <c r="Q39" i="162"/>
  <c r="R38" i="162"/>
  <c r="Q38" i="162"/>
  <c r="R37" i="162"/>
  <c r="Q37" i="162"/>
  <c r="R36" i="162"/>
  <c r="Q36" i="162"/>
  <c r="R35" i="162"/>
  <c r="Q35" i="162"/>
  <c r="R34" i="162"/>
  <c r="Q34" i="162"/>
  <c r="R33" i="162"/>
  <c r="Q33" i="162"/>
  <c r="S32" i="162" a="1"/>
  <c r="S32" i="162" s="1"/>
  <c r="B36" i="165" s="1"/>
  <c r="R32" i="162"/>
  <c r="Q32" i="162"/>
  <c r="R31" i="162"/>
  <c r="Q31" i="162"/>
  <c r="R30" i="162"/>
  <c r="Q30" i="162"/>
  <c r="R29" i="162"/>
  <c r="Q29" i="162"/>
  <c r="R28" i="162"/>
  <c r="Q28" i="162"/>
  <c r="R27" i="162"/>
  <c r="Q27" i="162"/>
  <c r="R26" i="162"/>
  <c r="Q26" i="162"/>
  <c r="R25" i="162"/>
  <c r="Q25" i="162"/>
  <c r="R24" i="162"/>
  <c r="Q24" i="162"/>
  <c r="S24" i="162" s="1" a="1"/>
  <c r="S24" i="162" s="1"/>
  <c r="B28" i="165" s="1"/>
  <c r="R23" i="162"/>
  <c r="Q23" i="162"/>
  <c r="R22" i="162"/>
  <c r="Q22" i="162"/>
  <c r="R21" i="162"/>
  <c r="Q21" i="162"/>
  <c r="R20" i="162"/>
  <c r="Q20" i="162"/>
  <c r="S20" i="162" s="1" a="1"/>
  <c r="S20" i="162" s="1"/>
  <c r="B24" i="165" s="1"/>
  <c r="R19" i="162"/>
  <c r="Q19" i="162"/>
  <c r="S44" i="162" a="1"/>
  <c r="S44" i="162" s="1"/>
  <c r="B48" i="165" s="1"/>
  <c r="R18" i="162"/>
  <c r="Q18" i="162"/>
  <c r="R17" i="162"/>
  <c r="Q17" i="162"/>
  <c r="S28" i="162" a="1"/>
  <c r="S28" i="162" s="1"/>
  <c r="B32" i="165" s="1"/>
  <c r="R16" i="162"/>
  <c r="Q16" i="162"/>
  <c r="R15" i="162"/>
  <c r="Q15" i="162"/>
  <c r="N15" i="162"/>
  <c r="M15" i="162"/>
  <c r="L15" i="162"/>
  <c r="K15" i="162"/>
  <c r="J15" i="162"/>
  <c r="K16" i="146"/>
  <c r="K17" i="146"/>
  <c r="K18" i="146"/>
  <c r="K15" i="146"/>
  <c r="K16" i="144"/>
  <c r="K17" i="144"/>
  <c r="K18" i="144"/>
  <c r="K19" i="144"/>
  <c r="K20" i="144"/>
  <c r="K21" i="144"/>
  <c r="S53" i="144" s="1" a="1"/>
  <c r="S53" i="144" s="1"/>
  <c r="B58" i="145" s="1"/>
  <c r="K15" i="144"/>
  <c r="K16" i="141"/>
  <c r="K17" i="141"/>
  <c r="K18" i="141"/>
  <c r="K19" i="141"/>
  <c r="K20" i="141"/>
  <c r="K21" i="141"/>
  <c r="S53" i="141" s="1" a="1"/>
  <c r="S53" i="141" s="1"/>
  <c r="B58" i="143" s="1"/>
  <c r="K22" i="141"/>
  <c r="K23" i="141"/>
  <c r="S65" i="141" s="1" a="1"/>
  <c r="S65" i="141" s="1"/>
  <c r="B70" i="143" s="1"/>
  <c r="K15" i="141"/>
  <c r="K16" i="140"/>
  <c r="K17" i="140"/>
  <c r="K18" i="140"/>
  <c r="K19" i="140"/>
  <c r="K20" i="140"/>
  <c r="K21" i="140"/>
  <c r="K22" i="140"/>
  <c r="K23" i="140"/>
  <c r="K24" i="140"/>
  <c r="K25" i="140"/>
  <c r="K26" i="140"/>
  <c r="K27" i="140"/>
  <c r="K28" i="140"/>
  <c r="K29" i="140"/>
  <c r="K30" i="140"/>
  <c r="K31" i="140"/>
  <c r="K32" i="140"/>
  <c r="K15" i="140"/>
  <c r="K16" i="137"/>
  <c r="K17" i="137"/>
  <c r="K18" i="137"/>
  <c r="K19" i="137"/>
  <c r="K20" i="137"/>
  <c r="K21" i="137"/>
  <c r="K22" i="137"/>
  <c r="K23" i="137"/>
  <c r="K24" i="137"/>
  <c r="K25" i="137"/>
  <c r="K26" i="137"/>
  <c r="K27" i="137"/>
  <c r="K28" i="137"/>
  <c r="K29" i="137"/>
  <c r="K30" i="137"/>
  <c r="K31" i="137"/>
  <c r="K15" i="137"/>
  <c r="K16" i="159"/>
  <c r="K17" i="159"/>
  <c r="K18" i="159"/>
  <c r="K19" i="159"/>
  <c r="K20" i="159"/>
  <c r="K21" i="159"/>
  <c r="K22" i="159"/>
  <c r="K23" i="159"/>
  <c r="K24" i="159"/>
  <c r="K25" i="159"/>
  <c r="K26" i="159"/>
  <c r="K27" i="159"/>
  <c r="K28" i="159"/>
  <c r="K15" i="159"/>
  <c r="B105" i="161"/>
  <c r="B106" i="161"/>
  <c r="B107" i="161"/>
  <c r="B108" i="161"/>
  <c r="B109" i="161"/>
  <c r="B110" i="161"/>
  <c r="Q16" i="159"/>
  <c r="R16" i="159"/>
  <c r="Q17" i="159"/>
  <c r="R17" i="159"/>
  <c r="Q18" i="159"/>
  <c r="R18" i="159"/>
  <c r="Q19" i="159"/>
  <c r="R19" i="159"/>
  <c r="Q20" i="159"/>
  <c r="R20" i="159"/>
  <c r="Q21" i="159"/>
  <c r="R21" i="159"/>
  <c r="Q22" i="159"/>
  <c r="R22" i="159"/>
  <c r="Q23" i="159"/>
  <c r="R23" i="159"/>
  <c r="Q24" i="159"/>
  <c r="R24" i="159"/>
  <c r="Q25" i="159"/>
  <c r="R25" i="159"/>
  <c r="Q26" i="159"/>
  <c r="R26" i="159"/>
  <c r="Q27" i="159"/>
  <c r="R27" i="159"/>
  <c r="Q28" i="159"/>
  <c r="R28" i="159"/>
  <c r="Q29" i="159"/>
  <c r="R29" i="159"/>
  <c r="Q30" i="159"/>
  <c r="R30" i="159"/>
  <c r="Q31" i="159"/>
  <c r="R31" i="159"/>
  <c r="Q32" i="159"/>
  <c r="R32" i="159"/>
  <c r="Q33" i="159"/>
  <c r="R33" i="159"/>
  <c r="Q34" i="159"/>
  <c r="R34" i="159"/>
  <c r="Q35" i="159"/>
  <c r="R35" i="159"/>
  <c r="Q36" i="159"/>
  <c r="R36" i="159"/>
  <c r="Q37" i="159"/>
  <c r="R37" i="159"/>
  <c r="Q38" i="159"/>
  <c r="R38" i="159"/>
  <c r="Q39" i="159"/>
  <c r="R39" i="159"/>
  <c r="Q40" i="159"/>
  <c r="R40" i="159"/>
  <c r="Q41" i="159"/>
  <c r="R41" i="159"/>
  <c r="Q42" i="159"/>
  <c r="R42" i="159"/>
  <c r="Q43" i="159"/>
  <c r="R43" i="159"/>
  <c r="Q44" i="159"/>
  <c r="R44" i="159"/>
  <c r="Q45" i="159"/>
  <c r="R45" i="159"/>
  <c r="Q46" i="159"/>
  <c r="R46" i="159"/>
  <c r="Q47" i="159"/>
  <c r="R47" i="159"/>
  <c r="Q48" i="159"/>
  <c r="R48" i="159"/>
  <c r="Q49" i="159"/>
  <c r="R49" i="159"/>
  <c r="Q50" i="159"/>
  <c r="R50" i="159"/>
  <c r="Q51" i="159"/>
  <c r="R51" i="159"/>
  <c r="Q52" i="159"/>
  <c r="R52" i="159"/>
  <c r="Q53" i="159"/>
  <c r="R53" i="159"/>
  <c r="Q54" i="159"/>
  <c r="R54" i="159"/>
  <c r="Q55" i="159"/>
  <c r="R55" i="159"/>
  <c r="Q56" i="159"/>
  <c r="R56" i="159"/>
  <c r="Q57" i="159"/>
  <c r="R57" i="159"/>
  <c r="Q58" i="159"/>
  <c r="R58" i="159"/>
  <c r="Q59" i="159"/>
  <c r="R59" i="159"/>
  <c r="Q60" i="159"/>
  <c r="R60" i="159"/>
  <c r="Q61" i="159"/>
  <c r="R61" i="159"/>
  <c r="Q62" i="159"/>
  <c r="R62" i="159"/>
  <c r="Q63" i="159"/>
  <c r="R63" i="159"/>
  <c r="Q64" i="159"/>
  <c r="R64" i="159"/>
  <c r="Q65" i="159"/>
  <c r="R65" i="159"/>
  <c r="Q66" i="159"/>
  <c r="R66" i="159"/>
  <c r="Q67" i="159"/>
  <c r="R67" i="159"/>
  <c r="Q68" i="159"/>
  <c r="R68" i="159"/>
  <c r="Q69" i="159"/>
  <c r="R69" i="159"/>
  <c r="Q70" i="159"/>
  <c r="R70" i="159"/>
  <c r="Q71" i="159"/>
  <c r="R71" i="159"/>
  <c r="Q72" i="159"/>
  <c r="R72" i="159"/>
  <c r="Q73" i="159"/>
  <c r="R73" i="159"/>
  <c r="Q74" i="159"/>
  <c r="R74" i="159"/>
  <c r="Q75" i="159"/>
  <c r="R75" i="159"/>
  <c r="Q76" i="159"/>
  <c r="R76" i="159"/>
  <c r="Q77" i="159"/>
  <c r="R77" i="159"/>
  <c r="Q78" i="159"/>
  <c r="R78" i="159"/>
  <c r="Q79" i="159"/>
  <c r="R79" i="159"/>
  <c r="Q80" i="159"/>
  <c r="R80" i="159"/>
  <c r="Q81" i="159"/>
  <c r="R81" i="159"/>
  <c r="Q82" i="159"/>
  <c r="R82" i="159"/>
  <c r="Q83" i="159"/>
  <c r="R83" i="159"/>
  <c r="Q84" i="159"/>
  <c r="R84" i="159"/>
  <c r="Q85" i="159"/>
  <c r="R85" i="159"/>
  <c r="Q86" i="159"/>
  <c r="R86" i="159"/>
  <c r="Q87" i="159"/>
  <c r="R87" i="159"/>
  <c r="Q88" i="159"/>
  <c r="R88" i="159"/>
  <c r="Q89" i="159"/>
  <c r="R89" i="159"/>
  <c r="Q90" i="159"/>
  <c r="R90" i="159"/>
  <c r="Q91" i="159"/>
  <c r="R91" i="159"/>
  <c r="Q92" i="159"/>
  <c r="R92" i="159"/>
  <c r="Q93" i="159"/>
  <c r="R93" i="159"/>
  <c r="Q94" i="159"/>
  <c r="R94" i="159"/>
  <c r="Q95" i="159"/>
  <c r="R95" i="159"/>
  <c r="Q96" i="159"/>
  <c r="R96" i="159"/>
  <c r="Q97" i="159"/>
  <c r="R97" i="159"/>
  <c r="Q98" i="159"/>
  <c r="R98" i="159"/>
  <c r="Q99" i="159"/>
  <c r="R99" i="159"/>
  <c r="L16" i="159"/>
  <c r="M16" i="159"/>
  <c r="N16" i="159"/>
  <c r="L17" i="159"/>
  <c r="M17" i="159"/>
  <c r="N17" i="159"/>
  <c r="L18" i="159"/>
  <c r="M18" i="159"/>
  <c r="N18" i="159"/>
  <c r="L19" i="159"/>
  <c r="M19" i="159"/>
  <c r="N19" i="159"/>
  <c r="L20" i="159"/>
  <c r="M20" i="159"/>
  <c r="N20" i="159"/>
  <c r="L21" i="159"/>
  <c r="M21" i="159"/>
  <c r="N21" i="159"/>
  <c r="L22" i="159"/>
  <c r="M22" i="159"/>
  <c r="N22" i="159"/>
  <c r="L23" i="159"/>
  <c r="M23" i="159"/>
  <c r="N23" i="159"/>
  <c r="L24" i="159"/>
  <c r="M24" i="159"/>
  <c r="N24" i="159"/>
  <c r="L25" i="159"/>
  <c r="M25" i="159"/>
  <c r="N25" i="159"/>
  <c r="L26" i="159"/>
  <c r="M26" i="159"/>
  <c r="N26" i="159"/>
  <c r="J27" i="159"/>
  <c r="L27" i="159"/>
  <c r="M27" i="159"/>
  <c r="N27" i="159"/>
  <c r="L28" i="159"/>
  <c r="M28" i="159"/>
  <c r="N28" i="159"/>
  <c r="B26" i="159"/>
  <c r="C26" i="159"/>
  <c r="J26" i="159" s="1"/>
  <c r="C23" i="159"/>
  <c r="J23" i="159" s="1"/>
  <c r="B23" i="159"/>
  <c r="B24" i="159"/>
  <c r="C24" i="159"/>
  <c r="J24" i="159" s="1"/>
  <c r="B21" i="159"/>
  <c r="C21" i="159"/>
  <c r="J21" i="159" s="1"/>
  <c r="B17" i="159"/>
  <c r="C17" i="159"/>
  <c r="J17" i="159" s="1"/>
  <c r="B18" i="159"/>
  <c r="B16" i="159"/>
  <c r="C16" i="159"/>
  <c r="J16" i="159" s="1"/>
  <c r="C18" i="159"/>
  <c r="J18" i="159" s="1"/>
  <c r="B19" i="159"/>
  <c r="C19" i="159"/>
  <c r="J19" i="159" s="1"/>
  <c r="B20" i="159"/>
  <c r="C20" i="159"/>
  <c r="J20" i="159" s="1"/>
  <c r="B22" i="159"/>
  <c r="C22" i="159"/>
  <c r="J22" i="159" s="1"/>
  <c r="B25" i="159"/>
  <c r="C25" i="159"/>
  <c r="J25" i="159" s="1"/>
  <c r="B27" i="159"/>
  <c r="C27" i="159"/>
  <c r="B28" i="159"/>
  <c r="C28" i="159"/>
  <c r="J28" i="159" s="1"/>
  <c r="C15" i="159"/>
  <c r="J15" i="159" s="1"/>
  <c r="B15" i="159"/>
  <c r="B14" i="159"/>
  <c r="I18" i="159" s="1"/>
  <c r="E3" i="159"/>
  <c r="E6" i="159" s="1"/>
  <c r="B17" i="161" s="1"/>
  <c r="B18" i="161"/>
  <c r="B15" i="161"/>
  <c r="B13" i="161"/>
  <c r="B12" i="161"/>
  <c r="B9" i="161"/>
  <c r="B8" i="161"/>
  <c r="B4" i="161"/>
  <c r="R15" i="159"/>
  <c r="Q15" i="159"/>
  <c r="N15" i="159"/>
  <c r="M15" i="159"/>
  <c r="L15" i="159"/>
  <c r="B53" i="158"/>
  <c r="B54" i="158"/>
  <c r="B55" i="158"/>
  <c r="Q47" i="157"/>
  <c r="S47" i="157" s="1" a="1"/>
  <c r="S47" i="157" s="1"/>
  <c r="B52" i="158" s="1"/>
  <c r="R47" i="157"/>
  <c r="S46" i="157" a="1"/>
  <c r="S46" i="157" s="1"/>
  <c r="B51" i="158" s="1"/>
  <c r="J16" i="157"/>
  <c r="K16" i="157"/>
  <c r="L16" i="157"/>
  <c r="M16" i="157"/>
  <c r="N16" i="157"/>
  <c r="K17" i="157"/>
  <c r="L17" i="157"/>
  <c r="M17" i="157"/>
  <c r="N17" i="157"/>
  <c r="K18" i="157"/>
  <c r="S35" i="157" s="1" a="1"/>
  <c r="S35" i="157" s="1"/>
  <c r="B40" i="158" s="1"/>
  <c r="L18" i="157"/>
  <c r="M18" i="157"/>
  <c r="N18" i="157"/>
  <c r="K19" i="157"/>
  <c r="L19" i="157"/>
  <c r="M19" i="157"/>
  <c r="N19" i="157"/>
  <c r="B17" i="157"/>
  <c r="C17" i="157"/>
  <c r="J17" i="157" s="1"/>
  <c r="S28" i="157" s="1" a="1"/>
  <c r="S28" i="157" s="1"/>
  <c r="B33" i="158" s="1"/>
  <c r="B16" i="157"/>
  <c r="C16" i="157"/>
  <c r="B18" i="157"/>
  <c r="C18" i="157"/>
  <c r="J18" i="157" s="1"/>
  <c r="B19" i="157"/>
  <c r="C19" i="157"/>
  <c r="J19" i="157" s="1"/>
  <c r="C15" i="157"/>
  <c r="B15" i="157"/>
  <c r="B14" i="157"/>
  <c r="I19" i="157" s="1"/>
  <c r="E3" i="157"/>
  <c r="E6" i="157" s="1"/>
  <c r="B17" i="158" s="1"/>
  <c r="B15" i="158"/>
  <c r="B13" i="158"/>
  <c r="B12" i="158"/>
  <c r="B9" i="158"/>
  <c r="B8" i="158"/>
  <c r="B4" i="158"/>
  <c r="R46" i="157"/>
  <c r="Q46" i="157"/>
  <c r="R45" i="157"/>
  <c r="Q45" i="157"/>
  <c r="S45" i="157" s="1" a="1"/>
  <c r="S45" i="157" s="1"/>
  <c r="B50" i="158" s="1"/>
  <c r="R44" i="157"/>
  <c r="Q44" i="157"/>
  <c r="S44" i="157" s="1" a="1"/>
  <c r="S44" i="157" s="1"/>
  <c r="B49" i="158" s="1"/>
  <c r="R43" i="157"/>
  <c r="Q43" i="157"/>
  <c r="S43" i="157" s="1" a="1"/>
  <c r="S43" i="157" s="1"/>
  <c r="B48" i="158" s="1"/>
  <c r="R42" i="157"/>
  <c r="Q42" i="157"/>
  <c r="S42" i="157" s="1" a="1"/>
  <c r="S42" i="157" s="1"/>
  <c r="B47" i="158" s="1"/>
  <c r="R41" i="157"/>
  <c r="S41" i="157" s="1" a="1"/>
  <c r="S41" i="157" s="1"/>
  <c r="B46" i="158" s="1"/>
  <c r="Q41" i="157"/>
  <c r="R40" i="157"/>
  <c r="Q40" i="157"/>
  <c r="S40" i="157" s="1" a="1"/>
  <c r="S40" i="157" s="1"/>
  <c r="B45" i="158" s="1"/>
  <c r="R39" i="157"/>
  <c r="Q39" i="157"/>
  <c r="R38" i="157"/>
  <c r="Q38" i="157"/>
  <c r="S38" i="157" s="1" a="1"/>
  <c r="S38" i="157" s="1"/>
  <c r="B43" i="158" s="1"/>
  <c r="R37" i="157"/>
  <c r="Q37" i="157"/>
  <c r="S37" i="157" s="1" a="1"/>
  <c r="S37" i="157" s="1"/>
  <c r="B42" i="158" s="1"/>
  <c r="R36" i="157"/>
  <c r="Q36" i="157"/>
  <c r="S36" i="157" s="1" a="1"/>
  <c r="S36" i="157" s="1"/>
  <c r="B41" i="158" s="1"/>
  <c r="R35" i="157"/>
  <c r="Q35" i="157"/>
  <c r="R34" i="157"/>
  <c r="Q34" i="157"/>
  <c r="S34" i="157" s="1" a="1"/>
  <c r="S34" i="157" s="1"/>
  <c r="B39" i="158" s="1"/>
  <c r="R33" i="157"/>
  <c r="Q33" i="157"/>
  <c r="R32" i="157"/>
  <c r="Q32" i="157"/>
  <c r="S32" i="157" s="1" a="1"/>
  <c r="S32" i="157" s="1"/>
  <c r="B37" i="158" s="1"/>
  <c r="R31" i="157"/>
  <c r="Q31" i="157"/>
  <c r="S31" i="157" s="1" a="1"/>
  <c r="S31" i="157" s="1"/>
  <c r="B36" i="158" s="1"/>
  <c r="R30" i="157"/>
  <c r="Q30" i="157"/>
  <c r="S30" i="157" s="1" a="1"/>
  <c r="S30" i="157" s="1"/>
  <c r="B35" i="158" s="1"/>
  <c r="R29" i="157"/>
  <c r="Q29" i="157"/>
  <c r="S29" i="157" s="1" a="1"/>
  <c r="S29" i="157" s="1"/>
  <c r="B34" i="158" s="1"/>
  <c r="R28" i="157"/>
  <c r="Q28" i="157"/>
  <c r="R27" i="157"/>
  <c r="Q27" i="157"/>
  <c r="R26" i="157"/>
  <c r="Q26" i="157"/>
  <c r="S26" i="157" s="1" a="1"/>
  <c r="S26" i="157" s="1"/>
  <c r="B31" i="158" s="1"/>
  <c r="R25" i="157"/>
  <c r="Q25" i="157"/>
  <c r="S25" i="157" s="1" a="1"/>
  <c r="S25" i="157" s="1"/>
  <c r="B30" i="158" s="1"/>
  <c r="R24" i="157"/>
  <c r="Q24" i="157"/>
  <c r="S24" i="157" s="1" a="1"/>
  <c r="S24" i="157" s="1"/>
  <c r="B29" i="158" s="1"/>
  <c r="R23" i="157"/>
  <c r="Q23" i="157"/>
  <c r="R22" i="157"/>
  <c r="S22" i="157" s="1" a="1"/>
  <c r="S22" i="157" s="1"/>
  <c r="B27" i="158" s="1"/>
  <c r="Q22" i="157"/>
  <c r="R21" i="157"/>
  <c r="Q21" i="157"/>
  <c r="R20" i="157"/>
  <c r="Q20" i="157"/>
  <c r="C20" i="157"/>
  <c r="B20" i="157"/>
  <c r="R19" i="157"/>
  <c r="Q19" i="157"/>
  <c r="R18" i="157"/>
  <c r="Q18" i="157"/>
  <c r="S18" i="157" s="1" a="1"/>
  <c r="S18" i="157" s="1"/>
  <c r="B23" i="158" s="1"/>
  <c r="R17" i="157"/>
  <c r="Q17" i="157"/>
  <c r="R16" i="157"/>
  <c r="Q16" i="157"/>
  <c r="S16" i="157" s="1" a="1"/>
  <c r="S16" i="157" s="1"/>
  <c r="B21" i="158" s="1"/>
  <c r="R15" i="157"/>
  <c r="Q15" i="157"/>
  <c r="N15" i="157"/>
  <c r="S20" i="157" s="1" a="1"/>
  <c r="S20" i="157" s="1"/>
  <c r="B25" i="158" s="1"/>
  <c r="M15" i="157"/>
  <c r="L15" i="157"/>
  <c r="K15" i="157"/>
  <c r="J15" i="157"/>
  <c r="E7" i="157"/>
  <c r="B18" i="158" s="1"/>
  <c r="B48" i="156"/>
  <c r="B47" i="156"/>
  <c r="B46" i="156"/>
  <c r="B45" i="156"/>
  <c r="B44" i="156"/>
  <c r="B43" i="156"/>
  <c r="B42" i="156"/>
  <c r="B41" i="156"/>
  <c r="B40" i="156"/>
  <c r="B39" i="156"/>
  <c r="B38" i="156"/>
  <c r="B37" i="156"/>
  <c r="B36" i="156"/>
  <c r="B35" i="156"/>
  <c r="B34" i="156"/>
  <c r="B33" i="156"/>
  <c r="B32" i="156"/>
  <c r="B31" i="156"/>
  <c r="B30" i="156"/>
  <c r="B29" i="156"/>
  <c r="B28" i="156"/>
  <c r="B27" i="156"/>
  <c r="B26" i="156"/>
  <c r="B25" i="156"/>
  <c r="B24" i="156"/>
  <c r="B23" i="156"/>
  <c r="B22" i="156"/>
  <c r="B21" i="156"/>
  <c r="B19" i="156"/>
  <c r="B18" i="156"/>
  <c r="B125" i="156"/>
  <c r="B124" i="156"/>
  <c r="B123" i="156"/>
  <c r="B122" i="156"/>
  <c r="B121" i="156"/>
  <c r="B120" i="156"/>
  <c r="B119" i="156"/>
  <c r="B118" i="156"/>
  <c r="B117" i="156"/>
  <c r="B116" i="156"/>
  <c r="B115" i="156"/>
  <c r="B114" i="156"/>
  <c r="B113" i="156"/>
  <c r="B112" i="156"/>
  <c r="B111" i="156"/>
  <c r="B110" i="156"/>
  <c r="B109" i="156"/>
  <c r="B108" i="156"/>
  <c r="B107" i="156"/>
  <c r="B106" i="156"/>
  <c r="B105" i="156"/>
  <c r="B104" i="156"/>
  <c r="B103" i="156"/>
  <c r="B102" i="156"/>
  <c r="B101" i="156"/>
  <c r="B100" i="156"/>
  <c r="B99" i="156"/>
  <c r="B98" i="156"/>
  <c r="B97" i="156"/>
  <c r="B96" i="156"/>
  <c r="B95" i="156"/>
  <c r="B93" i="156"/>
  <c r="B92" i="156"/>
  <c r="B88" i="156"/>
  <c r="B87" i="156"/>
  <c r="B86" i="156"/>
  <c r="B85" i="156"/>
  <c r="B84" i="156"/>
  <c r="B83" i="156"/>
  <c r="B82" i="156"/>
  <c r="B81" i="156"/>
  <c r="B80" i="156"/>
  <c r="B79" i="156"/>
  <c r="B78" i="156"/>
  <c r="B77" i="156"/>
  <c r="B76" i="156"/>
  <c r="B75" i="156"/>
  <c r="B74" i="156"/>
  <c r="B73" i="156"/>
  <c r="B72" i="156"/>
  <c r="B71" i="156"/>
  <c r="B70" i="156"/>
  <c r="B69" i="156"/>
  <c r="B68" i="156"/>
  <c r="B67" i="156"/>
  <c r="B66" i="156"/>
  <c r="B65" i="156"/>
  <c r="B64" i="156"/>
  <c r="B63" i="156"/>
  <c r="B62" i="156"/>
  <c r="B61" i="156"/>
  <c r="B60" i="156"/>
  <c r="B59" i="156"/>
  <c r="B58" i="156"/>
  <c r="B57" i="156"/>
  <c r="B56" i="156"/>
  <c r="B55" i="156"/>
  <c r="B54" i="156"/>
  <c r="B53" i="156"/>
  <c r="B51" i="156"/>
  <c r="B50" i="156"/>
  <c r="B15" i="156"/>
  <c r="B14" i="156"/>
  <c r="B13" i="156"/>
  <c r="B12" i="156"/>
  <c r="B9" i="156"/>
  <c r="B8" i="156"/>
  <c r="B4" i="156"/>
  <c r="B52" i="155"/>
  <c r="B53" i="155"/>
  <c r="B54" i="155"/>
  <c r="B55" i="155"/>
  <c r="Q19" i="154"/>
  <c r="S19" i="154" s="1" a="1"/>
  <c r="S19" i="154" s="1"/>
  <c r="B24" i="155" s="1"/>
  <c r="R19" i="154"/>
  <c r="Q20" i="154"/>
  <c r="R20" i="154"/>
  <c r="Q21" i="154"/>
  <c r="S21" i="154" s="1" a="1"/>
  <c r="S21" i="154" s="1"/>
  <c r="B26" i="155" s="1"/>
  <c r="R21" i="154"/>
  <c r="Q22" i="154"/>
  <c r="R22" i="154"/>
  <c r="Q23" i="154"/>
  <c r="R23" i="154"/>
  <c r="Q24" i="154"/>
  <c r="S24" i="154" s="1" a="1"/>
  <c r="S24" i="154" s="1"/>
  <c r="B29" i="155" s="1"/>
  <c r="R24" i="154"/>
  <c r="Q25" i="154"/>
  <c r="S25" i="154" s="1" a="1"/>
  <c r="S25" i="154" s="1"/>
  <c r="B30" i="155" s="1"/>
  <c r="R25" i="154"/>
  <c r="Q26" i="154"/>
  <c r="R26" i="154"/>
  <c r="Q27" i="154"/>
  <c r="R27" i="154"/>
  <c r="S27" i="154" s="1" a="1"/>
  <c r="S27" i="154" s="1"/>
  <c r="B32" i="155" s="1"/>
  <c r="Q28" i="154"/>
  <c r="R28" i="154"/>
  <c r="Q29" i="154"/>
  <c r="R29" i="154"/>
  <c r="Q30" i="154"/>
  <c r="R30" i="154"/>
  <c r="Q31" i="154"/>
  <c r="R31" i="154"/>
  <c r="S31" i="154" s="1" a="1"/>
  <c r="S31" i="154" s="1"/>
  <c r="B36" i="155" s="1"/>
  <c r="Q32" i="154"/>
  <c r="R32" i="154"/>
  <c r="Q33" i="154"/>
  <c r="R33" i="154"/>
  <c r="Q34" i="154"/>
  <c r="R34" i="154"/>
  <c r="Q35" i="154"/>
  <c r="R35" i="154"/>
  <c r="Q36" i="154"/>
  <c r="R36" i="154"/>
  <c r="Q37" i="154"/>
  <c r="R37" i="154"/>
  <c r="Q38" i="154"/>
  <c r="R38" i="154"/>
  <c r="Q39" i="154"/>
  <c r="R39" i="154"/>
  <c r="Q40" i="154"/>
  <c r="R40" i="154"/>
  <c r="Q41" i="154"/>
  <c r="R41" i="154"/>
  <c r="Q42" i="154"/>
  <c r="R42" i="154"/>
  <c r="Q43" i="154"/>
  <c r="R43" i="154"/>
  <c r="S43" i="154" s="1" a="1"/>
  <c r="S43" i="154" s="1"/>
  <c r="B48" i="155" s="1"/>
  <c r="Q44" i="154"/>
  <c r="S44" i="154" s="1" a="1"/>
  <c r="S44" i="154" s="1"/>
  <c r="B49" i="155" s="1"/>
  <c r="R44" i="154"/>
  <c r="Q45" i="154"/>
  <c r="S45" i="154" s="1" a="1"/>
  <c r="S45" i="154" s="1"/>
  <c r="B50" i="155" s="1"/>
  <c r="R45" i="154"/>
  <c r="Q46" i="154"/>
  <c r="R46" i="154"/>
  <c r="Q16" i="154"/>
  <c r="R16" i="154"/>
  <c r="Q17" i="154"/>
  <c r="R17" i="154"/>
  <c r="Q18" i="154"/>
  <c r="S18" i="154" s="1" a="1"/>
  <c r="S18" i="154" s="1"/>
  <c r="B23" i="155" s="1"/>
  <c r="R18" i="154"/>
  <c r="I16" i="154"/>
  <c r="K16" i="154"/>
  <c r="S23" i="154" s="1" a="1"/>
  <c r="S23" i="154" s="1"/>
  <c r="B28" i="155" s="1"/>
  <c r="L16" i="154"/>
  <c r="M16" i="154"/>
  <c r="N16" i="154"/>
  <c r="I17" i="154"/>
  <c r="K17" i="154"/>
  <c r="L17" i="154"/>
  <c r="M17" i="154"/>
  <c r="N17" i="154"/>
  <c r="K18" i="154"/>
  <c r="L18" i="154"/>
  <c r="M18" i="154"/>
  <c r="S37" i="154" s="1" a="1"/>
  <c r="S37" i="154" s="1"/>
  <c r="B42" i="155" s="1"/>
  <c r="N18" i="154"/>
  <c r="K19" i="154"/>
  <c r="L19" i="154"/>
  <c r="M19" i="154"/>
  <c r="N19" i="154"/>
  <c r="N20" i="154"/>
  <c r="N21" i="154"/>
  <c r="C16" i="154"/>
  <c r="J16" i="154" s="1"/>
  <c r="B16" i="154"/>
  <c r="B20" i="154"/>
  <c r="C20" i="154"/>
  <c r="B17" i="154"/>
  <c r="C17" i="154"/>
  <c r="J17" i="154" s="1"/>
  <c r="B18" i="154"/>
  <c r="C18" i="154"/>
  <c r="J18" i="154" s="1"/>
  <c r="B19" i="154"/>
  <c r="C19" i="154"/>
  <c r="J19" i="154" s="1"/>
  <c r="C15" i="154"/>
  <c r="B15" i="154"/>
  <c r="B14" i="154"/>
  <c r="I19" i="154" s="1"/>
  <c r="S39" i="154" s="1" a="1"/>
  <c r="S39" i="154" s="1"/>
  <c r="B44" i="155" s="1"/>
  <c r="E7" i="154"/>
  <c r="E3" i="154"/>
  <c r="B14" i="155" s="1"/>
  <c r="B18" i="155"/>
  <c r="B15" i="155"/>
  <c r="B13" i="155"/>
  <c r="B12" i="155"/>
  <c r="B9" i="155"/>
  <c r="B8" i="155"/>
  <c r="B4" i="155"/>
  <c r="R15" i="154"/>
  <c r="Q15" i="154"/>
  <c r="N15" i="154"/>
  <c r="M15" i="154"/>
  <c r="L15" i="154"/>
  <c r="K15" i="154"/>
  <c r="J15" i="154"/>
  <c r="S29" i="153" a="1"/>
  <c r="S29" i="153" s="1"/>
  <c r="S35" i="153" a="1"/>
  <c r="S35" i="153" s="1"/>
  <c r="Q21" i="153"/>
  <c r="R21" i="153"/>
  <c r="Q22" i="153"/>
  <c r="R22" i="153"/>
  <c r="Q23" i="153"/>
  <c r="S23" i="153" s="1" a="1"/>
  <c r="S23" i="153" s="1"/>
  <c r="R23" i="153"/>
  <c r="Q24" i="153"/>
  <c r="S24" i="153" s="1" a="1"/>
  <c r="S24" i="153" s="1"/>
  <c r="R24" i="153"/>
  <c r="Q25" i="153"/>
  <c r="S25" i="153" s="1" a="1"/>
  <c r="S25" i="153" s="1"/>
  <c r="R25" i="153"/>
  <c r="Q26" i="153"/>
  <c r="S26" i="153" s="1" a="1"/>
  <c r="S26" i="153" s="1"/>
  <c r="R26" i="153"/>
  <c r="Q27" i="153"/>
  <c r="R27" i="153"/>
  <c r="Q28" i="153"/>
  <c r="S28" i="153" s="1" a="1"/>
  <c r="S28" i="153" s="1"/>
  <c r="R28" i="153"/>
  <c r="Q29" i="153"/>
  <c r="R29" i="153"/>
  <c r="Q30" i="153"/>
  <c r="S30" i="153" s="1" a="1"/>
  <c r="S30" i="153" s="1"/>
  <c r="R30" i="153"/>
  <c r="Q31" i="153"/>
  <c r="S31" i="153" s="1" a="1"/>
  <c r="S31" i="153" s="1"/>
  <c r="R31" i="153"/>
  <c r="Q32" i="153"/>
  <c r="S32" i="153" s="1" a="1"/>
  <c r="S32" i="153" s="1"/>
  <c r="R32" i="153"/>
  <c r="Q33" i="153"/>
  <c r="S33" i="153" s="1" a="1"/>
  <c r="S33" i="153" s="1"/>
  <c r="R33" i="153"/>
  <c r="Q34" i="153"/>
  <c r="S34" i="153" s="1" a="1"/>
  <c r="S34" i="153" s="1"/>
  <c r="R34" i="153"/>
  <c r="Q35" i="153"/>
  <c r="R35" i="153"/>
  <c r="Q36" i="153"/>
  <c r="S36" i="153" s="1" a="1"/>
  <c r="S36" i="153" s="1"/>
  <c r="R36" i="153"/>
  <c r="Q37" i="153"/>
  <c r="S37" i="153" s="1" a="1"/>
  <c r="S37" i="153" s="1"/>
  <c r="R37" i="153"/>
  <c r="Q38" i="153"/>
  <c r="S38" i="153" s="1" a="1"/>
  <c r="S38" i="153" s="1"/>
  <c r="R38" i="153"/>
  <c r="Q39" i="153"/>
  <c r="S39" i="153" s="1" a="1"/>
  <c r="S39" i="153" s="1"/>
  <c r="R39" i="153"/>
  <c r="Q17" i="153"/>
  <c r="S17" i="153" s="1" a="1"/>
  <c r="S17" i="153" s="1"/>
  <c r="R17" i="153"/>
  <c r="Q18" i="153"/>
  <c r="R18" i="153"/>
  <c r="S18" i="153" s="1" a="1"/>
  <c r="S18" i="153" s="1"/>
  <c r="Q19" i="153"/>
  <c r="S19" i="153" s="1" a="1"/>
  <c r="S19" i="153" s="1"/>
  <c r="R19" i="153"/>
  <c r="Q20" i="153"/>
  <c r="S20" i="153" s="1" a="1"/>
  <c r="S20" i="153" s="1"/>
  <c r="R20" i="153"/>
  <c r="Q16" i="153"/>
  <c r="R16" i="153"/>
  <c r="S16" i="153" s="1" a="1"/>
  <c r="S16" i="153" s="1"/>
  <c r="J16" i="153"/>
  <c r="S22" i="153" s="1" a="1"/>
  <c r="S22" i="153" s="1"/>
  <c r="K16" i="153"/>
  <c r="L16" i="153"/>
  <c r="M16" i="153"/>
  <c r="N16" i="153"/>
  <c r="J17" i="153"/>
  <c r="K17" i="153"/>
  <c r="L17" i="153"/>
  <c r="M17" i="153"/>
  <c r="N17" i="153"/>
  <c r="K18" i="153"/>
  <c r="L18" i="153"/>
  <c r="M18" i="153"/>
  <c r="N18" i="153"/>
  <c r="S39" i="151" a="1"/>
  <c r="S39" i="151" s="1"/>
  <c r="S24" i="151" a="1"/>
  <c r="S24" i="151" s="1"/>
  <c r="S31" i="151" a="1"/>
  <c r="S31" i="151" s="1"/>
  <c r="Q34" i="151"/>
  <c r="R34" i="151"/>
  <c r="Q35" i="151"/>
  <c r="S35" i="151" s="1" a="1"/>
  <c r="S35" i="151" s="1"/>
  <c r="R35" i="151"/>
  <c r="Q36" i="151"/>
  <c r="S36" i="151" s="1" a="1"/>
  <c r="S36" i="151" s="1"/>
  <c r="R36" i="151"/>
  <c r="Q37" i="151"/>
  <c r="S37" i="151" s="1" a="1"/>
  <c r="S37" i="151" s="1"/>
  <c r="R37" i="151"/>
  <c r="Q38" i="151"/>
  <c r="R38" i="151"/>
  <c r="Q39" i="151"/>
  <c r="R39" i="151"/>
  <c r="Q40" i="151"/>
  <c r="S40" i="151" s="1" a="1"/>
  <c r="S40" i="151" s="1"/>
  <c r="R40" i="151"/>
  <c r="Q41" i="151"/>
  <c r="S41" i="151" s="1" a="1"/>
  <c r="S41" i="151" s="1"/>
  <c r="R41" i="151"/>
  <c r="Q20" i="151"/>
  <c r="R20" i="151"/>
  <c r="Q21" i="151"/>
  <c r="R21" i="151"/>
  <c r="S21" i="151" s="1" a="1"/>
  <c r="S21" i="151" s="1"/>
  <c r="Q22" i="151"/>
  <c r="R22" i="151"/>
  <c r="Q23" i="151"/>
  <c r="S23" i="151" s="1" a="1"/>
  <c r="S23" i="151" s="1"/>
  <c r="R23" i="151"/>
  <c r="Q24" i="151"/>
  <c r="R24" i="151"/>
  <c r="Q25" i="151"/>
  <c r="S25" i="151" s="1" a="1"/>
  <c r="S25" i="151" s="1"/>
  <c r="R25" i="151"/>
  <c r="Q26" i="151"/>
  <c r="R26" i="151"/>
  <c r="Q27" i="151"/>
  <c r="R27" i="151"/>
  <c r="Q28" i="151"/>
  <c r="S28" i="151" s="1" a="1"/>
  <c r="S28" i="151" s="1"/>
  <c r="R28" i="151"/>
  <c r="Q29" i="151"/>
  <c r="S29" i="151" s="1" a="1"/>
  <c r="S29" i="151" s="1"/>
  <c r="R29" i="151"/>
  <c r="Q30" i="151"/>
  <c r="S30" i="151" s="1" a="1"/>
  <c r="S30" i="151" s="1"/>
  <c r="R30" i="151"/>
  <c r="Q31" i="151"/>
  <c r="R31" i="151"/>
  <c r="Q32" i="151"/>
  <c r="S32" i="151" s="1" a="1"/>
  <c r="S32" i="151" s="1"/>
  <c r="R32" i="151"/>
  <c r="Q33" i="151"/>
  <c r="R33" i="151"/>
  <c r="Q19" i="151"/>
  <c r="S19" i="151" s="1" a="1"/>
  <c r="S19" i="151" s="1"/>
  <c r="R19" i="151"/>
  <c r="Q18" i="151"/>
  <c r="R18" i="151"/>
  <c r="S16" i="151" a="1"/>
  <c r="S16" i="151" s="1"/>
  <c r="Q15" i="151"/>
  <c r="R15" i="151"/>
  <c r="R16" i="151"/>
  <c r="Q16" i="151"/>
  <c r="K16" i="151"/>
  <c r="L16" i="151"/>
  <c r="M16" i="151"/>
  <c r="N16" i="151"/>
  <c r="K17" i="151"/>
  <c r="L17" i="151"/>
  <c r="M17" i="151"/>
  <c r="N17" i="151"/>
  <c r="J18" i="151"/>
  <c r="K18" i="151"/>
  <c r="L18" i="151"/>
  <c r="M18" i="151"/>
  <c r="N18" i="151"/>
  <c r="K19" i="151"/>
  <c r="L19" i="151"/>
  <c r="M19" i="151"/>
  <c r="N19" i="151"/>
  <c r="Q44" i="148"/>
  <c r="R44" i="148"/>
  <c r="S44" i="148" a="1"/>
  <c r="S44" i="148" s="1"/>
  <c r="Q45" i="148"/>
  <c r="S45" i="148" s="1" a="1"/>
  <c r="S45" i="148" s="1"/>
  <c r="R45" i="148"/>
  <c r="Q46" i="148"/>
  <c r="R46" i="148"/>
  <c r="S46" i="148" a="1"/>
  <c r="S46" i="148" s="1"/>
  <c r="Q47" i="148"/>
  <c r="S47" i="148" s="1" a="1"/>
  <c r="S47" i="148" s="1"/>
  <c r="R47" i="148"/>
  <c r="Q48" i="148"/>
  <c r="R48" i="148"/>
  <c r="S48" i="148" a="1"/>
  <c r="S48" i="148" s="1"/>
  <c r="Q49" i="148"/>
  <c r="S49" i="148" s="1" a="1"/>
  <c r="S49" i="148" s="1"/>
  <c r="R49" i="148"/>
  <c r="Q50" i="148"/>
  <c r="R50" i="148"/>
  <c r="S50" i="148" a="1"/>
  <c r="S50" i="148" s="1"/>
  <c r="Q51" i="148"/>
  <c r="S51" i="148" s="1" a="1"/>
  <c r="S51" i="148" s="1"/>
  <c r="R51" i="148"/>
  <c r="Q52" i="148"/>
  <c r="R52" i="148"/>
  <c r="S52" i="148" a="1"/>
  <c r="S52" i="148" s="1"/>
  <c r="S23" i="148" a="1"/>
  <c r="S23" i="148" s="1"/>
  <c r="S26" i="148" a="1"/>
  <c r="S26" i="148" s="1"/>
  <c r="S28" i="148" a="1"/>
  <c r="S28" i="148" s="1"/>
  <c r="S29" i="148" a="1"/>
  <c r="S29" i="148" s="1"/>
  <c r="S34" i="148" a="1"/>
  <c r="S34" i="148" s="1"/>
  <c r="Q16" i="148"/>
  <c r="R16" i="148"/>
  <c r="S16" i="148" s="1" a="1"/>
  <c r="S16" i="148" s="1"/>
  <c r="Q17" i="148"/>
  <c r="R17" i="148"/>
  <c r="Q18" i="148"/>
  <c r="S18" i="148" s="1" a="1"/>
  <c r="S18" i="148" s="1"/>
  <c r="R18" i="148"/>
  <c r="Q19" i="148"/>
  <c r="S19" i="148" s="1" a="1"/>
  <c r="S19" i="148" s="1"/>
  <c r="R19" i="148"/>
  <c r="Q20" i="148"/>
  <c r="S20" i="148" s="1" a="1"/>
  <c r="S20" i="148" s="1"/>
  <c r="R20" i="148"/>
  <c r="Q21" i="148"/>
  <c r="S21" i="148" s="1" a="1"/>
  <c r="S21" i="148" s="1"/>
  <c r="R21" i="148"/>
  <c r="Q22" i="148"/>
  <c r="R22" i="148"/>
  <c r="Q23" i="148"/>
  <c r="R23" i="148"/>
  <c r="Q24" i="148"/>
  <c r="S24" i="148" s="1" a="1"/>
  <c r="S24" i="148" s="1"/>
  <c r="R24" i="148"/>
  <c r="Q25" i="148"/>
  <c r="S25" i="148" s="1" a="1"/>
  <c r="S25" i="148" s="1"/>
  <c r="R25" i="148"/>
  <c r="Q26" i="148"/>
  <c r="R26" i="148"/>
  <c r="Q27" i="148"/>
  <c r="R27" i="148"/>
  <c r="S27" i="148" s="1" a="1"/>
  <c r="S27" i="148" s="1"/>
  <c r="Q28" i="148"/>
  <c r="R28" i="148"/>
  <c r="Q29" i="148"/>
  <c r="R29" i="148"/>
  <c r="Q30" i="148"/>
  <c r="S30" i="148" s="1" a="1"/>
  <c r="S30" i="148" s="1"/>
  <c r="R30" i="148"/>
  <c r="Q31" i="148"/>
  <c r="R31" i="148"/>
  <c r="S31" i="148" s="1" a="1"/>
  <c r="S31" i="148" s="1"/>
  <c r="Q32" i="148"/>
  <c r="S32" i="148" s="1" a="1"/>
  <c r="S32" i="148" s="1"/>
  <c r="R32" i="148"/>
  <c r="Q33" i="148"/>
  <c r="R33" i="148"/>
  <c r="Q34" i="148"/>
  <c r="R34" i="148"/>
  <c r="Q35" i="148"/>
  <c r="S35" i="148" s="1" a="1"/>
  <c r="S35" i="148" s="1"/>
  <c r="R35" i="148"/>
  <c r="Q36" i="148"/>
  <c r="S36" i="148" s="1" a="1"/>
  <c r="S36" i="148" s="1"/>
  <c r="R36" i="148"/>
  <c r="Q37" i="148"/>
  <c r="S37" i="148" s="1" a="1"/>
  <c r="S37" i="148" s="1"/>
  <c r="R37" i="148"/>
  <c r="Q38" i="148"/>
  <c r="S38" i="148" s="1" a="1"/>
  <c r="S38" i="148" s="1"/>
  <c r="R38" i="148"/>
  <c r="Q39" i="148"/>
  <c r="R39" i="148"/>
  <c r="Q40" i="148"/>
  <c r="R40" i="148"/>
  <c r="Q41" i="148"/>
  <c r="S41" i="148" s="1" a="1"/>
  <c r="S41" i="148" s="1"/>
  <c r="R41" i="148"/>
  <c r="Q42" i="148"/>
  <c r="S42" i="148" s="1" a="1"/>
  <c r="S42" i="148" s="1"/>
  <c r="R42" i="148"/>
  <c r="Q43" i="148"/>
  <c r="S43" i="148" s="1" a="1"/>
  <c r="S43" i="148" s="1"/>
  <c r="R43" i="148"/>
  <c r="Q15" i="148"/>
  <c r="R15" i="148"/>
  <c r="C18" i="153"/>
  <c r="J18" i="153" s="1"/>
  <c r="B18" i="153"/>
  <c r="C17" i="153"/>
  <c r="B17" i="153"/>
  <c r="I17" i="153" s="1"/>
  <c r="C16" i="153"/>
  <c r="B16" i="153"/>
  <c r="R15" i="153"/>
  <c r="Q15" i="153"/>
  <c r="N15" i="153"/>
  <c r="M15" i="153"/>
  <c r="L15" i="153"/>
  <c r="K15" i="153"/>
  <c r="C15" i="153"/>
  <c r="J15" i="153" s="1"/>
  <c r="B15" i="153"/>
  <c r="I15" i="153" s="1"/>
  <c r="B14" i="153"/>
  <c r="I18" i="153" s="1"/>
  <c r="C19" i="151"/>
  <c r="J19" i="151" s="1"/>
  <c r="B19" i="151"/>
  <c r="C18" i="151"/>
  <c r="B18" i="151"/>
  <c r="R17" i="151"/>
  <c r="Q17" i="151"/>
  <c r="S17" i="151" s="1" a="1"/>
  <c r="S17" i="151" s="1"/>
  <c r="C17" i="151"/>
  <c r="J17" i="151" s="1"/>
  <c r="B17" i="151"/>
  <c r="C16" i="151"/>
  <c r="J16" i="151" s="1"/>
  <c r="B16" i="151"/>
  <c r="N15" i="151"/>
  <c r="M15" i="151"/>
  <c r="L15" i="151"/>
  <c r="K15" i="151"/>
  <c r="J15" i="151"/>
  <c r="B14" i="151"/>
  <c r="I17" i="151" s="1"/>
  <c r="J15" i="148"/>
  <c r="K15" i="148"/>
  <c r="L15" i="148"/>
  <c r="M15" i="148"/>
  <c r="N15" i="148"/>
  <c r="K17" i="148"/>
  <c r="L17" i="148"/>
  <c r="M17" i="148"/>
  <c r="N17" i="148"/>
  <c r="J18" i="148"/>
  <c r="K18" i="148"/>
  <c r="L18" i="148"/>
  <c r="M18" i="148"/>
  <c r="N18" i="148"/>
  <c r="K19" i="148"/>
  <c r="L19" i="148"/>
  <c r="M19" i="148"/>
  <c r="N19" i="148"/>
  <c r="B18" i="148"/>
  <c r="C18" i="148"/>
  <c r="B17" i="148"/>
  <c r="C17" i="148"/>
  <c r="J17" i="148" s="1"/>
  <c r="B19" i="148"/>
  <c r="C19" i="148"/>
  <c r="J19" i="148" s="1"/>
  <c r="S40" i="148" s="1" a="1"/>
  <c r="S40" i="148" s="1"/>
  <c r="C16" i="148"/>
  <c r="B16" i="148"/>
  <c r="B14" i="148"/>
  <c r="I17" i="148" s="1"/>
  <c r="N16" i="148"/>
  <c r="M16" i="148"/>
  <c r="L16" i="148"/>
  <c r="K16" i="148"/>
  <c r="J16" i="148"/>
  <c r="S22" i="148" s="1" a="1"/>
  <c r="S22" i="148" s="1"/>
  <c r="I16" i="148"/>
  <c r="B26" i="147"/>
  <c r="B27" i="147"/>
  <c r="B58" i="147"/>
  <c r="B59" i="147"/>
  <c r="Q16" i="146"/>
  <c r="S16" i="146" s="1" a="1"/>
  <c r="S16" i="146" s="1"/>
  <c r="B21" i="147" s="1"/>
  <c r="R16" i="146"/>
  <c r="Q17" i="146"/>
  <c r="S17" i="146" s="1" a="1"/>
  <c r="S17" i="146" s="1"/>
  <c r="B22" i="147" s="1"/>
  <c r="R17" i="146"/>
  <c r="Q18" i="146"/>
  <c r="S18" i="146" s="1" a="1"/>
  <c r="S18" i="146" s="1"/>
  <c r="B23" i="147" s="1"/>
  <c r="R18" i="146"/>
  <c r="Q19" i="146"/>
  <c r="S19" i="146" s="1" a="1"/>
  <c r="S19" i="146" s="1"/>
  <c r="B24" i="147" s="1"/>
  <c r="R19" i="146"/>
  <c r="Q20" i="146"/>
  <c r="S20" i="146" s="1" a="1"/>
  <c r="S20" i="146" s="1"/>
  <c r="B25" i="147" s="1"/>
  <c r="R20" i="146"/>
  <c r="Q21" i="146"/>
  <c r="S21" i="146" s="1" a="1"/>
  <c r="S21" i="146" s="1"/>
  <c r="R21" i="146"/>
  <c r="Q22" i="146"/>
  <c r="S22" i="146" s="1" a="1"/>
  <c r="S22" i="146" s="1"/>
  <c r="R22" i="146"/>
  <c r="Q23" i="146"/>
  <c r="S23" i="146" s="1" a="1"/>
  <c r="S23" i="146" s="1"/>
  <c r="B28" i="147" s="1"/>
  <c r="R23" i="146"/>
  <c r="Q24" i="146"/>
  <c r="S24" i="146" s="1" a="1"/>
  <c r="S24" i="146" s="1"/>
  <c r="B29" i="147" s="1"/>
  <c r="R24" i="146"/>
  <c r="Q25" i="146"/>
  <c r="S25" i="146" s="1" a="1"/>
  <c r="S25" i="146" s="1"/>
  <c r="B30" i="147" s="1"/>
  <c r="R25" i="146"/>
  <c r="Q26" i="146"/>
  <c r="S26" i="146" s="1" a="1"/>
  <c r="S26" i="146" s="1"/>
  <c r="B31" i="147" s="1"/>
  <c r="R26" i="146"/>
  <c r="Q27" i="146"/>
  <c r="S27" i="146" s="1" a="1"/>
  <c r="S27" i="146" s="1"/>
  <c r="B32" i="147" s="1"/>
  <c r="R27" i="146"/>
  <c r="Q28" i="146"/>
  <c r="S28" i="146" s="1" a="1"/>
  <c r="S28" i="146" s="1"/>
  <c r="B33" i="147" s="1"/>
  <c r="R28" i="146"/>
  <c r="Q29" i="146"/>
  <c r="S29" i="146" s="1" a="1"/>
  <c r="S29" i="146" s="1"/>
  <c r="B34" i="147" s="1"/>
  <c r="R29" i="146"/>
  <c r="Q30" i="146"/>
  <c r="S30" i="146" s="1" a="1"/>
  <c r="S30" i="146" s="1"/>
  <c r="B35" i="147" s="1"/>
  <c r="R30" i="146"/>
  <c r="Q31" i="146"/>
  <c r="S31" i="146" s="1" a="1"/>
  <c r="S31" i="146" s="1"/>
  <c r="B36" i="147" s="1"/>
  <c r="R31" i="146"/>
  <c r="Q32" i="146"/>
  <c r="S32" i="146" s="1" a="1"/>
  <c r="S32" i="146" s="1"/>
  <c r="B37" i="147" s="1"/>
  <c r="R32" i="146"/>
  <c r="Q33" i="146"/>
  <c r="S33" i="146" s="1" a="1"/>
  <c r="S33" i="146" s="1"/>
  <c r="B38" i="147" s="1"/>
  <c r="R33" i="146"/>
  <c r="Q34" i="146"/>
  <c r="S34" i="146" s="1" a="1"/>
  <c r="S34" i="146" s="1"/>
  <c r="B39" i="147" s="1"/>
  <c r="R34" i="146"/>
  <c r="Q35" i="146"/>
  <c r="S35" i="146" s="1" a="1"/>
  <c r="S35" i="146" s="1"/>
  <c r="B40" i="147" s="1"/>
  <c r="R35" i="146"/>
  <c r="Q36" i="146"/>
  <c r="S36" i="146" s="1" a="1"/>
  <c r="S36" i="146" s="1"/>
  <c r="B41" i="147" s="1"/>
  <c r="R36" i="146"/>
  <c r="Q37" i="146"/>
  <c r="S37" i="146" s="1" a="1"/>
  <c r="S37" i="146" s="1"/>
  <c r="B42" i="147" s="1"/>
  <c r="R37" i="146"/>
  <c r="Q38" i="146"/>
  <c r="S38" i="146" s="1" a="1"/>
  <c r="S38" i="146" s="1"/>
  <c r="B43" i="147" s="1"/>
  <c r="R38" i="146"/>
  <c r="Q39" i="146"/>
  <c r="S39" i="146" s="1" a="1"/>
  <c r="S39" i="146" s="1"/>
  <c r="B44" i="147" s="1"/>
  <c r="R39" i="146"/>
  <c r="Q40" i="146"/>
  <c r="S40" i="146" s="1" a="1"/>
  <c r="S40" i="146" s="1"/>
  <c r="B45" i="147" s="1"/>
  <c r="R40" i="146"/>
  <c r="Q41" i="146"/>
  <c r="S41" i="146" s="1" a="1"/>
  <c r="S41" i="146" s="1"/>
  <c r="B46" i="147" s="1"/>
  <c r="R41" i="146"/>
  <c r="Q42" i="146"/>
  <c r="S42" i="146" s="1" a="1"/>
  <c r="S42" i="146" s="1"/>
  <c r="B47" i="147" s="1"/>
  <c r="R42" i="146"/>
  <c r="Q43" i="146"/>
  <c r="S43" i="146" s="1" a="1"/>
  <c r="S43" i="146" s="1"/>
  <c r="B48" i="147" s="1"/>
  <c r="R43" i="146"/>
  <c r="Q44" i="146"/>
  <c r="S44" i="146" s="1" a="1"/>
  <c r="S44" i="146" s="1"/>
  <c r="B49" i="147" s="1"/>
  <c r="R44" i="146"/>
  <c r="Q45" i="146"/>
  <c r="S45" i="146" s="1" a="1"/>
  <c r="S45" i="146" s="1"/>
  <c r="B50" i="147" s="1"/>
  <c r="R45" i="146"/>
  <c r="Q46" i="146"/>
  <c r="S46" i="146" s="1" a="1"/>
  <c r="S46" i="146" s="1"/>
  <c r="B51" i="147" s="1"/>
  <c r="R46" i="146"/>
  <c r="Q47" i="146"/>
  <c r="S47" i="146" s="1" a="1"/>
  <c r="S47" i="146" s="1"/>
  <c r="B52" i="147" s="1"/>
  <c r="R47" i="146"/>
  <c r="Q48" i="146"/>
  <c r="S48" i="146" s="1" a="1"/>
  <c r="S48" i="146" s="1"/>
  <c r="B53" i="147" s="1"/>
  <c r="R48" i="146"/>
  <c r="Q49" i="146"/>
  <c r="S49" i="146" s="1" a="1"/>
  <c r="S49" i="146" s="1"/>
  <c r="B54" i="147" s="1"/>
  <c r="R49" i="146"/>
  <c r="Q50" i="146"/>
  <c r="S50" i="146" s="1" a="1"/>
  <c r="S50" i="146" s="1"/>
  <c r="B55" i="147" s="1"/>
  <c r="R50" i="146"/>
  <c r="Q51" i="146"/>
  <c r="S51" i="146" s="1" a="1"/>
  <c r="S51" i="146" s="1"/>
  <c r="B56" i="147" s="1"/>
  <c r="R51" i="146"/>
  <c r="Q52" i="146"/>
  <c r="S52" i="146" s="1" a="1"/>
  <c r="S52" i="146" s="1"/>
  <c r="B57" i="147" s="1"/>
  <c r="R52" i="146"/>
  <c r="Q53" i="146"/>
  <c r="S53" i="146" s="1" a="1"/>
  <c r="S53" i="146" s="1"/>
  <c r="R53" i="146"/>
  <c r="Q54" i="146"/>
  <c r="S54" i="146" s="1" a="1"/>
  <c r="S54" i="146" s="1"/>
  <c r="R54" i="146"/>
  <c r="Q55" i="146"/>
  <c r="S55" i="146" s="1" a="1"/>
  <c r="S55" i="146" s="1"/>
  <c r="B60" i="147" s="1"/>
  <c r="R55" i="146"/>
  <c r="C18" i="146"/>
  <c r="B18" i="146"/>
  <c r="I18" i="146" s="1"/>
  <c r="I16" i="146"/>
  <c r="J16" i="146"/>
  <c r="L16" i="146"/>
  <c r="M16" i="146"/>
  <c r="N16" i="146"/>
  <c r="I17" i="146"/>
  <c r="J17" i="146"/>
  <c r="L17" i="146"/>
  <c r="M17" i="146"/>
  <c r="N17" i="146"/>
  <c r="J18" i="146"/>
  <c r="L18" i="146"/>
  <c r="M18" i="146"/>
  <c r="N18" i="146"/>
  <c r="C17" i="146"/>
  <c r="B16" i="146"/>
  <c r="C16" i="146"/>
  <c r="B17" i="146"/>
  <c r="C15" i="146"/>
  <c r="J15" i="146" s="1"/>
  <c r="B15" i="146"/>
  <c r="B14" i="146"/>
  <c r="B18" i="147"/>
  <c r="B17" i="147"/>
  <c r="B15" i="147"/>
  <c r="B14" i="147"/>
  <c r="B13" i="147"/>
  <c r="B12" i="147"/>
  <c r="B9" i="147"/>
  <c r="B8" i="147"/>
  <c r="B4" i="147"/>
  <c r="R190" i="146"/>
  <c r="Q190" i="146"/>
  <c r="S190" i="146" s="1" a="1"/>
  <c r="S190" i="146" s="1"/>
  <c r="R189" i="146"/>
  <c r="Q189" i="146"/>
  <c r="R188" i="146"/>
  <c r="Q188" i="146"/>
  <c r="R187" i="146"/>
  <c r="Q187" i="146"/>
  <c r="R186" i="146"/>
  <c r="Q186" i="146"/>
  <c r="S186" i="146" s="1" a="1"/>
  <c r="S186" i="146" s="1"/>
  <c r="R185" i="146"/>
  <c r="Q185" i="146"/>
  <c r="R184" i="146"/>
  <c r="Q184" i="146"/>
  <c r="S184" i="146" s="1" a="1"/>
  <c r="S184" i="146" s="1"/>
  <c r="R183" i="146"/>
  <c r="Q183" i="146"/>
  <c r="R182" i="146"/>
  <c r="Q182" i="146"/>
  <c r="S182" i="146" s="1" a="1"/>
  <c r="S182" i="146" s="1"/>
  <c r="R181" i="146"/>
  <c r="Q181" i="146"/>
  <c r="R180" i="146"/>
  <c r="Q180" i="146"/>
  <c r="R179" i="146"/>
  <c r="Q179" i="146"/>
  <c r="R178" i="146"/>
  <c r="Q178" i="146"/>
  <c r="S178" i="146" s="1" a="1"/>
  <c r="S178" i="146" s="1"/>
  <c r="R177" i="146"/>
  <c r="Q177" i="146"/>
  <c r="R176" i="146"/>
  <c r="Q176" i="146"/>
  <c r="R175" i="146"/>
  <c r="Q175" i="146"/>
  <c r="S175" i="146" s="1" a="1"/>
  <c r="S175" i="146" s="1"/>
  <c r="R174" i="146"/>
  <c r="Q174" i="146"/>
  <c r="S174" i="146" s="1" a="1"/>
  <c r="S174" i="146" s="1"/>
  <c r="R173" i="146"/>
  <c r="Q173" i="146"/>
  <c r="R172" i="146"/>
  <c r="Q172" i="146"/>
  <c r="R171" i="146"/>
  <c r="Q171" i="146"/>
  <c r="R170" i="146"/>
  <c r="Q170" i="146"/>
  <c r="S170" i="146" s="1" a="1"/>
  <c r="S170" i="146" s="1"/>
  <c r="R169" i="146"/>
  <c r="Q169" i="146"/>
  <c r="S169" i="146" s="1" a="1"/>
  <c r="S169" i="146" s="1"/>
  <c r="R168" i="146"/>
  <c r="Q168" i="146"/>
  <c r="R167" i="146"/>
  <c r="Q167" i="146"/>
  <c r="R166" i="146"/>
  <c r="Q166" i="146"/>
  <c r="R165" i="146"/>
  <c r="Q165" i="146"/>
  <c r="S165" i="146" s="1" a="1"/>
  <c r="S165" i="146" s="1"/>
  <c r="R164" i="146"/>
  <c r="Q164" i="146"/>
  <c r="R163" i="146"/>
  <c r="Q163" i="146"/>
  <c r="R162" i="146"/>
  <c r="Q162" i="146"/>
  <c r="R161" i="146"/>
  <c r="Q161" i="146"/>
  <c r="S161" i="146" s="1" a="1"/>
  <c r="S161" i="146" s="1"/>
  <c r="R160" i="146"/>
  <c r="Q160" i="146"/>
  <c r="R159" i="146"/>
  <c r="Q159" i="146"/>
  <c r="R158" i="146"/>
  <c r="Q158" i="146"/>
  <c r="R157" i="146"/>
  <c r="Q157" i="146"/>
  <c r="S157" i="146" s="1" a="1"/>
  <c r="S157" i="146" s="1"/>
  <c r="R156" i="146"/>
  <c r="Q156" i="146"/>
  <c r="R155" i="146"/>
  <c r="S155" i="146" s="1" a="1"/>
  <c r="S155" i="146" s="1"/>
  <c r="Q155" i="146"/>
  <c r="R154" i="146"/>
  <c r="Q154" i="146"/>
  <c r="R153" i="146"/>
  <c r="Q153" i="146"/>
  <c r="S153" i="146" s="1" a="1"/>
  <c r="S153" i="146" s="1"/>
  <c r="R152" i="146"/>
  <c r="Q152" i="146"/>
  <c r="R151" i="146"/>
  <c r="Q151" i="146"/>
  <c r="R150" i="146"/>
  <c r="Q150" i="146"/>
  <c r="R149" i="146"/>
  <c r="Q149" i="146"/>
  <c r="R148" i="146"/>
  <c r="Q148" i="146"/>
  <c r="R147" i="146"/>
  <c r="Q147" i="146"/>
  <c r="R146" i="146"/>
  <c r="Q146" i="146"/>
  <c r="R145" i="146"/>
  <c r="Q145" i="146"/>
  <c r="R144" i="146"/>
  <c r="Q144" i="146"/>
  <c r="R143" i="146"/>
  <c r="Q143" i="146"/>
  <c r="R142" i="146"/>
  <c r="Q142" i="146"/>
  <c r="R141" i="146"/>
  <c r="Q141" i="146"/>
  <c r="R140" i="146"/>
  <c r="Q140" i="146"/>
  <c r="R139" i="146"/>
  <c r="Q139" i="146"/>
  <c r="R138" i="146"/>
  <c r="Q138" i="146"/>
  <c r="R137" i="146"/>
  <c r="Q137" i="146"/>
  <c r="R136" i="146"/>
  <c r="Q136" i="146"/>
  <c r="R135" i="146"/>
  <c r="Q135" i="146"/>
  <c r="R134" i="146"/>
  <c r="Q134" i="146"/>
  <c r="R133" i="146"/>
  <c r="Q133" i="146"/>
  <c r="R132" i="146"/>
  <c r="Q132" i="146"/>
  <c r="R131" i="146"/>
  <c r="Q131" i="146"/>
  <c r="R130" i="146"/>
  <c r="Q130" i="146"/>
  <c r="R129" i="146"/>
  <c r="Q129" i="146"/>
  <c r="R128" i="146"/>
  <c r="Q128" i="146"/>
  <c r="R127" i="146"/>
  <c r="Q127" i="146"/>
  <c r="R126" i="146"/>
  <c r="Q126" i="146"/>
  <c r="R125" i="146"/>
  <c r="Q125" i="146"/>
  <c r="R124" i="146"/>
  <c r="Q124" i="146"/>
  <c r="R123" i="146"/>
  <c r="Q123" i="146"/>
  <c r="R122" i="146"/>
  <c r="Q122" i="146"/>
  <c r="R121" i="146"/>
  <c r="Q121" i="146"/>
  <c r="R80" i="146"/>
  <c r="Q80" i="146"/>
  <c r="R79" i="146"/>
  <c r="Q79" i="146"/>
  <c r="R78" i="146"/>
  <c r="Q78" i="146"/>
  <c r="R77" i="146"/>
  <c r="Q77" i="146"/>
  <c r="R76" i="146"/>
  <c r="Q76" i="146"/>
  <c r="R75" i="146"/>
  <c r="Q75" i="146"/>
  <c r="R74" i="146"/>
  <c r="Q74" i="146"/>
  <c r="R73" i="146"/>
  <c r="Q73" i="146"/>
  <c r="R72" i="146"/>
  <c r="Q72" i="146"/>
  <c r="R71" i="146"/>
  <c r="Q71" i="146"/>
  <c r="R70" i="146"/>
  <c r="Q70" i="146"/>
  <c r="R69" i="146"/>
  <c r="Q69" i="146"/>
  <c r="R68" i="146"/>
  <c r="Q68" i="146"/>
  <c r="R67" i="146"/>
  <c r="S67" i="146" s="1" a="1"/>
  <c r="S67" i="146" s="1"/>
  <c r="B72" i="147" s="1"/>
  <c r="Q67" i="146"/>
  <c r="R66" i="146"/>
  <c r="Q66" i="146"/>
  <c r="R65" i="146"/>
  <c r="Q65" i="146"/>
  <c r="S65" i="146" s="1" a="1"/>
  <c r="S65" i="146" s="1"/>
  <c r="B70" i="147" s="1"/>
  <c r="R64" i="146"/>
  <c r="Q64" i="146"/>
  <c r="R63" i="146"/>
  <c r="Q63" i="146"/>
  <c r="R62" i="146"/>
  <c r="Q62" i="146"/>
  <c r="R61" i="146"/>
  <c r="Q61" i="146"/>
  <c r="R60" i="146"/>
  <c r="Q60" i="146"/>
  <c r="R59" i="146"/>
  <c r="Q59" i="146"/>
  <c r="R58" i="146"/>
  <c r="Q58" i="146"/>
  <c r="R57" i="146"/>
  <c r="Q57" i="146"/>
  <c r="R56" i="146"/>
  <c r="Q56" i="146"/>
  <c r="R15" i="146"/>
  <c r="Q15" i="146"/>
  <c r="N15" i="146"/>
  <c r="M15" i="146"/>
  <c r="L15" i="146"/>
  <c r="B19" i="144"/>
  <c r="C19" i="144"/>
  <c r="B20" i="144"/>
  <c r="C20" i="144"/>
  <c r="J20" i="144" s="1"/>
  <c r="S46" i="144" s="1" a="1"/>
  <c r="S46" i="144" s="1"/>
  <c r="B51" i="145" s="1"/>
  <c r="B21" i="144"/>
  <c r="C21" i="144"/>
  <c r="C18" i="144"/>
  <c r="B18" i="144"/>
  <c r="B16" i="144"/>
  <c r="C16" i="144"/>
  <c r="B17" i="144"/>
  <c r="C17" i="144"/>
  <c r="C15" i="144"/>
  <c r="B15" i="144"/>
  <c r="B14" i="144"/>
  <c r="B18" i="145"/>
  <c r="B17" i="145"/>
  <c r="B15" i="145"/>
  <c r="B14" i="145"/>
  <c r="B13" i="145"/>
  <c r="B12" i="145"/>
  <c r="B9" i="145"/>
  <c r="B8" i="145"/>
  <c r="B4" i="145"/>
  <c r="S190" i="144" a="1"/>
  <c r="S190" i="144" s="1"/>
  <c r="R190" i="144"/>
  <c r="Q190" i="144"/>
  <c r="S189" i="144" a="1"/>
  <c r="S189" i="144" s="1"/>
  <c r="R189" i="144"/>
  <c r="Q189" i="144"/>
  <c r="S188" i="144" a="1"/>
  <c r="S188" i="144" s="1"/>
  <c r="R188" i="144"/>
  <c r="Q188" i="144"/>
  <c r="S187" i="144" a="1"/>
  <c r="S187" i="144" s="1"/>
  <c r="R187" i="144"/>
  <c r="Q187" i="144"/>
  <c r="S186" i="144" a="1"/>
  <c r="S186" i="144" s="1"/>
  <c r="R186" i="144"/>
  <c r="Q186" i="144"/>
  <c r="S185" i="144" a="1"/>
  <c r="S185" i="144" s="1"/>
  <c r="R185" i="144"/>
  <c r="Q185" i="144"/>
  <c r="S184" i="144" a="1"/>
  <c r="S184" i="144" s="1"/>
  <c r="R184" i="144"/>
  <c r="Q184" i="144"/>
  <c r="S183" i="144" a="1"/>
  <c r="S183" i="144" s="1"/>
  <c r="R183" i="144"/>
  <c r="Q183" i="144"/>
  <c r="S182" i="144" a="1"/>
  <c r="S182" i="144" s="1"/>
  <c r="R182" i="144"/>
  <c r="Q182" i="144"/>
  <c r="S181" i="144" a="1"/>
  <c r="S181" i="144" s="1"/>
  <c r="R181" i="144"/>
  <c r="Q181" i="144"/>
  <c r="S180" i="144" a="1"/>
  <c r="S180" i="144" s="1"/>
  <c r="R180" i="144"/>
  <c r="Q180" i="144"/>
  <c r="S179" i="144" a="1"/>
  <c r="S179" i="144" s="1"/>
  <c r="R179" i="144"/>
  <c r="Q179" i="144"/>
  <c r="S178" i="144" a="1"/>
  <c r="S178" i="144" s="1"/>
  <c r="R178" i="144"/>
  <c r="Q178" i="144"/>
  <c r="S177" i="144" a="1"/>
  <c r="S177" i="144" s="1"/>
  <c r="R177" i="144"/>
  <c r="Q177" i="144"/>
  <c r="S176" i="144" a="1"/>
  <c r="S176" i="144" s="1"/>
  <c r="R176" i="144"/>
  <c r="Q176" i="144"/>
  <c r="S175" i="144" a="1"/>
  <c r="S175" i="144" s="1"/>
  <c r="R175" i="144"/>
  <c r="Q175" i="144"/>
  <c r="S174" i="144" a="1"/>
  <c r="S174" i="144" s="1"/>
  <c r="R174" i="144"/>
  <c r="Q174" i="144"/>
  <c r="S173" i="144" a="1"/>
  <c r="S173" i="144" s="1"/>
  <c r="R173" i="144"/>
  <c r="Q173" i="144"/>
  <c r="S172" i="144" a="1"/>
  <c r="S172" i="144" s="1"/>
  <c r="R172" i="144"/>
  <c r="Q172" i="144"/>
  <c r="S171" i="144" a="1"/>
  <c r="S171" i="144" s="1"/>
  <c r="R171" i="144"/>
  <c r="Q171" i="144"/>
  <c r="S170" i="144" a="1"/>
  <c r="S170" i="144" s="1"/>
  <c r="R170" i="144"/>
  <c r="Q170" i="144"/>
  <c r="S169" i="144" a="1"/>
  <c r="S169" i="144" s="1"/>
  <c r="R169" i="144"/>
  <c r="Q169" i="144"/>
  <c r="S168" i="144" a="1"/>
  <c r="S168" i="144" s="1"/>
  <c r="R168" i="144"/>
  <c r="Q168" i="144"/>
  <c r="S167" i="144" a="1"/>
  <c r="S167" i="144" s="1"/>
  <c r="R167" i="144"/>
  <c r="Q167" i="144"/>
  <c r="S166" i="144" a="1"/>
  <c r="S166" i="144" s="1"/>
  <c r="R166" i="144"/>
  <c r="Q166" i="144"/>
  <c r="S165" i="144" a="1"/>
  <c r="S165" i="144" s="1"/>
  <c r="R165" i="144"/>
  <c r="Q165" i="144"/>
  <c r="S164" i="144" a="1"/>
  <c r="S164" i="144" s="1"/>
  <c r="R164" i="144"/>
  <c r="Q164" i="144"/>
  <c r="S163" i="144" a="1"/>
  <c r="S163" i="144" s="1"/>
  <c r="R163" i="144"/>
  <c r="Q163" i="144"/>
  <c r="S162" i="144" a="1"/>
  <c r="S162" i="144" s="1"/>
  <c r="R162" i="144"/>
  <c r="Q162" i="144"/>
  <c r="S161" i="144" a="1"/>
  <c r="S161" i="144" s="1"/>
  <c r="R161" i="144"/>
  <c r="Q161" i="144"/>
  <c r="S160" i="144" a="1"/>
  <c r="S160" i="144" s="1"/>
  <c r="R160" i="144"/>
  <c r="Q160" i="144"/>
  <c r="S159" i="144" a="1"/>
  <c r="S159" i="144" s="1"/>
  <c r="R159" i="144"/>
  <c r="Q159" i="144"/>
  <c r="S158" i="144" a="1"/>
  <c r="S158" i="144" s="1"/>
  <c r="R158" i="144"/>
  <c r="Q158" i="144"/>
  <c r="S157" i="144" a="1"/>
  <c r="S157" i="144" s="1"/>
  <c r="R157" i="144"/>
  <c r="Q157" i="144"/>
  <c r="S156" i="144" a="1"/>
  <c r="S156" i="144" s="1"/>
  <c r="R156" i="144"/>
  <c r="Q156" i="144"/>
  <c r="S155" i="144" a="1"/>
  <c r="S155" i="144" s="1"/>
  <c r="R155" i="144"/>
  <c r="Q155" i="144"/>
  <c r="S154" i="144" a="1"/>
  <c r="S154" i="144" s="1"/>
  <c r="R154" i="144"/>
  <c r="Q154" i="144"/>
  <c r="S153" i="144" a="1"/>
  <c r="S153" i="144" s="1"/>
  <c r="R153" i="144"/>
  <c r="Q153" i="144"/>
  <c r="S152" i="144" a="1"/>
  <c r="S152" i="144" s="1"/>
  <c r="R152" i="144"/>
  <c r="Q152" i="144"/>
  <c r="S151" i="144" a="1"/>
  <c r="S151" i="144" s="1"/>
  <c r="R151" i="144"/>
  <c r="Q151" i="144"/>
  <c r="S150" i="144" a="1"/>
  <c r="S150" i="144" s="1"/>
  <c r="R150" i="144"/>
  <c r="Q150" i="144"/>
  <c r="S149" i="144" a="1"/>
  <c r="S149" i="144" s="1"/>
  <c r="R149" i="144"/>
  <c r="Q149" i="144"/>
  <c r="S148" i="144" a="1"/>
  <c r="S148" i="144" s="1"/>
  <c r="R148" i="144"/>
  <c r="Q148" i="144"/>
  <c r="S147" i="144" a="1"/>
  <c r="S147" i="144" s="1"/>
  <c r="R147" i="144"/>
  <c r="Q147" i="144"/>
  <c r="S146" i="144" a="1"/>
  <c r="S146" i="144" s="1"/>
  <c r="R146" i="144"/>
  <c r="Q146" i="144"/>
  <c r="S145" i="144" a="1"/>
  <c r="S145" i="144" s="1"/>
  <c r="R145" i="144"/>
  <c r="Q145" i="144"/>
  <c r="S144" i="144" a="1"/>
  <c r="S144" i="144" s="1"/>
  <c r="R144" i="144"/>
  <c r="Q144" i="144"/>
  <c r="S143" i="144" a="1"/>
  <c r="S143" i="144" s="1"/>
  <c r="R143" i="144"/>
  <c r="Q143" i="144"/>
  <c r="S142" i="144" a="1"/>
  <c r="S142" i="144" s="1"/>
  <c r="R142" i="144"/>
  <c r="Q142" i="144"/>
  <c r="S141" i="144" a="1"/>
  <c r="S141" i="144" s="1"/>
  <c r="R141" i="144"/>
  <c r="Q141" i="144"/>
  <c r="S140" i="144" a="1"/>
  <c r="S140" i="144" s="1"/>
  <c r="R140" i="144"/>
  <c r="Q140" i="144"/>
  <c r="S139" i="144" a="1"/>
  <c r="S139" i="144" s="1"/>
  <c r="R139" i="144"/>
  <c r="Q139" i="144"/>
  <c r="S138" i="144" a="1"/>
  <c r="S138" i="144" s="1"/>
  <c r="R138" i="144"/>
  <c r="Q138" i="144"/>
  <c r="S137" i="144" a="1"/>
  <c r="S137" i="144" s="1"/>
  <c r="R137" i="144"/>
  <c r="Q137" i="144"/>
  <c r="S136" i="144" a="1"/>
  <c r="S136" i="144" s="1"/>
  <c r="R136" i="144"/>
  <c r="Q136" i="144"/>
  <c r="S135" i="144" a="1"/>
  <c r="S135" i="144" s="1"/>
  <c r="R135" i="144"/>
  <c r="Q135" i="144"/>
  <c r="S134" i="144" a="1"/>
  <c r="S134" i="144" s="1"/>
  <c r="R134" i="144"/>
  <c r="Q134" i="144"/>
  <c r="S133" i="144" a="1"/>
  <c r="S133" i="144" s="1"/>
  <c r="R133" i="144"/>
  <c r="Q133" i="144"/>
  <c r="S132" i="144" a="1"/>
  <c r="S132" i="144" s="1"/>
  <c r="R132" i="144"/>
  <c r="Q132" i="144"/>
  <c r="S131" i="144" a="1"/>
  <c r="S131" i="144" s="1"/>
  <c r="R131" i="144"/>
  <c r="Q131" i="144"/>
  <c r="S130" i="144" a="1"/>
  <c r="S130" i="144" s="1"/>
  <c r="R130" i="144"/>
  <c r="Q130" i="144"/>
  <c r="S129" i="144" a="1"/>
  <c r="S129" i="144" s="1"/>
  <c r="R129" i="144"/>
  <c r="Q129" i="144"/>
  <c r="S128" i="144" a="1"/>
  <c r="S128" i="144" s="1"/>
  <c r="R128" i="144"/>
  <c r="Q128" i="144"/>
  <c r="S127" i="144" a="1"/>
  <c r="S127" i="144" s="1"/>
  <c r="R127" i="144"/>
  <c r="Q127" i="144"/>
  <c r="S126" i="144" a="1"/>
  <c r="S126" i="144" s="1"/>
  <c r="R126" i="144"/>
  <c r="Q126" i="144"/>
  <c r="S125" i="144" a="1"/>
  <c r="S125" i="144" s="1"/>
  <c r="R125" i="144"/>
  <c r="Q125" i="144"/>
  <c r="S124" i="144" a="1"/>
  <c r="S124" i="144" s="1"/>
  <c r="R124" i="144"/>
  <c r="Q124" i="144"/>
  <c r="S123" i="144" a="1"/>
  <c r="S123" i="144" s="1"/>
  <c r="R123" i="144"/>
  <c r="Q123" i="144"/>
  <c r="S122" i="144" a="1"/>
  <c r="S122" i="144" s="1"/>
  <c r="R122" i="144"/>
  <c r="Q122" i="144"/>
  <c r="S121" i="144" a="1"/>
  <c r="S121" i="144" s="1"/>
  <c r="R121" i="144"/>
  <c r="Q121" i="144"/>
  <c r="S80" i="144" a="1"/>
  <c r="S80" i="144" s="1"/>
  <c r="R80" i="144"/>
  <c r="Q80" i="144"/>
  <c r="S79" i="144" a="1"/>
  <c r="S79" i="144" s="1"/>
  <c r="R79" i="144"/>
  <c r="Q79" i="144"/>
  <c r="S78" i="144" a="1"/>
  <c r="S78" i="144" s="1"/>
  <c r="R78" i="144"/>
  <c r="Q78" i="144"/>
  <c r="S77" i="144" a="1"/>
  <c r="S77" i="144" s="1"/>
  <c r="R77" i="144"/>
  <c r="Q77" i="144"/>
  <c r="S76" i="144" a="1"/>
  <c r="S76" i="144" s="1"/>
  <c r="R76" i="144"/>
  <c r="Q76" i="144"/>
  <c r="S75" i="144" a="1"/>
  <c r="S75" i="144" s="1"/>
  <c r="R75" i="144"/>
  <c r="Q75" i="144"/>
  <c r="S74" i="144" a="1"/>
  <c r="S74" i="144" s="1"/>
  <c r="R74" i="144"/>
  <c r="Q74" i="144"/>
  <c r="S73" i="144" a="1"/>
  <c r="S73" i="144" s="1"/>
  <c r="R73" i="144"/>
  <c r="Q73" i="144"/>
  <c r="S72" i="144" a="1"/>
  <c r="S72" i="144" s="1"/>
  <c r="B77" i="145" s="1"/>
  <c r="R72" i="144"/>
  <c r="Q72" i="144"/>
  <c r="S71" i="144" a="1"/>
  <c r="S71" i="144" s="1"/>
  <c r="B76" i="145" s="1"/>
  <c r="R71" i="144"/>
  <c r="Q71" i="144"/>
  <c r="S70" i="144" a="1"/>
  <c r="S70" i="144" s="1"/>
  <c r="B75" i="145" s="1"/>
  <c r="R70" i="144"/>
  <c r="Q70" i="144"/>
  <c r="S69" i="144" a="1"/>
  <c r="S69" i="144" s="1"/>
  <c r="B74" i="145" s="1"/>
  <c r="R69" i="144"/>
  <c r="Q69" i="144"/>
  <c r="S68" i="144" a="1"/>
  <c r="S68" i="144" s="1"/>
  <c r="B73" i="145" s="1"/>
  <c r="R68" i="144"/>
  <c r="Q68" i="144"/>
  <c r="R67" i="144"/>
  <c r="Q67" i="144"/>
  <c r="R66" i="144"/>
  <c r="Q66" i="144"/>
  <c r="R65" i="144"/>
  <c r="Q65" i="144"/>
  <c r="R64" i="144"/>
  <c r="Q64" i="144"/>
  <c r="R63" i="144"/>
  <c r="Q63" i="144"/>
  <c r="S62" i="144" a="1"/>
  <c r="S62" i="144" s="1"/>
  <c r="B67" i="145" s="1"/>
  <c r="R62" i="144"/>
  <c r="Q62" i="144"/>
  <c r="R61" i="144"/>
  <c r="Q61" i="144"/>
  <c r="S60" i="144" a="1"/>
  <c r="S60" i="144" s="1"/>
  <c r="B65" i="145" s="1"/>
  <c r="R60" i="144"/>
  <c r="Q60" i="144"/>
  <c r="R59" i="144"/>
  <c r="Q59" i="144"/>
  <c r="R58" i="144"/>
  <c r="Q58" i="144"/>
  <c r="R57" i="144"/>
  <c r="Q57" i="144"/>
  <c r="S56" i="144" a="1"/>
  <c r="S56" i="144" s="1"/>
  <c r="B61" i="145" s="1"/>
  <c r="R56" i="144"/>
  <c r="Q56" i="144"/>
  <c r="R55" i="144"/>
  <c r="Q55" i="144"/>
  <c r="R54" i="144"/>
  <c r="Q54" i="144"/>
  <c r="R53" i="144"/>
  <c r="Q53" i="144"/>
  <c r="R52" i="144"/>
  <c r="Q52" i="144"/>
  <c r="R51" i="144"/>
  <c r="Q51" i="144"/>
  <c r="S50" i="144" a="1"/>
  <c r="S50" i="144" s="1"/>
  <c r="B55" i="145" s="1"/>
  <c r="R50" i="144"/>
  <c r="Q50" i="144"/>
  <c r="R49" i="144"/>
  <c r="Q49" i="144"/>
  <c r="S48" i="144" a="1"/>
  <c r="S48" i="144" s="1"/>
  <c r="B53" i="145" s="1"/>
  <c r="R48" i="144"/>
  <c r="Q48" i="144"/>
  <c r="R47" i="144"/>
  <c r="Q47" i="144"/>
  <c r="R46" i="144"/>
  <c r="Q46" i="144"/>
  <c r="R45" i="144"/>
  <c r="Q45" i="144"/>
  <c r="S44" i="144" a="1"/>
  <c r="S44" i="144" s="1"/>
  <c r="B49" i="145" s="1"/>
  <c r="R44" i="144"/>
  <c r="Q44" i="144"/>
  <c r="R43" i="144"/>
  <c r="Q43" i="144"/>
  <c r="R42" i="144"/>
  <c r="Q42" i="144"/>
  <c r="R41" i="144"/>
  <c r="Q41" i="144"/>
  <c r="R40" i="144"/>
  <c r="Q40" i="144"/>
  <c r="R39" i="144"/>
  <c r="Q39" i="144"/>
  <c r="S38" i="144" a="1"/>
  <c r="S38" i="144" s="1"/>
  <c r="B43" i="145" s="1"/>
  <c r="R38" i="144"/>
  <c r="Q38" i="144"/>
  <c r="R37" i="144"/>
  <c r="Q37" i="144"/>
  <c r="S36" i="144" a="1"/>
  <c r="S36" i="144" s="1"/>
  <c r="B41" i="145" s="1"/>
  <c r="R36" i="144"/>
  <c r="Q36" i="144"/>
  <c r="R35" i="144"/>
  <c r="Q35" i="144"/>
  <c r="R34" i="144"/>
  <c r="Q34" i="144"/>
  <c r="R33" i="144"/>
  <c r="Q33" i="144"/>
  <c r="S32" i="144" a="1"/>
  <c r="S32" i="144" s="1"/>
  <c r="B37" i="145" s="1"/>
  <c r="R32" i="144"/>
  <c r="Q32" i="144"/>
  <c r="R31" i="144"/>
  <c r="Q31" i="144"/>
  <c r="S30" i="144" a="1"/>
  <c r="S30" i="144" s="1"/>
  <c r="B35" i="145" s="1"/>
  <c r="R30" i="144"/>
  <c r="Q30" i="144"/>
  <c r="R29" i="144"/>
  <c r="Q29" i="144"/>
  <c r="R28" i="144"/>
  <c r="Q28" i="144"/>
  <c r="R27" i="144"/>
  <c r="Q27" i="144"/>
  <c r="S26" i="144" a="1"/>
  <c r="S26" i="144" s="1"/>
  <c r="B31" i="145" s="1"/>
  <c r="R26" i="144"/>
  <c r="Q26" i="144"/>
  <c r="R25" i="144"/>
  <c r="Q25" i="144"/>
  <c r="S24" i="144" a="1"/>
  <c r="S24" i="144" s="1"/>
  <c r="B29" i="145" s="1"/>
  <c r="R24" i="144"/>
  <c r="Q24" i="144"/>
  <c r="R23" i="144"/>
  <c r="Q23" i="144"/>
  <c r="S67" i="144" a="1"/>
  <c r="S67" i="144" s="1"/>
  <c r="B72" i="145" s="1"/>
  <c r="S66" i="144" a="1"/>
  <c r="S66" i="144" s="1"/>
  <c r="B71" i="145" s="1"/>
  <c r="S65" i="144" a="1"/>
  <c r="S65" i="144" s="1"/>
  <c r="B70" i="145" s="1"/>
  <c r="S63" i="144" a="1"/>
  <c r="S63" i="144" s="1"/>
  <c r="B68" i="145" s="1"/>
  <c r="S64" i="144" a="1"/>
  <c r="S64" i="144" s="1"/>
  <c r="B69" i="145" s="1"/>
  <c r="R22" i="144"/>
  <c r="Q22" i="144"/>
  <c r="S61" i="144" a="1"/>
  <c r="S61" i="144" s="1"/>
  <c r="B66" i="145" s="1"/>
  <c r="S59" i="144" a="1"/>
  <c r="S59" i="144" s="1"/>
  <c r="B64" i="145" s="1"/>
  <c r="S57" i="144" a="1"/>
  <c r="S57" i="144" s="1"/>
  <c r="B62" i="145" s="1"/>
  <c r="S58" i="144" a="1"/>
  <c r="S58" i="144" s="1"/>
  <c r="B63" i="145" s="1"/>
  <c r="R21" i="144"/>
  <c r="Q21" i="144"/>
  <c r="N21" i="144"/>
  <c r="M21" i="144"/>
  <c r="S55" i="144" s="1" a="1"/>
  <c r="S55" i="144" s="1"/>
  <c r="B60" i="145" s="1"/>
  <c r="L21" i="144"/>
  <c r="S54" i="144" s="1" a="1"/>
  <c r="S54" i="144" s="1"/>
  <c r="B59" i="145" s="1"/>
  <c r="I21" i="144"/>
  <c r="S51" i="144" s="1" a="1"/>
  <c r="S51" i="144" s="1"/>
  <c r="B56" i="145" s="1"/>
  <c r="J21" i="144"/>
  <c r="S52" i="144" s="1" a="1"/>
  <c r="S52" i="144" s="1"/>
  <c r="B57" i="145" s="1"/>
  <c r="S20" i="144" a="1"/>
  <c r="S20" i="144" s="1"/>
  <c r="B25" i="145" s="1"/>
  <c r="R20" i="144"/>
  <c r="Q20" i="144"/>
  <c r="N20" i="144"/>
  <c r="M20" i="144"/>
  <c r="S49" i="144" s="1" a="1"/>
  <c r="S49" i="144" s="1"/>
  <c r="B54" i="145" s="1"/>
  <c r="L20" i="144"/>
  <c r="S47" i="144" a="1"/>
  <c r="S47" i="144" s="1"/>
  <c r="B52" i="145" s="1"/>
  <c r="I20" i="144"/>
  <c r="S45" i="144" s="1" a="1"/>
  <c r="S45" i="144" s="1"/>
  <c r="B50" i="145" s="1"/>
  <c r="R19" i="144"/>
  <c r="Q19" i="144"/>
  <c r="N19" i="144"/>
  <c r="M19" i="144"/>
  <c r="S43" i="144" s="1" a="1"/>
  <c r="S43" i="144" s="1"/>
  <c r="B48" i="145" s="1"/>
  <c r="L19" i="144"/>
  <c r="S42" i="144" s="1" a="1"/>
  <c r="S42" i="144" s="1"/>
  <c r="B47" i="145" s="1"/>
  <c r="S41" i="144" a="1"/>
  <c r="S41" i="144" s="1"/>
  <c r="B46" i="145" s="1"/>
  <c r="I19" i="144"/>
  <c r="S39" i="144" s="1" a="1"/>
  <c r="S39" i="144" s="1"/>
  <c r="B44" i="145" s="1"/>
  <c r="J19" i="144"/>
  <c r="S40" i="144" s="1" a="1"/>
  <c r="S40" i="144" s="1"/>
  <c r="B45" i="145" s="1"/>
  <c r="S18" i="144" a="1"/>
  <c r="S18" i="144" s="1"/>
  <c r="B23" i="145" s="1"/>
  <c r="R18" i="144"/>
  <c r="Q18" i="144"/>
  <c r="N18" i="144"/>
  <c r="M18" i="144"/>
  <c r="S37" i="144" s="1" a="1"/>
  <c r="S37" i="144" s="1"/>
  <c r="B42" i="145" s="1"/>
  <c r="L18" i="144"/>
  <c r="S35" i="144" a="1"/>
  <c r="S35" i="144" s="1"/>
  <c r="B40" i="145" s="1"/>
  <c r="I18" i="144"/>
  <c r="S33" i="144" s="1" a="1"/>
  <c r="S33" i="144" s="1"/>
  <c r="B38" i="145" s="1"/>
  <c r="J18" i="144"/>
  <c r="S34" i="144" s="1" a="1"/>
  <c r="S34" i="144" s="1"/>
  <c r="B39" i="145" s="1"/>
  <c r="R17" i="144"/>
  <c r="Q17" i="144"/>
  <c r="N17" i="144"/>
  <c r="M17" i="144"/>
  <c r="S31" i="144" s="1" a="1"/>
  <c r="S31" i="144" s="1"/>
  <c r="B36" i="145" s="1"/>
  <c r="L17" i="144"/>
  <c r="S29" i="144" a="1"/>
  <c r="S29" i="144" s="1"/>
  <c r="B34" i="145" s="1"/>
  <c r="I17" i="144"/>
  <c r="S27" i="144" s="1" a="1"/>
  <c r="S27" i="144" s="1"/>
  <c r="B32" i="145" s="1"/>
  <c r="J17" i="144"/>
  <c r="S28" i="144" s="1" a="1"/>
  <c r="S28" i="144" s="1"/>
  <c r="B33" i="145" s="1"/>
  <c r="R16" i="144"/>
  <c r="Q16" i="144"/>
  <c r="N16" i="144"/>
  <c r="M16" i="144"/>
  <c r="S25" i="144" s="1" a="1"/>
  <c r="S25" i="144" s="1"/>
  <c r="B30" i="145" s="1"/>
  <c r="L16" i="144"/>
  <c r="S23" i="144" a="1"/>
  <c r="S23" i="144" s="1"/>
  <c r="B28" i="145" s="1"/>
  <c r="I16" i="144"/>
  <c r="S21" i="144" s="1" a="1"/>
  <c r="S21" i="144" s="1"/>
  <c r="B26" i="145" s="1"/>
  <c r="J16" i="144"/>
  <c r="S22" i="144" s="1" a="1"/>
  <c r="S22" i="144" s="1"/>
  <c r="B27" i="145" s="1"/>
  <c r="R15" i="144"/>
  <c r="Q15" i="144"/>
  <c r="N15" i="144"/>
  <c r="M15" i="144"/>
  <c r="S19" i="144" s="1" a="1"/>
  <c r="S19" i="144" s="1"/>
  <c r="B24" i="145" s="1"/>
  <c r="L15" i="144"/>
  <c r="S17" i="144" a="1"/>
  <c r="S17" i="144" s="1"/>
  <c r="B22" i="145" s="1"/>
  <c r="I15" i="144"/>
  <c r="S15" i="144" s="1" a="1"/>
  <c r="S15" i="144" s="1"/>
  <c r="B20" i="145" s="1"/>
  <c r="J15" i="144"/>
  <c r="S16" i="144" s="1" a="1"/>
  <c r="S16" i="144" s="1"/>
  <c r="B21" i="145" s="1"/>
  <c r="B74" i="143"/>
  <c r="Q77" i="141"/>
  <c r="R77" i="141"/>
  <c r="Q78" i="141"/>
  <c r="R78" i="141"/>
  <c r="Q79" i="141"/>
  <c r="R79" i="141"/>
  <c r="Q80" i="141"/>
  <c r="S80" i="141" s="1" a="1"/>
  <c r="S80" i="141" s="1"/>
  <c r="R80" i="141"/>
  <c r="S64" i="141" a="1"/>
  <c r="S64" i="141" s="1"/>
  <c r="B69" i="143" s="1"/>
  <c r="S66" i="141" a="1"/>
  <c r="S66" i="141" s="1"/>
  <c r="B71" i="143" s="1"/>
  <c r="S67" i="141" a="1"/>
  <c r="S67" i="141" s="1"/>
  <c r="B72" i="143" s="1"/>
  <c r="S68" i="141" a="1"/>
  <c r="S68" i="141" s="1"/>
  <c r="B73" i="143" s="1"/>
  <c r="S69" i="141" a="1"/>
  <c r="S69" i="141" s="1"/>
  <c r="S70" i="141" a="1"/>
  <c r="S70" i="141" s="1"/>
  <c r="B75" i="143" s="1"/>
  <c r="S71" i="141" a="1"/>
  <c r="S71" i="141" s="1"/>
  <c r="B76" i="143" s="1"/>
  <c r="S72" i="141" a="1"/>
  <c r="S72" i="141" s="1"/>
  <c r="B77" i="143" s="1"/>
  <c r="S73" i="141" a="1"/>
  <c r="S73" i="141" s="1"/>
  <c r="S74" i="141" a="1"/>
  <c r="S74" i="141" s="1"/>
  <c r="S75" i="141" a="1"/>
  <c r="S75" i="141" s="1"/>
  <c r="S76" i="141" a="1"/>
  <c r="S76" i="141" s="1"/>
  <c r="S77" i="141" a="1"/>
  <c r="S77" i="141" s="1"/>
  <c r="S78" i="141" a="1"/>
  <c r="S78" i="141" s="1"/>
  <c r="S79" i="141" a="1"/>
  <c r="S79" i="141" s="1"/>
  <c r="Q66" i="141"/>
  <c r="R66" i="141"/>
  <c r="Q67" i="141"/>
  <c r="R67" i="141"/>
  <c r="Q68" i="141"/>
  <c r="R68" i="141"/>
  <c r="Q69" i="141"/>
  <c r="R69" i="141"/>
  <c r="Q70" i="141"/>
  <c r="R70" i="141"/>
  <c r="Q71" i="141"/>
  <c r="R71" i="141"/>
  <c r="Q72" i="141"/>
  <c r="R72" i="141"/>
  <c r="Q73" i="141"/>
  <c r="R73" i="141"/>
  <c r="Q74" i="141"/>
  <c r="R74" i="141"/>
  <c r="Q75" i="141"/>
  <c r="R75" i="141"/>
  <c r="Q76" i="141"/>
  <c r="R76" i="141"/>
  <c r="Q56" i="141"/>
  <c r="R56" i="141"/>
  <c r="Q57" i="141"/>
  <c r="R57" i="141"/>
  <c r="Q58" i="141"/>
  <c r="R58" i="141"/>
  <c r="S58" i="141" s="1" a="1"/>
  <c r="S58" i="141" s="1"/>
  <c r="B63" i="143" s="1"/>
  <c r="Q59" i="141"/>
  <c r="R59" i="141"/>
  <c r="Q60" i="141"/>
  <c r="R60" i="141"/>
  <c r="Q61" i="141"/>
  <c r="R61" i="141"/>
  <c r="Q62" i="141"/>
  <c r="R62" i="141"/>
  <c r="S62" i="141" s="1" a="1"/>
  <c r="S62" i="141" s="1"/>
  <c r="B67" i="143" s="1"/>
  <c r="Q63" i="141"/>
  <c r="R63" i="141"/>
  <c r="Q64" i="141"/>
  <c r="R64" i="141"/>
  <c r="Q65" i="141"/>
  <c r="R65" i="141"/>
  <c r="S52" i="141" a="1"/>
  <c r="S52" i="141" s="1"/>
  <c r="B57" i="143" s="1"/>
  <c r="S54" i="141" a="1"/>
  <c r="S54" i="141" s="1"/>
  <c r="B59" i="143" s="1"/>
  <c r="S55" i="141" a="1"/>
  <c r="S55" i="141"/>
  <c r="B60" i="143" s="1"/>
  <c r="S56" i="141" a="1"/>
  <c r="S56" i="141" s="1"/>
  <c r="B61" i="143" s="1"/>
  <c r="S57" i="141" a="1"/>
  <c r="S57" i="141" s="1"/>
  <c r="B62" i="143" s="1"/>
  <c r="S59" i="141" a="1"/>
  <c r="S59" i="141" s="1"/>
  <c r="B64" i="143" s="1"/>
  <c r="S60" i="141" a="1"/>
  <c r="S60" i="141" s="1"/>
  <c r="B65" i="143" s="1"/>
  <c r="S61" i="141" a="1"/>
  <c r="S61" i="141" s="1"/>
  <c r="B66" i="143" s="1"/>
  <c r="S63" i="141" a="1"/>
  <c r="S63" i="141" s="1"/>
  <c r="B68" i="143" s="1"/>
  <c r="Q24" i="141"/>
  <c r="R24" i="141"/>
  <c r="Q25" i="141"/>
  <c r="R25" i="141"/>
  <c r="Q26" i="141"/>
  <c r="R26" i="141"/>
  <c r="S26" i="141" s="1" a="1"/>
  <c r="S26" i="141" s="1"/>
  <c r="B31" i="143" s="1"/>
  <c r="Q27" i="141"/>
  <c r="R27" i="141"/>
  <c r="Q28" i="141"/>
  <c r="R28" i="141"/>
  <c r="Q29" i="141"/>
  <c r="R29" i="141"/>
  <c r="Q30" i="141"/>
  <c r="R30" i="141"/>
  <c r="S30" i="141" s="1" a="1"/>
  <c r="S30" i="141" s="1"/>
  <c r="B35" i="143" s="1"/>
  <c r="Q31" i="141"/>
  <c r="R31" i="141"/>
  <c r="S31" i="141" s="1" a="1"/>
  <c r="S31" i="141" s="1"/>
  <c r="B36" i="143" s="1"/>
  <c r="Q32" i="141"/>
  <c r="R32" i="141"/>
  <c r="Q33" i="141"/>
  <c r="R33" i="141"/>
  <c r="Q34" i="141"/>
  <c r="R34" i="141"/>
  <c r="S34" i="141" s="1" a="1"/>
  <c r="S34" i="141" s="1"/>
  <c r="B39" i="143" s="1"/>
  <c r="Q35" i="141"/>
  <c r="R35" i="141"/>
  <c r="S35" i="141" s="1" a="1"/>
  <c r="S35" i="141" s="1"/>
  <c r="B40" i="143" s="1"/>
  <c r="Q36" i="141"/>
  <c r="R36" i="141"/>
  <c r="Q37" i="141"/>
  <c r="R37" i="141"/>
  <c r="Q38" i="141"/>
  <c r="R38" i="141"/>
  <c r="S38" i="141" s="1" a="1"/>
  <c r="S38" i="141" s="1"/>
  <c r="B43" i="143" s="1"/>
  <c r="Q39" i="141"/>
  <c r="R39" i="141"/>
  <c r="S39" i="141" s="1" a="1"/>
  <c r="S39" i="141" s="1"/>
  <c r="B44" i="143" s="1"/>
  <c r="Q40" i="141"/>
  <c r="R40" i="141"/>
  <c r="Q41" i="141"/>
  <c r="R41" i="141"/>
  <c r="Q42" i="141"/>
  <c r="R42" i="141"/>
  <c r="S42" i="141" s="1" a="1"/>
  <c r="S42" i="141" s="1"/>
  <c r="B47" i="143" s="1"/>
  <c r="Q43" i="141"/>
  <c r="R43" i="141"/>
  <c r="S43" i="141" s="1" a="1"/>
  <c r="S43" i="141" s="1"/>
  <c r="B48" i="143" s="1"/>
  <c r="Q44" i="141"/>
  <c r="R44" i="141"/>
  <c r="Q45" i="141"/>
  <c r="R45" i="141"/>
  <c r="Q46" i="141"/>
  <c r="R46" i="141"/>
  <c r="S46" i="141" s="1" a="1"/>
  <c r="S46" i="141" s="1"/>
  <c r="B51" i="143" s="1"/>
  <c r="Q47" i="141"/>
  <c r="R47" i="141"/>
  <c r="S47" i="141" s="1" a="1"/>
  <c r="S47" i="141" s="1"/>
  <c r="B52" i="143" s="1"/>
  <c r="Q48" i="141"/>
  <c r="R48" i="141"/>
  <c r="Q49" i="141"/>
  <c r="R49" i="141"/>
  <c r="Q50" i="141"/>
  <c r="R50" i="141"/>
  <c r="S50" i="141" s="1" a="1"/>
  <c r="S50" i="141" s="1"/>
  <c r="B55" i="143" s="1"/>
  <c r="Q51" i="141"/>
  <c r="R51" i="141"/>
  <c r="S51" i="141" s="1" a="1"/>
  <c r="S51" i="141" s="1"/>
  <c r="B56" i="143" s="1"/>
  <c r="Q52" i="141"/>
  <c r="R52" i="141"/>
  <c r="Q53" i="141"/>
  <c r="R53" i="141"/>
  <c r="Q54" i="141"/>
  <c r="R54" i="141"/>
  <c r="Q55" i="141"/>
  <c r="R55" i="141"/>
  <c r="S16" i="141" a="1"/>
  <c r="S16" i="141" s="1"/>
  <c r="S17" i="141" a="1"/>
  <c r="S17" i="141" s="1"/>
  <c r="S18" i="141" a="1"/>
  <c r="S18" i="141" s="1"/>
  <c r="S19" i="141" a="1"/>
  <c r="S19" i="141" s="1"/>
  <c r="S20" i="141" a="1"/>
  <c r="S20" i="141" s="1"/>
  <c r="B25" i="143" s="1"/>
  <c r="S21" i="141" a="1"/>
  <c r="S21" i="141" s="1"/>
  <c r="S22" i="141" a="1"/>
  <c r="S22" i="141" s="1"/>
  <c r="S23" i="141" a="1"/>
  <c r="S23" i="141" s="1"/>
  <c r="S24" i="141" a="1"/>
  <c r="S24" i="141" s="1"/>
  <c r="B29" i="143" s="1"/>
  <c r="S25" i="141" a="1"/>
  <c r="S25" i="141" s="1"/>
  <c r="B30" i="143" s="1"/>
  <c r="S27" i="141" a="1"/>
  <c r="S27" i="141" s="1"/>
  <c r="B32" i="143" s="1"/>
  <c r="S28" i="141" a="1"/>
  <c r="S28" i="141" s="1"/>
  <c r="B33" i="143" s="1"/>
  <c r="S29" i="141" a="1"/>
  <c r="S29" i="141" s="1"/>
  <c r="B34" i="143" s="1"/>
  <c r="S32" i="141" a="1"/>
  <c r="S32" i="141" s="1"/>
  <c r="B37" i="143" s="1"/>
  <c r="S33" i="141" a="1"/>
  <c r="S33" i="141" s="1"/>
  <c r="B38" i="143" s="1"/>
  <c r="S36" i="141" a="1"/>
  <c r="S36" i="141" s="1"/>
  <c r="B41" i="143" s="1"/>
  <c r="S37" i="141" a="1"/>
  <c r="S37" i="141" s="1"/>
  <c r="B42" i="143" s="1"/>
  <c r="S40" i="141" a="1"/>
  <c r="S40" i="141" s="1"/>
  <c r="B45" i="143" s="1"/>
  <c r="S41" i="141" a="1"/>
  <c r="S41" i="141" s="1"/>
  <c r="B46" i="143" s="1"/>
  <c r="S44" i="141" a="1"/>
  <c r="S44" i="141" s="1"/>
  <c r="B49" i="143" s="1"/>
  <c r="S45" i="141" a="1"/>
  <c r="S45" i="141" s="1"/>
  <c r="B50" i="143" s="1"/>
  <c r="S48" i="141" a="1"/>
  <c r="S48" i="141" s="1"/>
  <c r="B53" i="143" s="1"/>
  <c r="S49" i="141" a="1"/>
  <c r="S49" i="141" s="1"/>
  <c r="B54" i="143" s="1"/>
  <c r="I16" i="141"/>
  <c r="J16" i="141"/>
  <c r="L16" i="141"/>
  <c r="M16" i="141"/>
  <c r="I17" i="141"/>
  <c r="J17" i="141"/>
  <c r="L17" i="141"/>
  <c r="M17" i="141"/>
  <c r="I18" i="141"/>
  <c r="J18" i="141"/>
  <c r="L18" i="141"/>
  <c r="M18" i="141"/>
  <c r="I19" i="141"/>
  <c r="J19" i="141"/>
  <c r="L19" i="141"/>
  <c r="M19" i="141"/>
  <c r="I20" i="141"/>
  <c r="J20" i="141"/>
  <c r="L20" i="141"/>
  <c r="M20" i="141"/>
  <c r="I21" i="141"/>
  <c r="J21" i="141"/>
  <c r="L21" i="141"/>
  <c r="M21" i="141"/>
  <c r="I22" i="141"/>
  <c r="J22" i="141"/>
  <c r="L22" i="141"/>
  <c r="M22" i="141"/>
  <c r="I23" i="141"/>
  <c r="J23" i="141"/>
  <c r="L23" i="141"/>
  <c r="M23" i="141"/>
  <c r="C16" i="141"/>
  <c r="C17" i="141"/>
  <c r="C18" i="141"/>
  <c r="C19" i="141"/>
  <c r="C20" i="141"/>
  <c r="C21" i="141"/>
  <c r="C22" i="141"/>
  <c r="C23" i="141"/>
  <c r="C15" i="141"/>
  <c r="B16" i="141"/>
  <c r="B17" i="141"/>
  <c r="B18" i="141"/>
  <c r="B19" i="141"/>
  <c r="B20" i="141"/>
  <c r="B21" i="141"/>
  <c r="B22" i="141"/>
  <c r="B23" i="141"/>
  <c r="B15" i="141"/>
  <c r="B14" i="141"/>
  <c r="E4" i="140"/>
  <c r="E3" i="140"/>
  <c r="C3" i="140"/>
  <c r="B18" i="143"/>
  <c r="B17" i="143"/>
  <c r="B15" i="143"/>
  <c r="B14" i="143"/>
  <c r="B13" i="143"/>
  <c r="B12" i="143"/>
  <c r="B9" i="143"/>
  <c r="B8" i="143"/>
  <c r="B4" i="143"/>
  <c r="R190" i="141"/>
  <c r="Q190" i="141"/>
  <c r="S190" i="141" s="1" a="1"/>
  <c r="S190" i="141" s="1"/>
  <c r="S189" i="141" a="1"/>
  <c r="S189" i="141" s="1"/>
  <c r="R189" i="141"/>
  <c r="Q189" i="141"/>
  <c r="R188" i="141"/>
  <c r="S188" i="141" s="1" a="1"/>
  <c r="S188" i="141" s="1"/>
  <c r="Q188" i="141"/>
  <c r="S187" i="141" a="1"/>
  <c r="S187" i="141" s="1"/>
  <c r="R187" i="141"/>
  <c r="Q187" i="141"/>
  <c r="R186" i="141"/>
  <c r="S186" i="141" s="1" a="1"/>
  <c r="S186" i="141" s="1"/>
  <c r="Q186" i="141"/>
  <c r="R185" i="141"/>
  <c r="Q185" i="141"/>
  <c r="R184" i="141"/>
  <c r="Q184" i="141"/>
  <c r="R183" i="141"/>
  <c r="Q183" i="141"/>
  <c r="S183" i="141" s="1" a="1"/>
  <c r="S183" i="141" s="1"/>
  <c r="R182" i="141"/>
  <c r="Q182" i="141"/>
  <c r="S182" i="141" s="1" a="1"/>
  <c r="S182" i="141" s="1"/>
  <c r="S181" i="141" a="1"/>
  <c r="S181" i="141" s="1"/>
  <c r="R181" i="141"/>
  <c r="Q181" i="141"/>
  <c r="S180" i="141" a="1"/>
  <c r="S180" i="141" s="1"/>
  <c r="R180" i="141"/>
  <c r="Q180" i="141"/>
  <c r="R179" i="141"/>
  <c r="S179" i="141" s="1" a="1"/>
  <c r="S179" i="141" s="1"/>
  <c r="Q179" i="141"/>
  <c r="R178" i="141"/>
  <c r="S178" i="141" s="1" a="1"/>
  <c r="S178" i="141" s="1"/>
  <c r="Q178" i="141"/>
  <c r="R177" i="141"/>
  <c r="Q177" i="141"/>
  <c r="S177" i="141" s="1" a="1"/>
  <c r="S177" i="141" s="1"/>
  <c r="R176" i="141"/>
  <c r="Q176" i="141"/>
  <c r="R175" i="141"/>
  <c r="Q175" i="141"/>
  <c r="S175" i="141" s="1" a="1"/>
  <c r="S175" i="141" s="1"/>
  <c r="R174" i="141"/>
  <c r="Q174" i="141"/>
  <c r="S174" i="141" s="1" a="1"/>
  <c r="S174" i="141" s="1"/>
  <c r="S173" i="141" a="1"/>
  <c r="S173" i="141" s="1"/>
  <c r="R173" i="141"/>
  <c r="Q173" i="141"/>
  <c r="S172" i="141" a="1"/>
  <c r="S172" i="141" s="1"/>
  <c r="R172" i="141"/>
  <c r="Q172" i="141"/>
  <c r="R171" i="141"/>
  <c r="S171" i="141" s="1" a="1"/>
  <c r="S171" i="141" s="1"/>
  <c r="Q171" i="141"/>
  <c r="R170" i="141"/>
  <c r="Q170" i="141"/>
  <c r="S170" i="141" s="1" a="1"/>
  <c r="S170" i="141" s="1"/>
  <c r="R169" i="141"/>
  <c r="Q169" i="141"/>
  <c r="S169" i="141" s="1" a="1"/>
  <c r="S169" i="141" s="1"/>
  <c r="R168" i="141"/>
  <c r="Q168" i="141"/>
  <c r="S168" i="141" s="1" a="1"/>
  <c r="S168" i="141" s="1"/>
  <c r="R167" i="141"/>
  <c r="Q167" i="141"/>
  <c r="S167" i="141" s="1" a="1"/>
  <c r="S167" i="141" s="1"/>
  <c r="R166" i="141"/>
  <c r="Q166" i="141"/>
  <c r="R165" i="141"/>
  <c r="Q165" i="141"/>
  <c r="S165" i="141" s="1" a="1"/>
  <c r="S165" i="141" s="1"/>
  <c r="R164" i="141"/>
  <c r="Q164" i="141"/>
  <c r="S164" i="141" s="1" a="1"/>
  <c r="S164" i="141" s="1"/>
  <c r="R163" i="141"/>
  <c r="Q163" i="141"/>
  <c r="R162" i="141"/>
  <c r="Q162" i="141"/>
  <c r="R161" i="141"/>
  <c r="Q161" i="141"/>
  <c r="S161" i="141" s="1" a="1"/>
  <c r="S161" i="141" s="1"/>
  <c r="R160" i="141"/>
  <c r="Q160" i="141"/>
  <c r="S160" i="141" s="1" a="1"/>
  <c r="S160" i="141" s="1"/>
  <c r="R159" i="141"/>
  <c r="Q159" i="141"/>
  <c r="R158" i="141"/>
  <c r="Q158" i="141"/>
  <c r="R157" i="141"/>
  <c r="Q157" i="141"/>
  <c r="S157" i="141" s="1" a="1"/>
  <c r="S157" i="141" s="1"/>
  <c r="R156" i="141"/>
  <c r="Q156" i="141"/>
  <c r="S156" i="141" s="1" a="1"/>
  <c r="S156" i="141" s="1"/>
  <c r="R155" i="141"/>
  <c r="Q155" i="141"/>
  <c r="R154" i="141"/>
  <c r="Q154" i="141"/>
  <c r="S154" i="141" s="1" a="1"/>
  <c r="S154" i="141" s="1"/>
  <c r="R153" i="141"/>
  <c r="Q153" i="141"/>
  <c r="S153" i="141" s="1" a="1"/>
  <c r="S153" i="141" s="1"/>
  <c r="R152" i="141"/>
  <c r="Q152" i="141"/>
  <c r="S152" i="141" s="1" a="1"/>
  <c r="S152" i="141" s="1"/>
  <c r="R151" i="141"/>
  <c r="Q151" i="141"/>
  <c r="S151" i="141" s="1" a="1"/>
  <c r="S151" i="141" s="1"/>
  <c r="R150" i="141"/>
  <c r="Q150" i="141"/>
  <c r="R149" i="141"/>
  <c r="Q149" i="141"/>
  <c r="S149" i="141" s="1" a="1"/>
  <c r="S149" i="141" s="1"/>
  <c r="R148" i="141"/>
  <c r="Q148" i="141"/>
  <c r="S148" i="141" s="1" a="1"/>
  <c r="S148" i="141" s="1"/>
  <c r="R147" i="141"/>
  <c r="Q147" i="141"/>
  <c r="R146" i="141"/>
  <c r="Q146" i="141"/>
  <c r="R145" i="141"/>
  <c r="Q145" i="141"/>
  <c r="S145" i="141" s="1" a="1"/>
  <c r="S145" i="141" s="1"/>
  <c r="R144" i="141"/>
  <c r="Q144" i="141"/>
  <c r="S144" i="141" s="1" a="1"/>
  <c r="S144" i="141" s="1"/>
  <c r="R143" i="141"/>
  <c r="Q143" i="141"/>
  <c r="R142" i="141"/>
  <c r="Q142" i="141"/>
  <c r="R141" i="141"/>
  <c r="Q141" i="141"/>
  <c r="S141" i="141" s="1" a="1"/>
  <c r="S141" i="141" s="1"/>
  <c r="R140" i="141"/>
  <c r="Q140" i="141"/>
  <c r="S140" i="141" s="1" a="1"/>
  <c r="S140" i="141" s="1"/>
  <c r="R139" i="141"/>
  <c r="Q139" i="141"/>
  <c r="R138" i="141"/>
  <c r="Q138" i="141"/>
  <c r="S138" i="141" s="1" a="1"/>
  <c r="S138" i="141" s="1"/>
  <c r="R137" i="141"/>
  <c r="Q137" i="141"/>
  <c r="S137" i="141" s="1" a="1"/>
  <c r="S137" i="141" s="1"/>
  <c r="R136" i="141"/>
  <c r="Q136" i="141"/>
  <c r="S136" i="141" s="1" a="1"/>
  <c r="S136" i="141" s="1"/>
  <c r="R135" i="141"/>
  <c r="Q135" i="141"/>
  <c r="S135" i="141" s="1" a="1"/>
  <c r="S135" i="141" s="1"/>
  <c r="R134" i="141"/>
  <c r="Q134" i="141"/>
  <c r="R133" i="141"/>
  <c r="Q133" i="141"/>
  <c r="S133" i="141" s="1" a="1"/>
  <c r="S133" i="141" s="1"/>
  <c r="R132" i="141"/>
  <c r="Q132" i="141"/>
  <c r="S132" i="141" s="1" a="1"/>
  <c r="S132" i="141" s="1"/>
  <c r="R131" i="141"/>
  <c r="Q131" i="141"/>
  <c r="R130" i="141"/>
  <c r="Q130" i="141"/>
  <c r="R129" i="141"/>
  <c r="Q129" i="141"/>
  <c r="S129" i="141" s="1" a="1"/>
  <c r="S129" i="141" s="1"/>
  <c r="R128" i="141"/>
  <c r="Q128" i="141"/>
  <c r="S128" i="141" s="1" a="1"/>
  <c r="S128" i="141" s="1"/>
  <c r="R127" i="141"/>
  <c r="Q127" i="141"/>
  <c r="R126" i="141"/>
  <c r="Q126" i="141"/>
  <c r="R125" i="141"/>
  <c r="Q125" i="141"/>
  <c r="S125" i="141" s="1" a="1"/>
  <c r="S125" i="141" s="1"/>
  <c r="R124" i="141"/>
  <c r="Q124" i="141"/>
  <c r="S124" i="141" s="1" a="1"/>
  <c r="S124" i="141" s="1"/>
  <c r="R123" i="141"/>
  <c r="Q123" i="141"/>
  <c r="R122" i="141"/>
  <c r="Q122" i="141"/>
  <c r="S122" i="141" s="1" a="1"/>
  <c r="S122" i="141" s="1"/>
  <c r="R121" i="141"/>
  <c r="Q121" i="141"/>
  <c r="S121" i="141" s="1" a="1"/>
  <c r="S121" i="141" s="1"/>
  <c r="R23" i="141"/>
  <c r="Q23" i="141"/>
  <c r="N23" i="141"/>
  <c r="R22" i="141"/>
  <c r="Q22" i="141"/>
  <c r="N22" i="141"/>
  <c r="R21" i="141"/>
  <c r="Q21" i="141"/>
  <c r="N21" i="141"/>
  <c r="R20" i="141"/>
  <c r="Q20" i="141"/>
  <c r="N20" i="141"/>
  <c r="R19" i="141"/>
  <c r="Q19" i="141"/>
  <c r="N19" i="141"/>
  <c r="R18" i="141"/>
  <c r="Q18" i="141"/>
  <c r="N18" i="141"/>
  <c r="R17" i="141"/>
  <c r="Q17" i="141"/>
  <c r="N17" i="141"/>
  <c r="R16" i="141"/>
  <c r="Q16" i="141"/>
  <c r="N16" i="141"/>
  <c r="R15" i="141"/>
  <c r="Q15" i="141"/>
  <c r="N15" i="141"/>
  <c r="M15" i="141"/>
  <c r="L15" i="141"/>
  <c r="I15" i="141"/>
  <c r="J15" i="141"/>
  <c r="B13" i="138"/>
  <c r="B12" i="138"/>
  <c r="B9" i="138"/>
  <c r="B136" i="138"/>
  <c r="B135" i="138"/>
  <c r="L31" i="140"/>
  <c r="M31" i="140"/>
  <c r="N31" i="140"/>
  <c r="J32" i="140"/>
  <c r="L32" i="140"/>
  <c r="M32" i="140"/>
  <c r="N32" i="140"/>
  <c r="C32" i="140"/>
  <c r="C31" i="140"/>
  <c r="J31" i="140" s="1"/>
  <c r="B32" i="140"/>
  <c r="I32" i="140" s="1"/>
  <c r="B31" i="140"/>
  <c r="I31" i="140" s="1"/>
  <c r="R189" i="140"/>
  <c r="Q189" i="140"/>
  <c r="S189" i="140" s="1" a="1"/>
  <c r="S189" i="140" s="1"/>
  <c r="R188" i="140"/>
  <c r="Q188" i="140"/>
  <c r="S188" i="140" s="1" a="1"/>
  <c r="S188" i="140" s="1"/>
  <c r="R187" i="140"/>
  <c r="Q187" i="140"/>
  <c r="S187" i="140" s="1" a="1"/>
  <c r="S187" i="140" s="1"/>
  <c r="R186" i="140"/>
  <c r="Q186" i="140"/>
  <c r="S186" i="140" s="1" a="1"/>
  <c r="S186" i="140" s="1"/>
  <c r="R185" i="140"/>
  <c r="Q185" i="140"/>
  <c r="R184" i="140"/>
  <c r="Q184" i="140"/>
  <c r="R183" i="140"/>
  <c r="Q183" i="140"/>
  <c r="R182" i="140"/>
  <c r="Q182" i="140"/>
  <c r="R181" i="140"/>
  <c r="Q181" i="140"/>
  <c r="R180" i="140"/>
  <c r="Q180" i="140"/>
  <c r="S180" i="140" s="1" a="1"/>
  <c r="S180" i="140" s="1"/>
  <c r="R179" i="140"/>
  <c r="Q179" i="140"/>
  <c r="S179" i="140" s="1" a="1"/>
  <c r="S179" i="140" s="1"/>
  <c r="R178" i="140"/>
  <c r="Q178" i="140"/>
  <c r="S178" i="140" s="1" a="1"/>
  <c r="S178" i="140" s="1"/>
  <c r="R177" i="140"/>
  <c r="Q177" i="140"/>
  <c r="R176" i="140"/>
  <c r="Q176" i="140"/>
  <c r="S176" i="140" s="1" a="1"/>
  <c r="S176" i="140" s="1"/>
  <c r="R175" i="140"/>
  <c r="Q175" i="140"/>
  <c r="S175" i="140" s="1" a="1"/>
  <c r="S175" i="140" s="1"/>
  <c r="R174" i="140"/>
  <c r="Q174" i="140"/>
  <c r="S174" i="140" s="1" a="1"/>
  <c r="S174" i="140" s="1"/>
  <c r="R173" i="140"/>
  <c r="Q173" i="140"/>
  <c r="R172" i="140"/>
  <c r="Q172" i="140"/>
  <c r="S172" i="140" s="1" a="1"/>
  <c r="S172" i="140" s="1"/>
  <c r="R171" i="140"/>
  <c r="Q171" i="140"/>
  <c r="R170" i="140"/>
  <c r="Q170" i="140"/>
  <c r="R169" i="140"/>
  <c r="Q169" i="140"/>
  <c r="R168" i="140"/>
  <c r="Q168" i="140"/>
  <c r="S168" i="140" s="1" a="1"/>
  <c r="S168" i="140" s="1"/>
  <c r="R167" i="140"/>
  <c r="Q167" i="140"/>
  <c r="R166" i="140"/>
  <c r="Q166" i="140"/>
  <c r="S166" i="140" s="1" a="1"/>
  <c r="S166" i="140" s="1"/>
  <c r="R165" i="140"/>
  <c r="Q165" i="140"/>
  <c r="S165" i="140" s="1" a="1"/>
  <c r="S165" i="140" s="1"/>
  <c r="R164" i="140"/>
  <c r="Q164" i="140"/>
  <c r="R163" i="140"/>
  <c r="Q163" i="140"/>
  <c r="R162" i="140"/>
  <c r="Q162" i="140"/>
  <c r="R161" i="140"/>
  <c r="Q161" i="140"/>
  <c r="R160" i="140"/>
  <c r="Q160" i="140"/>
  <c r="R159" i="140"/>
  <c r="Q159" i="140"/>
  <c r="R158" i="140"/>
  <c r="Q158" i="140"/>
  <c r="S158" i="140" s="1" a="1"/>
  <c r="S158" i="140" s="1"/>
  <c r="R157" i="140"/>
  <c r="Q157" i="140"/>
  <c r="S157" i="140" s="1" a="1"/>
  <c r="S157" i="140" s="1"/>
  <c r="R156" i="140"/>
  <c r="Q156" i="140"/>
  <c r="S156" i="140" s="1" a="1"/>
  <c r="S156" i="140" s="1"/>
  <c r="R155" i="140"/>
  <c r="Q155" i="140"/>
  <c r="R154" i="140"/>
  <c r="Q154" i="140"/>
  <c r="S154" i="140" s="1" a="1"/>
  <c r="S154" i="140" s="1"/>
  <c r="R153" i="140"/>
  <c r="Q153" i="140"/>
  <c r="R152" i="140"/>
  <c r="Q152" i="140"/>
  <c r="R151" i="140"/>
  <c r="Q151" i="140"/>
  <c r="R150" i="140"/>
  <c r="Q150" i="140"/>
  <c r="S150" i="140" s="1" a="1"/>
  <c r="S150" i="140" s="1"/>
  <c r="R149" i="140"/>
  <c r="Q149" i="140"/>
  <c r="S149" i="140" s="1" a="1"/>
  <c r="S149" i="140" s="1"/>
  <c r="R148" i="140"/>
  <c r="Q148" i="140"/>
  <c r="S148" i="140" s="1" a="1"/>
  <c r="S148" i="140" s="1"/>
  <c r="R147" i="140"/>
  <c r="Q147" i="140"/>
  <c r="R146" i="140"/>
  <c r="Q146" i="140"/>
  <c r="S146" i="140" s="1" a="1"/>
  <c r="S146" i="140" s="1"/>
  <c r="R145" i="140"/>
  <c r="Q145" i="140"/>
  <c r="R144" i="140"/>
  <c r="Q144" i="140"/>
  <c r="R143" i="140"/>
  <c r="Q143" i="140"/>
  <c r="R142" i="140"/>
  <c r="Q142" i="140"/>
  <c r="S142" i="140" s="1" a="1"/>
  <c r="S142" i="140" s="1"/>
  <c r="R141" i="140"/>
  <c r="Q141" i="140"/>
  <c r="S141" i="140" s="1" a="1"/>
  <c r="S141" i="140" s="1"/>
  <c r="R140" i="140"/>
  <c r="Q140" i="140"/>
  <c r="S140" i="140" s="1" a="1"/>
  <c r="S140" i="140" s="1"/>
  <c r="R139" i="140"/>
  <c r="Q139" i="140"/>
  <c r="R138" i="140"/>
  <c r="Q138" i="140"/>
  <c r="S138" i="140" s="1" a="1"/>
  <c r="S138" i="140" s="1"/>
  <c r="R137" i="140"/>
  <c r="Q137" i="140"/>
  <c r="R136" i="140"/>
  <c r="Q136" i="140"/>
  <c r="R135" i="140"/>
  <c r="Q135" i="140"/>
  <c r="R134" i="140"/>
  <c r="Q134" i="140"/>
  <c r="S134" i="140" s="1" a="1"/>
  <c r="S134" i="140" s="1"/>
  <c r="R133" i="140"/>
  <c r="Q133" i="140"/>
  <c r="S133" i="140" s="1" a="1"/>
  <c r="S133" i="140" s="1"/>
  <c r="B257" i="138" s="1"/>
  <c r="R132" i="140"/>
  <c r="Q132" i="140"/>
  <c r="R131" i="140"/>
  <c r="Q131" i="140"/>
  <c r="S131" i="140" s="1" a="1"/>
  <c r="S131" i="140" s="1"/>
  <c r="B255" i="138" s="1"/>
  <c r="R130" i="140"/>
  <c r="Q130" i="140"/>
  <c r="R129" i="140"/>
  <c r="Q129" i="140"/>
  <c r="R128" i="140"/>
  <c r="Q128" i="140"/>
  <c r="R127" i="140"/>
  <c r="Q127" i="140"/>
  <c r="R126" i="140"/>
  <c r="Q126" i="140"/>
  <c r="R125" i="140"/>
  <c r="Q125" i="140"/>
  <c r="R124" i="140"/>
  <c r="Q124" i="140"/>
  <c r="R123" i="140"/>
  <c r="Q123" i="140"/>
  <c r="R122" i="140"/>
  <c r="Q122" i="140"/>
  <c r="R121" i="140"/>
  <c r="Q121" i="140"/>
  <c r="R120" i="140"/>
  <c r="Q120" i="140"/>
  <c r="R119" i="140"/>
  <c r="Q119" i="140"/>
  <c r="R118" i="140"/>
  <c r="Q118" i="140"/>
  <c r="R117" i="140"/>
  <c r="Q117" i="140"/>
  <c r="R116" i="140"/>
  <c r="Q116" i="140"/>
  <c r="R115" i="140"/>
  <c r="Q115" i="140"/>
  <c r="R114" i="140"/>
  <c r="Q114" i="140"/>
  <c r="R113" i="140"/>
  <c r="Q113" i="140"/>
  <c r="R112" i="140"/>
  <c r="Q112" i="140"/>
  <c r="R111" i="140"/>
  <c r="Q111" i="140"/>
  <c r="R110" i="140"/>
  <c r="Q110" i="140"/>
  <c r="R109" i="140"/>
  <c r="Q109" i="140"/>
  <c r="R108" i="140"/>
  <c r="Q108" i="140"/>
  <c r="R107" i="140"/>
  <c r="Q107" i="140"/>
  <c r="R106" i="140"/>
  <c r="Q106" i="140"/>
  <c r="R105" i="140"/>
  <c r="Q105" i="140"/>
  <c r="R104" i="140"/>
  <c r="Q104" i="140"/>
  <c r="R103" i="140"/>
  <c r="Q103" i="140"/>
  <c r="R102" i="140"/>
  <c r="Q102" i="140"/>
  <c r="R101" i="140"/>
  <c r="Q101" i="140"/>
  <c r="R100" i="140"/>
  <c r="Q100" i="140"/>
  <c r="R99" i="140"/>
  <c r="Q99" i="140"/>
  <c r="R98" i="140"/>
  <c r="Q98" i="140"/>
  <c r="R97" i="140"/>
  <c r="Q97" i="140"/>
  <c r="R96" i="140"/>
  <c r="Q96" i="140"/>
  <c r="R95" i="140"/>
  <c r="Q95" i="140"/>
  <c r="R94" i="140"/>
  <c r="Q94" i="140"/>
  <c r="R93" i="140"/>
  <c r="Q93" i="140"/>
  <c r="R92" i="140"/>
  <c r="Q92" i="140"/>
  <c r="R91" i="140"/>
  <c r="Q91" i="140"/>
  <c r="R90" i="140"/>
  <c r="Q90" i="140"/>
  <c r="R89" i="140"/>
  <c r="Q89" i="140"/>
  <c r="R88" i="140"/>
  <c r="Q88" i="140"/>
  <c r="R87" i="140"/>
  <c r="Q87" i="140"/>
  <c r="R86" i="140"/>
  <c r="Q86" i="140"/>
  <c r="R85" i="140"/>
  <c r="Q85" i="140"/>
  <c r="R84" i="140"/>
  <c r="Q84" i="140"/>
  <c r="R83" i="140"/>
  <c r="Q83" i="140"/>
  <c r="R82" i="140"/>
  <c r="Q82" i="140"/>
  <c r="R81" i="140"/>
  <c r="Q81" i="140"/>
  <c r="R80" i="140"/>
  <c r="Q80" i="140"/>
  <c r="R79" i="140"/>
  <c r="Q79" i="140"/>
  <c r="R78" i="140"/>
  <c r="Q78" i="140"/>
  <c r="R77" i="140"/>
  <c r="Q77" i="140"/>
  <c r="R76" i="140"/>
  <c r="Q76" i="140"/>
  <c r="R75" i="140"/>
  <c r="Q75" i="140"/>
  <c r="R74" i="140"/>
  <c r="Q74" i="140"/>
  <c r="R73" i="140"/>
  <c r="Q73" i="140"/>
  <c r="R72" i="140"/>
  <c r="Q72" i="140"/>
  <c r="R71" i="140"/>
  <c r="Q71" i="140"/>
  <c r="R70" i="140"/>
  <c r="Q70" i="140"/>
  <c r="R69" i="140"/>
  <c r="Q69" i="140"/>
  <c r="R68" i="140"/>
  <c r="Q68" i="140"/>
  <c r="R67" i="140"/>
  <c r="Q67" i="140"/>
  <c r="R66" i="140"/>
  <c r="Q66" i="140"/>
  <c r="R65" i="140"/>
  <c r="Q65" i="140"/>
  <c r="R64" i="140"/>
  <c r="Q64" i="140"/>
  <c r="R63" i="140"/>
  <c r="Q63" i="140"/>
  <c r="R62" i="140"/>
  <c r="Q62" i="140"/>
  <c r="R61" i="140"/>
  <c r="Q61" i="140"/>
  <c r="R60" i="140"/>
  <c r="Q60" i="140"/>
  <c r="R59" i="140"/>
  <c r="Q59" i="140"/>
  <c r="R58" i="140"/>
  <c r="Q58" i="140"/>
  <c r="R57" i="140"/>
  <c r="Q57" i="140"/>
  <c r="R56" i="140"/>
  <c r="Q56" i="140"/>
  <c r="R55" i="140"/>
  <c r="Q55" i="140"/>
  <c r="R54" i="140"/>
  <c r="Q54" i="140"/>
  <c r="R53" i="140"/>
  <c r="Q53" i="140"/>
  <c r="R52" i="140"/>
  <c r="Q52" i="140"/>
  <c r="R51" i="140"/>
  <c r="Q51" i="140"/>
  <c r="R50" i="140"/>
  <c r="Q50" i="140"/>
  <c r="R49" i="140"/>
  <c r="Q49" i="140"/>
  <c r="R48" i="140"/>
  <c r="Q48" i="140"/>
  <c r="R47" i="140"/>
  <c r="Q47" i="140"/>
  <c r="R46" i="140"/>
  <c r="Q46" i="140"/>
  <c r="R45" i="140"/>
  <c r="Q45" i="140"/>
  <c r="R44" i="140"/>
  <c r="Q44" i="140"/>
  <c r="R43" i="140"/>
  <c r="Q43" i="140"/>
  <c r="R42" i="140"/>
  <c r="Q42" i="140"/>
  <c r="R41" i="140"/>
  <c r="Q41" i="140"/>
  <c r="R40" i="140"/>
  <c r="Q40" i="140"/>
  <c r="R39" i="140"/>
  <c r="Q39" i="140"/>
  <c r="R38" i="140"/>
  <c r="Q38" i="140"/>
  <c r="R37" i="140"/>
  <c r="Q37" i="140"/>
  <c r="R36" i="140"/>
  <c r="Q36" i="140"/>
  <c r="R35" i="140"/>
  <c r="Q35" i="140"/>
  <c r="R34" i="140"/>
  <c r="Q34" i="140"/>
  <c r="R33" i="140"/>
  <c r="Q33" i="140"/>
  <c r="R32" i="140"/>
  <c r="Q32" i="140"/>
  <c r="R31" i="140"/>
  <c r="Q31" i="140"/>
  <c r="R30" i="140"/>
  <c r="Q30" i="140"/>
  <c r="N30" i="140"/>
  <c r="M30" i="140"/>
  <c r="L30" i="140"/>
  <c r="C30" i="140"/>
  <c r="J30" i="140" s="1"/>
  <c r="B30" i="140"/>
  <c r="I30" i="140" s="1"/>
  <c r="R29" i="140"/>
  <c r="Q29" i="140"/>
  <c r="N29" i="140"/>
  <c r="M29" i="140"/>
  <c r="L29" i="140"/>
  <c r="C29" i="140"/>
  <c r="J29" i="140" s="1"/>
  <c r="B29" i="140"/>
  <c r="I29" i="140" s="1"/>
  <c r="R28" i="140"/>
  <c r="Q28" i="140"/>
  <c r="N28" i="140"/>
  <c r="M28" i="140"/>
  <c r="L28" i="140"/>
  <c r="C28" i="140"/>
  <c r="J28" i="140" s="1"/>
  <c r="B28" i="140"/>
  <c r="I28" i="140" s="1"/>
  <c r="R27" i="140"/>
  <c r="Q27" i="140"/>
  <c r="N27" i="140"/>
  <c r="M27" i="140"/>
  <c r="L27" i="140"/>
  <c r="C27" i="140"/>
  <c r="J27" i="140" s="1"/>
  <c r="B27" i="140"/>
  <c r="I27" i="140" s="1"/>
  <c r="R26" i="140"/>
  <c r="Q26" i="140"/>
  <c r="N26" i="140"/>
  <c r="M26" i="140"/>
  <c r="L26" i="140"/>
  <c r="C26" i="140"/>
  <c r="J26" i="140" s="1"/>
  <c r="B26" i="140"/>
  <c r="I26" i="140" s="1"/>
  <c r="R25" i="140"/>
  <c r="Q25" i="140"/>
  <c r="N25" i="140"/>
  <c r="M25" i="140"/>
  <c r="L25" i="140"/>
  <c r="C25" i="140"/>
  <c r="J25" i="140" s="1"/>
  <c r="B25" i="140"/>
  <c r="I25" i="140" s="1"/>
  <c r="R24" i="140"/>
  <c r="Q24" i="140"/>
  <c r="N24" i="140"/>
  <c r="M24" i="140"/>
  <c r="L24" i="140"/>
  <c r="C24" i="140"/>
  <c r="J24" i="140" s="1"/>
  <c r="B24" i="140"/>
  <c r="I24" i="140" s="1"/>
  <c r="R23" i="140"/>
  <c r="Q23" i="140"/>
  <c r="N23" i="140"/>
  <c r="M23" i="140"/>
  <c r="L23" i="140"/>
  <c r="C23" i="140"/>
  <c r="J23" i="140" s="1"/>
  <c r="B23" i="140"/>
  <c r="I23" i="140" s="1"/>
  <c r="R22" i="140"/>
  <c r="Q22" i="140"/>
  <c r="N22" i="140"/>
  <c r="M22" i="140"/>
  <c r="L22" i="140"/>
  <c r="C22" i="140"/>
  <c r="J22" i="140" s="1"/>
  <c r="B22" i="140"/>
  <c r="I22" i="140" s="1"/>
  <c r="R21" i="140"/>
  <c r="Q21" i="140"/>
  <c r="N21" i="140"/>
  <c r="M21" i="140"/>
  <c r="L21" i="140"/>
  <c r="I21" i="140"/>
  <c r="C21" i="140"/>
  <c r="J21" i="140" s="1"/>
  <c r="B21" i="140"/>
  <c r="R20" i="140"/>
  <c r="Q20" i="140"/>
  <c r="N20" i="140"/>
  <c r="M20" i="140"/>
  <c r="L20" i="140"/>
  <c r="C20" i="140"/>
  <c r="J20" i="140" s="1"/>
  <c r="B20" i="140"/>
  <c r="I20" i="140" s="1"/>
  <c r="R19" i="140"/>
  <c r="Q19" i="140"/>
  <c r="N19" i="140"/>
  <c r="M19" i="140"/>
  <c r="L19" i="140"/>
  <c r="C19" i="140"/>
  <c r="J19" i="140" s="1"/>
  <c r="B19" i="140"/>
  <c r="I19" i="140" s="1"/>
  <c r="R18" i="140"/>
  <c r="Q18" i="140"/>
  <c r="N18" i="140"/>
  <c r="M18" i="140"/>
  <c r="L18" i="140"/>
  <c r="I18" i="140"/>
  <c r="C18" i="140"/>
  <c r="J18" i="140" s="1"/>
  <c r="B18" i="140"/>
  <c r="R17" i="140"/>
  <c r="Q17" i="140"/>
  <c r="N17" i="140"/>
  <c r="M17" i="140"/>
  <c r="L17" i="140"/>
  <c r="C17" i="140"/>
  <c r="J17" i="140" s="1"/>
  <c r="B17" i="140"/>
  <c r="I17" i="140" s="1"/>
  <c r="R16" i="140"/>
  <c r="Q16" i="140"/>
  <c r="N16" i="140"/>
  <c r="M16" i="140"/>
  <c r="L16" i="140"/>
  <c r="C16" i="140"/>
  <c r="J16" i="140" s="1"/>
  <c r="B16" i="140"/>
  <c r="I16" i="140" s="1"/>
  <c r="R15" i="140"/>
  <c r="Q15" i="140"/>
  <c r="N15" i="140"/>
  <c r="M15" i="140"/>
  <c r="L15" i="140"/>
  <c r="C15" i="140"/>
  <c r="J15" i="140" s="1"/>
  <c r="B15" i="140"/>
  <c r="I15" i="140" s="1"/>
  <c r="I16" i="137"/>
  <c r="I17" i="137"/>
  <c r="I18" i="137"/>
  <c r="I19" i="137"/>
  <c r="I20" i="137"/>
  <c r="I21" i="137"/>
  <c r="I22" i="137"/>
  <c r="I23" i="137"/>
  <c r="I24" i="137"/>
  <c r="I25" i="137"/>
  <c r="I26" i="137"/>
  <c r="I27" i="137"/>
  <c r="I28" i="137"/>
  <c r="I29" i="137"/>
  <c r="I30" i="137"/>
  <c r="I31" i="137"/>
  <c r="I15" i="137"/>
  <c r="J15" i="137"/>
  <c r="L15" i="137"/>
  <c r="M15" i="137"/>
  <c r="B18" i="138"/>
  <c r="B17" i="138"/>
  <c r="B14" i="138"/>
  <c r="B15" i="138"/>
  <c r="B4" i="138"/>
  <c r="B8" i="138"/>
  <c r="N16" i="137"/>
  <c r="N17" i="137"/>
  <c r="N18" i="137"/>
  <c r="N19" i="137"/>
  <c r="N20" i="137"/>
  <c r="N21" i="137"/>
  <c r="N22" i="137"/>
  <c r="N23" i="137"/>
  <c r="N24" i="137"/>
  <c r="N25" i="137"/>
  <c r="N26" i="137"/>
  <c r="N27" i="137"/>
  <c r="N28" i="137"/>
  <c r="N29" i="137"/>
  <c r="N30" i="137"/>
  <c r="N31" i="137"/>
  <c r="N15" i="137"/>
  <c r="B19" i="137"/>
  <c r="C19" i="137"/>
  <c r="J19" i="137" s="1"/>
  <c r="R19" i="137"/>
  <c r="Q19" i="137"/>
  <c r="M19" i="137"/>
  <c r="L19" i="137"/>
  <c r="L24" i="137"/>
  <c r="M24" i="137"/>
  <c r="L25" i="137"/>
  <c r="M25" i="137"/>
  <c r="L26" i="137"/>
  <c r="M26" i="137"/>
  <c r="L27" i="137"/>
  <c r="M27" i="137"/>
  <c r="L28" i="137"/>
  <c r="M28" i="137"/>
  <c r="L29" i="137"/>
  <c r="M29" i="137"/>
  <c r="L30" i="137"/>
  <c r="M30" i="137"/>
  <c r="L31" i="137"/>
  <c r="M31" i="137"/>
  <c r="B24" i="137"/>
  <c r="C24" i="137"/>
  <c r="J24" i="137" s="1"/>
  <c r="B25" i="137"/>
  <c r="C25" i="137"/>
  <c r="J25" i="137" s="1"/>
  <c r="B26" i="137"/>
  <c r="C26" i="137"/>
  <c r="J26" i="137" s="1"/>
  <c r="B27" i="137"/>
  <c r="C27" i="137"/>
  <c r="J27" i="137" s="1"/>
  <c r="B28" i="137"/>
  <c r="C28" i="137"/>
  <c r="J28" i="137" s="1"/>
  <c r="B29" i="137"/>
  <c r="C29" i="137"/>
  <c r="J29" i="137" s="1"/>
  <c r="B30" i="137"/>
  <c r="C30" i="137"/>
  <c r="J30" i="137" s="1"/>
  <c r="B31" i="137"/>
  <c r="C31" i="137"/>
  <c r="J31" i="137" s="1"/>
  <c r="L16" i="137"/>
  <c r="M16" i="137"/>
  <c r="L17" i="137"/>
  <c r="M17" i="137"/>
  <c r="L18" i="137"/>
  <c r="M18" i="137"/>
  <c r="L20" i="137"/>
  <c r="M20" i="137"/>
  <c r="L21" i="137"/>
  <c r="M21" i="137"/>
  <c r="L22" i="137"/>
  <c r="M22" i="137"/>
  <c r="L23" i="137"/>
  <c r="M23" i="137"/>
  <c r="C17" i="137"/>
  <c r="J17" i="137" s="1"/>
  <c r="C18" i="137"/>
  <c r="J18" i="137" s="1"/>
  <c r="C20" i="137"/>
  <c r="J20" i="137" s="1"/>
  <c r="C21" i="137"/>
  <c r="J21" i="137" s="1"/>
  <c r="C22" i="137"/>
  <c r="J22" i="137" s="1"/>
  <c r="C23" i="137"/>
  <c r="J23" i="137" s="1"/>
  <c r="C16" i="137"/>
  <c r="J16" i="137" s="1"/>
  <c r="B17" i="137"/>
  <c r="B18" i="137"/>
  <c r="B20" i="137"/>
  <c r="B21" i="137"/>
  <c r="B22" i="137"/>
  <c r="B23" i="137"/>
  <c r="B16" i="137"/>
  <c r="C15" i="137"/>
  <c r="B15" i="137"/>
  <c r="S15" i="170" l="1" a="1"/>
  <c r="S15" i="170" s="1"/>
  <c r="B21" i="171" s="1"/>
  <c r="I15" i="169"/>
  <c r="S15" i="169" a="1"/>
  <c r="S15" i="169" s="1"/>
  <c r="B279" i="171" s="1"/>
  <c r="S42" i="162" a="1"/>
  <c r="S42" i="162" s="1"/>
  <c r="B46" i="165" s="1"/>
  <c r="S50" i="162" a="1"/>
  <c r="S50" i="162" s="1"/>
  <c r="B54" i="165" s="1"/>
  <c r="S36" i="162" a="1"/>
  <c r="S36" i="162" s="1"/>
  <c r="B40" i="165" s="1"/>
  <c r="S25" i="162" a="1"/>
  <c r="S25" i="162" s="1"/>
  <c r="B29" i="165" s="1"/>
  <c r="S52" i="162" a="1"/>
  <c r="S52" i="162" s="1"/>
  <c r="S30" i="162" a="1"/>
  <c r="S30" i="162" s="1"/>
  <c r="B34" i="165" s="1"/>
  <c r="S49" i="162" a="1"/>
  <c r="S49" i="162" s="1"/>
  <c r="B53" i="165" s="1"/>
  <c r="S38" i="162" a="1"/>
  <c r="S38" i="162" s="1"/>
  <c r="B42" i="165" s="1"/>
  <c r="S37" i="162" a="1"/>
  <c r="S37" i="162" s="1"/>
  <c r="B41" i="165" s="1"/>
  <c r="S26" i="162" a="1"/>
  <c r="S26" i="162" s="1"/>
  <c r="B30" i="165" s="1"/>
  <c r="S18" i="162" a="1"/>
  <c r="S18" i="162" s="1"/>
  <c r="B22" i="165" s="1"/>
  <c r="S23" i="162" a="1"/>
  <c r="S23" i="162" s="1"/>
  <c r="B27" i="165" s="1"/>
  <c r="S22" i="162" a="1"/>
  <c r="S22" i="162" s="1"/>
  <c r="B26" i="165" s="1"/>
  <c r="S34" i="162" a="1"/>
  <c r="S34" i="162" s="1"/>
  <c r="B38" i="165" s="1"/>
  <c r="S40" i="162" a="1"/>
  <c r="S40" i="162" s="1"/>
  <c r="B44" i="165" s="1"/>
  <c r="S16" i="162" a="1"/>
  <c r="S16" i="162" s="1"/>
  <c r="B20" i="165" s="1"/>
  <c r="S39" i="162" a="1"/>
  <c r="S39" i="162" s="1"/>
  <c r="B43" i="165" s="1"/>
  <c r="S21" i="162" a="1"/>
  <c r="S21" i="162" s="1"/>
  <c r="B25" i="165" s="1"/>
  <c r="S35" i="162" a="1"/>
  <c r="S35" i="162" s="1"/>
  <c r="B39" i="165" s="1"/>
  <c r="S33" i="162" a="1"/>
  <c r="S33" i="162" s="1"/>
  <c r="B37" i="165" s="1"/>
  <c r="S17" i="162" a="1"/>
  <c r="S17" i="162" s="1"/>
  <c r="B21" i="165" s="1"/>
  <c r="S31" i="162" a="1"/>
  <c r="S31" i="162" s="1"/>
  <c r="B35" i="165" s="1"/>
  <c r="S41" i="162" a="1"/>
  <c r="S41" i="162" s="1"/>
  <c r="B45" i="165" s="1"/>
  <c r="S19" i="162" a="1"/>
  <c r="S19" i="162" s="1"/>
  <c r="B23" i="165" s="1"/>
  <c r="S29" i="162" a="1"/>
  <c r="S29" i="162" s="1"/>
  <c r="B33" i="165" s="1"/>
  <c r="I15" i="162"/>
  <c r="S15" i="162" s="1" a="1"/>
  <c r="S15" i="162" s="1"/>
  <c r="B19" i="165" s="1"/>
  <c r="S27" i="162" a="1"/>
  <c r="S27" i="162" s="1"/>
  <c r="B31" i="165" s="1"/>
  <c r="S23" i="157" a="1"/>
  <c r="S23" i="157" s="1"/>
  <c r="B28" i="158" s="1"/>
  <c r="S17" i="157" a="1"/>
  <c r="S17" i="157" s="1"/>
  <c r="B22" i="158" s="1"/>
  <c r="S35" i="154" a="1"/>
  <c r="S35" i="154" s="1"/>
  <c r="B40" i="155" s="1"/>
  <c r="S41" i="154" a="1"/>
  <c r="S41" i="154" s="1"/>
  <c r="B46" i="155" s="1"/>
  <c r="S29" i="154" a="1"/>
  <c r="S29" i="154" s="1"/>
  <c r="B34" i="155" s="1"/>
  <c r="I23" i="159"/>
  <c r="S35" i="159" a="1"/>
  <c r="S35" i="159" s="1"/>
  <c r="B40" i="161" s="1"/>
  <c r="I28" i="159"/>
  <c r="S93" i="159" s="1" a="1"/>
  <c r="S93" i="159" s="1"/>
  <c r="B98" i="161" s="1"/>
  <c r="I24" i="159"/>
  <c r="I20" i="159"/>
  <c r="I16" i="159"/>
  <c r="S98" i="159" a="1"/>
  <c r="S98" i="159" s="1"/>
  <c r="B103" i="161" s="1"/>
  <c r="S94" i="159" a="1"/>
  <c r="S94" i="159" s="1"/>
  <c r="B99" i="161" s="1"/>
  <c r="S90" i="159" a="1"/>
  <c r="S90" i="159" s="1"/>
  <c r="B95" i="161" s="1"/>
  <c r="S86" i="159" a="1"/>
  <c r="S86" i="159" s="1"/>
  <c r="B91" i="161" s="1"/>
  <c r="S82" i="159" a="1"/>
  <c r="S82" i="159" s="1"/>
  <c r="B87" i="161" s="1"/>
  <c r="S78" i="159" a="1"/>
  <c r="S78" i="159" s="1"/>
  <c r="B83" i="161" s="1"/>
  <c r="S74" i="159" a="1"/>
  <c r="S74" i="159" s="1"/>
  <c r="B79" i="161" s="1"/>
  <c r="S70" i="159" a="1"/>
  <c r="S70" i="159" s="1"/>
  <c r="B75" i="161" s="1"/>
  <c r="S66" i="159" a="1"/>
  <c r="S66" i="159" s="1"/>
  <c r="B71" i="161" s="1"/>
  <c r="S62" i="159" a="1"/>
  <c r="S62" i="159" s="1"/>
  <c r="B67" i="161" s="1"/>
  <c r="S58" i="159" a="1"/>
  <c r="S58" i="159" s="1"/>
  <c r="B63" i="161" s="1"/>
  <c r="S54" i="159" a="1"/>
  <c r="S54" i="159" s="1"/>
  <c r="B59" i="161" s="1"/>
  <c r="S50" i="159" a="1"/>
  <c r="S50" i="159" s="1"/>
  <c r="B55" i="161" s="1"/>
  <c r="S46" i="159" a="1"/>
  <c r="S46" i="159" s="1"/>
  <c r="B51" i="161" s="1"/>
  <c r="S42" i="159" a="1"/>
  <c r="S42" i="159" s="1"/>
  <c r="B47" i="161" s="1"/>
  <c r="S38" i="159" a="1"/>
  <c r="S38" i="159" s="1"/>
  <c r="B43" i="161" s="1"/>
  <c r="S34" i="159" a="1"/>
  <c r="S34" i="159" s="1"/>
  <c r="B39" i="161" s="1"/>
  <c r="S30" i="159" a="1"/>
  <c r="S30" i="159" s="1"/>
  <c r="B35" i="161" s="1"/>
  <c r="S26" i="159" a="1"/>
  <c r="S26" i="159" s="1"/>
  <c r="B31" i="161" s="1"/>
  <c r="S22" i="159" a="1"/>
  <c r="S22" i="159" s="1"/>
  <c r="B27" i="161" s="1"/>
  <c r="S18" i="159" a="1"/>
  <c r="S18" i="159" s="1"/>
  <c r="B23" i="161" s="1"/>
  <c r="I27" i="159"/>
  <c r="I19" i="159"/>
  <c r="S99" i="159" a="1"/>
  <c r="S99" i="159" s="1"/>
  <c r="B104" i="161" s="1"/>
  <c r="S83" i="159" a="1"/>
  <c r="S83" i="159" s="1"/>
  <c r="B88" i="161" s="1"/>
  <c r="S63" i="159" a="1"/>
  <c r="S63" i="159" s="1"/>
  <c r="B68" i="161" s="1"/>
  <c r="S47" i="159" a="1"/>
  <c r="S47" i="159" s="1"/>
  <c r="B52" i="161" s="1"/>
  <c r="S23" i="159" a="1"/>
  <c r="S23" i="159" s="1"/>
  <c r="B28" i="161" s="1"/>
  <c r="S87" i="159" a="1"/>
  <c r="S87" i="159" s="1"/>
  <c r="B92" i="161" s="1"/>
  <c r="S71" i="159" a="1"/>
  <c r="S71" i="159" s="1"/>
  <c r="B76" i="161" s="1"/>
  <c r="S55" i="159" a="1"/>
  <c r="S55" i="159" s="1"/>
  <c r="B60" i="161" s="1"/>
  <c r="S39" i="159" a="1"/>
  <c r="S39" i="159" s="1"/>
  <c r="B44" i="161" s="1"/>
  <c r="S31" i="159" a="1"/>
  <c r="S31" i="159" s="1"/>
  <c r="B36" i="161" s="1"/>
  <c r="I25" i="159"/>
  <c r="I21" i="159"/>
  <c r="I17" i="159"/>
  <c r="S27" i="159" s="1" a="1"/>
  <c r="S27" i="159" s="1"/>
  <c r="B32" i="161" s="1"/>
  <c r="S97" i="159" a="1"/>
  <c r="S97" i="159" s="1"/>
  <c r="B102" i="161" s="1"/>
  <c r="S89" i="159" a="1"/>
  <c r="S89" i="159" s="1"/>
  <c r="B94" i="161" s="1"/>
  <c r="S85" i="159" a="1"/>
  <c r="S85" i="159" s="1"/>
  <c r="B90" i="161" s="1"/>
  <c r="S77" i="159" a="1"/>
  <c r="S77" i="159" s="1"/>
  <c r="B82" i="161" s="1"/>
  <c r="S73" i="159" a="1"/>
  <c r="S73" i="159" s="1"/>
  <c r="B78" i="161" s="1"/>
  <c r="S69" i="159" a="1"/>
  <c r="S69" i="159" s="1"/>
  <c r="B74" i="161" s="1"/>
  <c r="S65" i="159" a="1"/>
  <c r="S65" i="159" s="1"/>
  <c r="B70" i="161" s="1"/>
  <c r="S61" i="159" a="1"/>
  <c r="S61" i="159" s="1"/>
  <c r="B66" i="161" s="1"/>
  <c r="S53" i="159" a="1"/>
  <c r="S53" i="159" s="1"/>
  <c r="B58" i="161" s="1"/>
  <c r="S49" i="159" a="1"/>
  <c r="S49" i="159" s="1"/>
  <c r="B54" i="161" s="1"/>
  <c r="S45" i="159" a="1"/>
  <c r="S45" i="159" s="1"/>
  <c r="B50" i="161" s="1"/>
  <c r="S41" i="159" a="1"/>
  <c r="S41" i="159" s="1"/>
  <c r="B46" i="161" s="1"/>
  <c r="S37" i="159" a="1"/>
  <c r="S37" i="159" s="1"/>
  <c r="B42" i="161" s="1"/>
  <c r="S33" i="159" a="1"/>
  <c r="S33" i="159" s="1"/>
  <c r="B38" i="161" s="1"/>
  <c r="S29" i="159" a="1"/>
  <c r="S29" i="159" s="1"/>
  <c r="B34" i="161" s="1"/>
  <c r="S25" i="159" a="1"/>
  <c r="S25" i="159" s="1"/>
  <c r="B30" i="161" s="1"/>
  <c r="S21" i="159" a="1"/>
  <c r="S21" i="159" s="1"/>
  <c r="B26" i="161" s="1"/>
  <c r="S17" i="159" a="1"/>
  <c r="S17" i="159" s="1"/>
  <c r="B22" i="161" s="1"/>
  <c r="S95" i="159" a="1"/>
  <c r="S95" i="159" s="1"/>
  <c r="B100" i="161" s="1"/>
  <c r="S75" i="159" a="1"/>
  <c r="S75" i="159" s="1"/>
  <c r="B80" i="161" s="1"/>
  <c r="S67" i="159" a="1"/>
  <c r="S67" i="159" s="1"/>
  <c r="B72" i="161" s="1"/>
  <c r="S51" i="159" a="1"/>
  <c r="S51" i="159" s="1"/>
  <c r="B56" i="161" s="1"/>
  <c r="S91" i="159" a="1"/>
  <c r="S91" i="159" s="1"/>
  <c r="B96" i="161" s="1"/>
  <c r="S79" i="159" a="1"/>
  <c r="S79" i="159" s="1"/>
  <c r="B84" i="161" s="1"/>
  <c r="S59" i="159" a="1"/>
  <c r="S59" i="159" s="1"/>
  <c r="B64" i="161" s="1"/>
  <c r="S43" i="159" a="1"/>
  <c r="S43" i="159" s="1"/>
  <c r="B48" i="161" s="1"/>
  <c r="S19" i="159" a="1"/>
  <c r="S19" i="159" s="1"/>
  <c r="B24" i="161" s="1"/>
  <c r="I26" i="159"/>
  <c r="S81" i="159" s="1" a="1"/>
  <c r="S81" i="159" s="1"/>
  <c r="B86" i="161" s="1"/>
  <c r="I22" i="159"/>
  <c r="S57" i="159" s="1" a="1"/>
  <c r="S57" i="159" s="1"/>
  <c r="B62" i="161" s="1"/>
  <c r="S96" i="159" a="1"/>
  <c r="S96" i="159" s="1"/>
  <c r="B101" i="161" s="1"/>
  <c r="S92" i="159" a="1"/>
  <c r="S92" i="159" s="1"/>
  <c r="B97" i="161" s="1"/>
  <c r="S88" i="159" a="1"/>
  <c r="S88" i="159" s="1"/>
  <c r="B93" i="161" s="1"/>
  <c r="S84" i="159" a="1"/>
  <c r="S84" i="159" s="1"/>
  <c r="B89" i="161" s="1"/>
  <c r="S80" i="159" a="1"/>
  <c r="S80" i="159" s="1"/>
  <c r="B85" i="161" s="1"/>
  <c r="S76" i="159" a="1"/>
  <c r="S76" i="159" s="1"/>
  <c r="B81" i="161" s="1"/>
  <c r="S72" i="159" a="1"/>
  <c r="S72" i="159" s="1"/>
  <c r="B77" i="161" s="1"/>
  <c r="S68" i="159" a="1"/>
  <c r="S68" i="159" s="1"/>
  <c r="B73" i="161" s="1"/>
  <c r="S64" i="159" a="1"/>
  <c r="S64" i="159" s="1"/>
  <c r="B69" i="161" s="1"/>
  <c r="S60" i="159" a="1"/>
  <c r="S60" i="159" s="1"/>
  <c r="B65" i="161" s="1"/>
  <c r="S56" i="159" a="1"/>
  <c r="S56" i="159" s="1"/>
  <c r="B61" i="161" s="1"/>
  <c r="S52" i="159" a="1"/>
  <c r="S52" i="159" s="1"/>
  <c r="B57" i="161" s="1"/>
  <c r="S48" i="159" a="1"/>
  <c r="S48" i="159" s="1"/>
  <c r="B53" i="161" s="1"/>
  <c r="S44" i="159" a="1"/>
  <c r="S44" i="159" s="1"/>
  <c r="B49" i="161" s="1"/>
  <c r="S40" i="159" a="1"/>
  <c r="S40" i="159" s="1"/>
  <c r="B45" i="161" s="1"/>
  <c r="S36" i="159" a="1"/>
  <c r="S36" i="159" s="1"/>
  <c r="B41" i="161" s="1"/>
  <c r="S32" i="159" a="1"/>
  <c r="S32" i="159" s="1"/>
  <c r="B37" i="161" s="1"/>
  <c r="S28" i="159" a="1"/>
  <c r="S28" i="159" s="1"/>
  <c r="B33" i="161" s="1"/>
  <c r="S24" i="159" a="1"/>
  <c r="S24" i="159" s="1"/>
  <c r="B29" i="161" s="1"/>
  <c r="S20" i="159" a="1"/>
  <c r="S20" i="159" s="1"/>
  <c r="B25" i="161" s="1"/>
  <c r="S16" i="159" a="1"/>
  <c r="S16" i="159" s="1"/>
  <c r="B21" i="161" s="1"/>
  <c r="I15" i="159"/>
  <c r="S15" i="159" s="1" a="1"/>
  <c r="S15" i="159" s="1"/>
  <c r="B20" i="161" s="1"/>
  <c r="B14" i="161"/>
  <c r="S39" i="157" a="1"/>
  <c r="S39" i="157" s="1"/>
  <c r="B44" i="158" s="1"/>
  <c r="I16" i="157"/>
  <c r="S21" i="157" s="1" a="1"/>
  <c r="S21" i="157" s="1"/>
  <c r="B26" i="158" s="1"/>
  <c r="I17" i="157"/>
  <c r="S27" i="157" s="1" a="1"/>
  <c r="S27" i="157" s="1"/>
  <c r="B32" i="158" s="1"/>
  <c r="S19" i="157" a="1"/>
  <c r="S19" i="157" s="1"/>
  <c r="B24" i="158" s="1"/>
  <c r="I18" i="157"/>
  <c r="S33" i="157" s="1" a="1"/>
  <c r="S33" i="157" s="1"/>
  <c r="B38" i="158" s="1"/>
  <c r="B14" i="158"/>
  <c r="I15" i="157"/>
  <c r="S15" i="157" s="1" a="1"/>
  <c r="S15" i="157" s="1"/>
  <c r="B20" i="158" s="1"/>
  <c r="S26" i="151" a="1"/>
  <c r="S26" i="151" s="1"/>
  <c r="S20" i="151" a="1"/>
  <c r="S20" i="151" s="1"/>
  <c r="S38" i="151" a="1"/>
  <c r="S38" i="151" s="1"/>
  <c r="S17" i="148" a="1"/>
  <c r="S17" i="148" s="1"/>
  <c r="S28" i="154" a="1"/>
  <c r="S28" i="154" s="1"/>
  <c r="B33" i="155" s="1"/>
  <c r="S34" i="154" a="1"/>
  <c r="S34" i="154" s="1"/>
  <c r="B39" i="155" s="1"/>
  <c r="S46" i="154" a="1"/>
  <c r="S46" i="154" s="1"/>
  <c r="B51" i="155" s="1"/>
  <c r="S30" i="154" a="1"/>
  <c r="S30" i="154" s="1"/>
  <c r="B35" i="155" s="1"/>
  <c r="S20" i="154" a="1"/>
  <c r="S20" i="154" s="1"/>
  <c r="B25" i="155" s="1"/>
  <c r="I15" i="154"/>
  <c r="S15" i="154" s="1" a="1"/>
  <c r="S15" i="154" s="1"/>
  <c r="B20" i="155" s="1"/>
  <c r="I18" i="154"/>
  <c r="S33" i="154" s="1" a="1"/>
  <c r="S33" i="154" s="1"/>
  <c r="B38" i="155" s="1"/>
  <c r="S17" i="154" a="1"/>
  <c r="S17" i="154" s="1"/>
  <c r="B22" i="155" s="1"/>
  <c r="S36" i="154" a="1"/>
  <c r="S36" i="154" s="1"/>
  <c r="B41" i="155" s="1"/>
  <c r="S42" i="154" a="1"/>
  <c r="S42" i="154" s="1"/>
  <c r="B47" i="155" s="1"/>
  <c r="S26" i="154" a="1"/>
  <c r="S26" i="154" s="1"/>
  <c r="B31" i="155" s="1"/>
  <c r="S40" i="154" a="1"/>
  <c r="S40" i="154" s="1"/>
  <c r="B45" i="155" s="1"/>
  <c r="S16" i="154" a="1"/>
  <c r="S16" i="154" s="1"/>
  <c r="B21" i="155" s="1"/>
  <c r="S32" i="154" a="1"/>
  <c r="S32" i="154" s="1"/>
  <c r="B37" i="155" s="1"/>
  <c r="S22" i="154" a="1"/>
  <c r="S22" i="154" s="1"/>
  <c r="B27" i="155" s="1"/>
  <c r="S38" i="154" a="1"/>
  <c r="S38" i="154" s="1"/>
  <c r="B43" i="155" s="1"/>
  <c r="E6" i="154"/>
  <c r="B17" i="155" s="1"/>
  <c r="S27" i="153" a="1"/>
  <c r="S27" i="153" s="1"/>
  <c r="I16" i="153"/>
  <c r="S21" i="153" s="1" a="1"/>
  <c r="S21" i="153" s="1"/>
  <c r="S34" i="151" a="1"/>
  <c r="S34" i="151" s="1"/>
  <c r="S22" i="151" a="1"/>
  <c r="S22" i="151" s="1"/>
  <c r="I18" i="151"/>
  <c r="S27" i="151" s="1" a="1"/>
  <c r="S27" i="151" s="1"/>
  <c r="I19" i="151"/>
  <c r="S33" i="151" s="1" a="1"/>
  <c r="S33" i="151" s="1"/>
  <c r="I15" i="151"/>
  <c r="S15" i="151" s="1" a="1"/>
  <c r="S15" i="151" s="1"/>
  <c r="I16" i="151"/>
  <c r="S18" i="151" a="1"/>
  <c r="S18" i="151" s="1"/>
  <c r="I15" i="148"/>
  <c r="S15" i="148" s="1" a="1"/>
  <c r="S15" i="148" s="1"/>
  <c r="S15" i="153" a="1"/>
  <c r="S15" i="153" s="1"/>
  <c r="I18" i="148"/>
  <c r="S33" i="148" s="1" a="1"/>
  <c r="S33" i="148" s="1"/>
  <c r="I19" i="148"/>
  <c r="S180" i="146" a="1"/>
  <c r="S180" i="146" s="1"/>
  <c r="S137" i="146" a="1"/>
  <c r="S137" i="146" s="1"/>
  <c r="S70" i="146" a="1"/>
  <c r="S70" i="146" s="1"/>
  <c r="B75" i="147" s="1"/>
  <c r="S74" i="146" a="1"/>
  <c r="S74" i="146" s="1"/>
  <c r="S126" i="146" a="1"/>
  <c r="S126" i="146" s="1"/>
  <c r="S130" i="146" a="1"/>
  <c r="S130" i="146" s="1"/>
  <c r="S154" i="146" a="1"/>
  <c r="S154" i="146" s="1"/>
  <c r="S158" i="146" a="1"/>
  <c r="S158" i="146" s="1"/>
  <c r="S162" i="146" a="1"/>
  <c r="S162" i="146" s="1"/>
  <c r="S123" i="146" a="1"/>
  <c r="S123" i="146" s="1"/>
  <c r="S127" i="146" a="1"/>
  <c r="S127" i="146" s="1"/>
  <c r="S135" i="146" a="1"/>
  <c r="S135" i="146" s="1"/>
  <c r="S139" i="146" a="1"/>
  <c r="S139" i="146" s="1"/>
  <c r="S143" i="146" a="1"/>
  <c r="S143" i="146" s="1"/>
  <c r="S151" i="146" a="1"/>
  <c r="S151" i="146" s="1"/>
  <c r="S121" i="146" a="1"/>
  <c r="S121" i="146" s="1"/>
  <c r="S125" i="146" a="1"/>
  <c r="S125" i="146" s="1"/>
  <c r="S129" i="146" a="1"/>
  <c r="S129" i="146" s="1"/>
  <c r="S133" i="146" a="1"/>
  <c r="S133" i="146" s="1"/>
  <c r="S171" i="146" a="1"/>
  <c r="S171" i="146" s="1"/>
  <c r="S66" i="146" a="1"/>
  <c r="S66" i="146" s="1"/>
  <c r="B71" i="147" s="1"/>
  <c r="S141" i="146" a="1"/>
  <c r="S141" i="146" s="1"/>
  <c r="S145" i="146" a="1"/>
  <c r="S145" i="146" s="1"/>
  <c r="S149" i="146" a="1"/>
  <c r="S149" i="146" s="1"/>
  <c r="S188" i="146" a="1"/>
  <c r="S188" i="146" s="1"/>
  <c r="S138" i="146" a="1"/>
  <c r="S138" i="146" s="1"/>
  <c r="S173" i="146" a="1"/>
  <c r="S173" i="146" s="1"/>
  <c r="S177" i="146" a="1"/>
  <c r="S177" i="146" s="1"/>
  <c r="S181" i="146" a="1"/>
  <c r="S181" i="146" s="1"/>
  <c r="S185" i="146" a="1"/>
  <c r="S185" i="146" s="1"/>
  <c r="S189" i="146" a="1"/>
  <c r="S189" i="146" s="1"/>
  <c r="S75" i="146" a="1"/>
  <c r="S75" i="146" s="1"/>
  <c r="S79" i="146" a="1"/>
  <c r="S79" i="146" s="1"/>
  <c r="S68" i="146" a="1"/>
  <c r="S68" i="146" s="1"/>
  <c r="B73" i="147" s="1"/>
  <c r="S72" i="146" a="1"/>
  <c r="S72" i="146" s="1"/>
  <c r="B77" i="147" s="1"/>
  <c r="S128" i="146" a="1"/>
  <c r="S128" i="146" s="1"/>
  <c r="S159" i="146" a="1"/>
  <c r="S159" i="146" s="1"/>
  <c r="S163" i="146" a="1"/>
  <c r="S163" i="146" s="1"/>
  <c r="S167" i="146" a="1"/>
  <c r="S167" i="146" s="1"/>
  <c r="S59" i="146" a="1"/>
  <c r="S59" i="146" s="1"/>
  <c r="B64" i="147" s="1"/>
  <c r="S56" i="146" a="1"/>
  <c r="S56" i="146" s="1"/>
  <c r="B61" i="147" s="1"/>
  <c r="S147" i="146" a="1"/>
  <c r="S147" i="146" s="1"/>
  <c r="I15" i="146"/>
  <c r="S15" i="146" s="1" a="1"/>
  <c r="S15" i="146" s="1"/>
  <c r="B20" i="147" s="1"/>
  <c r="S71" i="146" a="1"/>
  <c r="S71" i="146" s="1"/>
  <c r="B76" i="147" s="1"/>
  <c r="S122" i="146" a="1"/>
  <c r="S122" i="146" s="1"/>
  <c r="S144" i="146" a="1"/>
  <c r="S144" i="146" s="1"/>
  <c r="S61" i="146" a="1"/>
  <c r="S61" i="146" s="1"/>
  <c r="B66" i="147" s="1"/>
  <c r="S58" i="146" a="1"/>
  <c r="S58" i="146" s="1"/>
  <c r="B63" i="147" s="1"/>
  <c r="S69" i="146" a="1"/>
  <c r="S69" i="146" s="1"/>
  <c r="B74" i="147" s="1"/>
  <c r="S73" i="146" a="1"/>
  <c r="S73" i="146" s="1"/>
  <c r="S77" i="146" a="1"/>
  <c r="S77" i="146" s="1"/>
  <c r="S131" i="146" a="1"/>
  <c r="S131" i="146" s="1"/>
  <c r="S142" i="146" a="1"/>
  <c r="S142" i="146" s="1"/>
  <c r="S146" i="146" a="1"/>
  <c r="S146" i="146" s="1"/>
  <c r="S160" i="146" a="1"/>
  <c r="S160" i="146" s="1"/>
  <c r="S176" i="146" a="1"/>
  <c r="S176" i="146" s="1"/>
  <c r="S60" i="146" a="1"/>
  <c r="S60" i="146" s="1"/>
  <c r="B65" i="147" s="1"/>
  <c r="S76" i="146" a="1"/>
  <c r="S76" i="146" s="1"/>
  <c r="S132" i="146" a="1"/>
  <c r="S132" i="146" s="1"/>
  <c r="S148" i="146" a="1"/>
  <c r="S148" i="146" s="1"/>
  <c r="S164" i="146" a="1"/>
  <c r="S164" i="146" s="1"/>
  <c r="S64" i="146" a="1"/>
  <c r="S64" i="146" s="1"/>
  <c r="B69" i="147" s="1"/>
  <c r="S80" i="146" a="1"/>
  <c r="S80" i="146" s="1"/>
  <c r="S136" i="146" a="1"/>
  <c r="S136" i="146" s="1"/>
  <c r="S152" i="146" a="1"/>
  <c r="S152" i="146" s="1"/>
  <c r="S168" i="146" a="1"/>
  <c r="S168" i="146" s="1"/>
  <c r="S124" i="146" a="1"/>
  <c r="S124" i="146" s="1"/>
  <c r="S140" i="146" a="1"/>
  <c r="S140" i="146" s="1"/>
  <c r="S156" i="146" a="1"/>
  <c r="S156" i="146" s="1"/>
  <c r="S172" i="146" a="1"/>
  <c r="S172" i="146" s="1"/>
  <c r="S62" i="146" a="1"/>
  <c r="S62" i="146" s="1"/>
  <c r="B67" i="147" s="1"/>
  <c r="S78" i="146" a="1"/>
  <c r="S78" i="146" s="1"/>
  <c r="S134" i="146" a="1"/>
  <c r="S134" i="146" s="1"/>
  <c r="S150" i="146" a="1"/>
  <c r="S150" i="146" s="1"/>
  <c r="S166" i="146" a="1"/>
  <c r="S166" i="146" s="1"/>
  <c r="S179" i="146" a="1"/>
  <c r="S179" i="146" s="1"/>
  <c r="S183" i="146" a="1"/>
  <c r="S183" i="146" s="1"/>
  <c r="S187" i="146" a="1"/>
  <c r="S187" i="146" s="1"/>
  <c r="B23" i="143"/>
  <c r="B21" i="143"/>
  <c r="B24" i="143"/>
  <c r="B27" i="143"/>
  <c r="B22" i="143"/>
  <c r="B28" i="143"/>
  <c r="B26" i="143"/>
  <c r="S15" i="141" a="1"/>
  <c r="S15" i="141" s="1"/>
  <c r="B20" i="143" s="1"/>
  <c r="S123" i="141" a="1"/>
  <c r="S123" i="141" s="1"/>
  <c r="S126" i="141" a="1"/>
  <c r="S126" i="141" s="1"/>
  <c r="S139" i="141" a="1"/>
  <c r="S139" i="141" s="1"/>
  <c r="S142" i="141" a="1"/>
  <c r="S142" i="141" s="1"/>
  <c r="S155" i="141" a="1"/>
  <c r="S155" i="141" s="1"/>
  <c r="S158" i="141" a="1"/>
  <c r="S158" i="141" s="1"/>
  <c r="S176" i="141" a="1"/>
  <c r="S176" i="141" s="1"/>
  <c r="S184" i="141" a="1"/>
  <c r="S184" i="141" s="1"/>
  <c r="S127" i="141" a="1"/>
  <c r="S127" i="141" s="1"/>
  <c r="S130" i="141" a="1"/>
  <c r="S130" i="141" s="1"/>
  <c r="S143" i="141" a="1"/>
  <c r="S143" i="141" s="1"/>
  <c r="S146" i="141" a="1"/>
  <c r="S146" i="141" s="1"/>
  <c r="S159" i="141" a="1"/>
  <c r="S159" i="141" s="1"/>
  <c r="S162" i="141" a="1"/>
  <c r="S162" i="141" s="1"/>
  <c r="S185" i="141" a="1"/>
  <c r="S185" i="141" s="1"/>
  <c r="S131" i="141" a="1"/>
  <c r="S131" i="141" s="1"/>
  <c r="S134" i="141" a="1"/>
  <c r="S134" i="141" s="1"/>
  <c r="S147" i="141" a="1"/>
  <c r="S147" i="141" s="1"/>
  <c r="S150" i="141" a="1"/>
  <c r="S150" i="141" s="1"/>
  <c r="S163" i="141" a="1"/>
  <c r="S163" i="141" s="1"/>
  <c r="S166" i="141" a="1"/>
  <c r="S166" i="141" s="1"/>
  <c r="S49" i="140" a="1"/>
  <c r="S49" i="140" s="1"/>
  <c r="B173" i="138" s="1"/>
  <c r="S110" i="140" a="1"/>
  <c r="S110" i="140" s="1"/>
  <c r="B234" i="138" s="1"/>
  <c r="S126" i="140" a="1"/>
  <c r="S126" i="140" s="1"/>
  <c r="B250" i="138" s="1"/>
  <c r="S102" i="140" a="1"/>
  <c r="S102" i="140" s="1"/>
  <c r="B226" i="138" s="1"/>
  <c r="S34" i="140" a="1"/>
  <c r="S34" i="140" s="1"/>
  <c r="B158" i="138" s="1"/>
  <c r="S42" i="140" a="1"/>
  <c r="S42" i="140" s="1"/>
  <c r="B166" i="138" s="1"/>
  <c r="S53" i="140" a="1"/>
  <c r="S53" i="140" s="1"/>
  <c r="B177" i="138" s="1"/>
  <c r="S61" i="140" a="1"/>
  <c r="S61" i="140" s="1"/>
  <c r="B185" i="138" s="1"/>
  <c r="S46" i="140" a="1"/>
  <c r="S46" i="140" s="1"/>
  <c r="B170" i="138" s="1"/>
  <c r="S122" i="140" a="1"/>
  <c r="S122" i="140" s="1"/>
  <c r="B246" i="138" s="1"/>
  <c r="S41" i="140" a="1"/>
  <c r="S41" i="140" s="1"/>
  <c r="B165" i="138" s="1"/>
  <c r="S105" i="140" a="1"/>
  <c r="S105" i="140" s="1"/>
  <c r="B229" i="138" s="1"/>
  <c r="S15" i="140" a="1"/>
  <c r="S15" i="140" s="1"/>
  <c r="B139" i="138" s="1"/>
  <c r="S78" i="140" a="1"/>
  <c r="S78" i="140" s="1"/>
  <c r="B202" i="138" s="1"/>
  <c r="S127" i="140" a="1"/>
  <c r="S127" i="140" s="1"/>
  <c r="B251" i="138" s="1"/>
  <c r="S17" i="140" a="1"/>
  <c r="S17" i="140" s="1"/>
  <c r="B141" i="138" s="1"/>
  <c r="S116" i="140" a="1"/>
  <c r="S116" i="140" s="1"/>
  <c r="B240" i="138" s="1"/>
  <c r="S124" i="140" a="1"/>
  <c r="S124" i="140" s="1"/>
  <c r="B248" i="138" s="1"/>
  <c r="S27" i="140" a="1"/>
  <c r="S27" i="140" s="1"/>
  <c r="B151" i="138" s="1"/>
  <c r="S33" i="140" a="1"/>
  <c r="S33" i="140" s="1"/>
  <c r="B157" i="138" s="1"/>
  <c r="S97" i="140" a="1"/>
  <c r="S97" i="140" s="1"/>
  <c r="B221" i="138" s="1"/>
  <c r="S117" i="140" a="1"/>
  <c r="S117" i="140" s="1"/>
  <c r="B241" i="138" s="1"/>
  <c r="S125" i="140" a="1"/>
  <c r="S125" i="140" s="1"/>
  <c r="B249" i="138" s="1"/>
  <c r="S132" i="140" a="1"/>
  <c r="S132" i="140" s="1"/>
  <c r="B256" i="138" s="1"/>
  <c r="S164" i="140" a="1"/>
  <c r="S164" i="140" s="1"/>
  <c r="S184" i="140" a="1"/>
  <c r="S184" i="140" s="1"/>
  <c r="S94" i="140" a="1"/>
  <c r="S94" i="140" s="1"/>
  <c r="B218" i="138" s="1"/>
  <c r="S89" i="140" a="1"/>
  <c r="S89" i="140" s="1"/>
  <c r="B213" i="138" s="1"/>
  <c r="S73" i="140" a="1"/>
  <c r="S73" i="140" s="1"/>
  <c r="B197" i="138" s="1"/>
  <c r="S104" i="140" a="1"/>
  <c r="S104" i="140" s="1"/>
  <c r="B228" i="138" s="1"/>
  <c r="S30" i="140" a="1"/>
  <c r="S30" i="140" s="1"/>
  <c r="B154" i="138" s="1"/>
  <c r="S21" i="140" a="1"/>
  <c r="S21" i="140" s="1"/>
  <c r="B145" i="138" s="1"/>
  <c r="S31" i="140" a="1"/>
  <c r="S31" i="140" s="1"/>
  <c r="B155" i="138" s="1"/>
  <c r="S35" i="140" a="1"/>
  <c r="S35" i="140" s="1"/>
  <c r="B159" i="138" s="1"/>
  <c r="S39" i="140" a="1"/>
  <c r="S39" i="140" s="1"/>
  <c r="B163" i="138" s="1"/>
  <c r="S43" i="140" a="1"/>
  <c r="S43" i="140" s="1"/>
  <c r="B167" i="138" s="1"/>
  <c r="S47" i="140" a="1"/>
  <c r="S47" i="140" s="1"/>
  <c r="B171" i="138" s="1"/>
  <c r="S74" i="140" a="1"/>
  <c r="S74" i="140" s="1"/>
  <c r="B198" i="138" s="1"/>
  <c r="S93" i="140" a="1"/>
  <c r="S93" i="140" s="1"/>
  <c r="B217" i="138" s="1"/>
  <c r="S108" i="140" a="1"/>
  <c r="S108" i="140" s="1"/>
  <c r="B232" i="138" s="1"/>
  <c r="S77" i="140" a="1"/>
  <c r="S77" i="140" s="1"/>
  <c r="B201" i="138" s="1"/>
  <c r="S57" i="140" a="1"/>
  <c r="S57" i="140" s="1"/>
  <c r="B181" i="138" s="1"/>
  <c r="S62" i="140" a="1"/>
  <c r="S62" i="140" s="1"/>
  <c r="B186" i="138" s="1"/>
  <c r="S51" i="140" a="1"/>
  <c r="S51" i="140" s="1"/>
  <c r="B175" i="138" s="1"/>
  <c r="S55" i="140" a="1"/>
  <c r="S55" i="140" s="1"/>
  <c r="B179" i="138" s="1"/>
  <c r="S59" i="140" a="1"/>
  <c r="S59" i="140" s="1"/>
  <c r="B183" i="138" s="1"/>
  <c r="S63" i="140" a="1"/>
  <c r="S63" i="140" s="1"/>
  <c r="B187" i="138" s="1"/>
  <c r="S67" i="140" a="1"/>
  <c r="S67" i="140" s="1"/>
  <c r="B191" i="138" s="1"/>
  <c r="S71" i="140" a="1"/>
  <c r="S71" i="140" s="1"/>
  <c r="B195" i="138" s="1"/>
  <c r="S90" i="140" a="1"/>
  <c r="S90" i="140" s="1"/>
  <c r="B214" i="138" s="1"/>
  <c r="S101" i="140" a="1"/>
  <c r="S101" i="140" s="1"/>
  <c r="B225" i="138" s="1"/>
  <c r="S120" i="140" a="1"/>
  <c r="S120" i="140" s="1"/>
  <c r="B244" i="138" s="1"/>
  <c r="S128" i="140" a="1"/>
  <c r="S128" i="140" s="1"/>
  <c r="B252" i="138" s="1"/>
  <c r="S143" i="140" a="1"/>
  <c r="S143" i="140" s="1"/>
  <c r="S147" i="140" a="1"/>
  <c r="S147" i="140" s="1"/>
  <c r="S162" i="140" a="1"/>
  <c r="S162" i="140" s="1"/>
  <c r="S173" i="140" a="1"/>
  <c r="S173" i="140" s="1"/>
  <c r="S20" i="140" a="1"/>
  <c r="S20" i="140" s="1"/>
  <c r="B144" i="138" s="1"/>
  <c r="S23" i="140" a="1"/>
  <c r="S23" i="140" s="1"/>
  <c r="B147" i="138" s="1"/>
  <c r="S24" i="140" a="1"/>
  <c r="S24" i="140" s="1"/>
  <c r="B148" i="138" s="1"/>
  <c r="S32" i="140" a="1"/>
  <c r="S32" i="140" s="1"/>
  <c r="B156" i="138" s="1"/>
  <c r="S48" i="140" a="1"/>
  <c r="S48" i="140" s="1"/>
  <c r="B172" i="138" s="1"/>
  <c r="S75" i="140" a="1"/>
  <c r="S75" i="140" s="1"/>
  <c r="B199" i="138" s="1"/>
  <c r="S79" i="140" a="1"/>
  <c r="S79" i="140" s="1"/>
  <c r="B203" i="138" s="1"/>
  <c r="S83" i="140" a="1"/>
  <c r="S83" i="140" s="1"/>
  <c r="B207" i="138" s="1"/>
  <c r="S109" i="140" a="1"/>
  <c r="S109" i="140" s="1"/>
  <c r="B233" i="138" s="1"/>
  <c r="S16" i="140" a="1"/>
  <c r="S16" i="140" s="1"/>
  <c r="B140" i="138" s="1"/>
  <c r="S36" i="140" a="1"/>
  <c r="S36" i="140" s="1"/>
  <c r="B160" i="138" s="1"/>
  <c r="S44" i="140" a="1"/>
  <c r="S44" i="140" s="1"/>
  <c r="B168" i="138" s="1"/>
  <c r="S56" i="140" a="1"/>
  <c r="S56" i="140" s="1"/>
  <c r="B180" i="138" s="1"/>
  <c r="S72" i="140" a="1"/>
  <c r="S72" i="140" s="1"/>
  <c r="B196" i="138" s="1"/>
  <c r="S91" i="140" a="1"/>
  <c r="S91" i="140" s="1"/>
  <c r="B215" i="138" s="1"/>
  <c r="S95" i="140" a="1"/>
  <c r="S95" i="140" s="1"/>
  <c r="B219" i="138" s="1"/>
  <c r="S114" i="140" a="1"/>
  <c r="S114" i="140" s="1"/>
  <c r="B238" i="138" s="1"/>
  <c r="S136" i="140" a="1"/>
  <c r="S136" i="140" s="1"/>
  <c r="S144" i="140" a="1"/>
  <c r="S144" i="140" s="1"/>
  <c r="S159" i="140" a="1"/>
  <c r="S159" i="140" s="1"/>
  <c r="S163" i="140" a="1"/>
  <c r="S163" i="140" s="1"/>
  <c r="S170" i="140" a="1"/>
  <c r="S170" i="140" s="1"/>
  <c r="S181" i="140" a="1"/>
  <c r="S181" i="140" s="1"/>
  <c r="S66" i="140" a="1"/>
  <c r="S66" i="140" s="1"/>
  <c r="B190" i="138" s="1"/>
  <c r="S85" i="140" a="1"/>
  <c r="S85" i="140" s="1"/>
  <c r="B209" i="138" s="1"/>
  <c r="S18" i="140" a="1"/>
  <c r="S18" i="140" s="1"/>
  <c r="B142" i="138" s="1"/>
  <c r="S19" i="140" a="1"/>
  <c r="S19" i="140" s="1"/>
  <c r="B143" i="138" s="1"/>
  <c r="S54" i="140" a="1"/>
  <c r="S54" i="140" s="1"/>
  <c r="B178" i="138" s="1"/>
  <c r="S25" i="140" a="1"/>
  <c r="S25" i="140" s="1"/>
  <c r="B149" i="138" s="1"/>
  <c r="S60" i="140" a="1"/>
  <c r="S60" i="140" s="1"/>
  <c r="B184" i="138" s="1"/>
  <c r="S68" i="140" a="1"/>
  <c r="S68" i="140" s="1"/>
  <c r="B192" i="138" s="1"/>
  <c r="S80" i="140" a="1"/>
  <c r="S80" i="140" s="1"/>
  <c r="B204" i="138" s="1"/>
  <c r="S103" i="140" a="1"/>
  <c r="S103" i="140" s="1"/>
  <c r="B227" i="138" s="1"/>
  <c r="S69" i="140" a="1"/>
  <c r="S69" i="140" s="1"/>
  <c r="B193" i="138" s="1"/>
  <c r="S92" i="140" a="1"/>
  <c r="S92" i="140" s="1"/>
  <c r="B216" i="138" s="1"/>
  <c r="S38" i="140" a="1"/>
  <c r="S38" i="140" s="1"/>
  <c r="B162" i="138" s="1"/>
  <c r="S65" i="140" a="1"/>
  <c r="S65" i="140" s="1"/>
  <c r="B189" i="138" s="1"/>
  <c r="S70" i="140" a="1"/>
  <c r="S70" i="140" s="1"/>
  <c r="B194" i="138" s="1"/>
  <c r="S81" i="140" a="1"/>
  <c r="S81" i="140" s="1"/>
  <c r="B205" i="138" s="1"/>
  <c r="S86" i="140" a="1"/>
  <c r="S86" i="140" s="1"/>
  <c r="B210" i="138" s="1"/>
  <c r="S29" i="140" a="1"/>
  <c r="S29" i="140" s="1"/>
  <c r="B153" i="138" s="1"/>
  <c r="S37" i="140" a="1"/>
  <c r="S37" i="140" s="1"/>
  <c r="B161" i="138" s="1"/>
  <c r="S84" i="140" a="1"/>
  <c r="S84" i="140" s="1"/>
  <c r="B208" i="138" s="1"/>
  <c r="S96" i="140" a="1"/>
  <c r="S96" i="140" s="1"/>
  <c r="B220" i="138" s="1"/>
  <c r="S107" i="140" a="1"/>
  <c r="S107" i="140" s="1"/>
  <c r="B231" i="138" s="1"/>
  <c r="S111" i="140" a="1"/>
  <c r="S111" i="140" s="1"/>
  <c r="B235" i="138" s="1"/>
  <c r="S115" i="140" a="1"/>
  <c r="S115" i="140" s="1"/>
  <c r="B239" i="138" s="1"/>
  <c r="S118" i="140" a="1"/>
  <c r="S118" i="140" s="1"/>
  <c r="B242" i="138" s="1"/>
  <c r="S130" i="140" a="1"/>
  <c r="S130" i="140" s="1"/>
  <c r="B254" i="138" s="1"/>
  <c r="S152" i="140" a="1"/>
  <c r="S152" i="140" s="1"/>
  <c r="S160" i="140" a="1"/>
  <c r="S160" i="140" s="1"/>
  <c r="S182" i="140" a="1"/>
  <c r="S182" i="140" s="1"/>
  <c r="S58" i="140" a="1"/>
  <c r="S58" i="140" s="1"/>
  <c r="B182" i="138" s="1"/>
  <c r="S100" i="140" a="1"/>
  <c r="S100" i="140" s="1"/>
  <c r="B224" i="138" s="1"/>
  <c r="S112" i="140" a="1"/>
  <c r="S112" i="140" s="1"/>
  <c r="B236" i="138" s="1"/>
  <c r="S22" i="140" a="1"/>
  <c r="S22" i="140" s="1"/>
  <c r="B146" i="138" s="1"/>
  <c r="S82" i="140" a="1"/>
  <c r="S82" i="140" s="1"/>
  <c r="B206" i="138" s="1"/>
  <c r="S40" i="140" a="1"/>
  <c r="S40" i="140" s="1"/>
  <c r="B164" i="138" s="1"/>
  <c r="S64" i="140" a="1"/>
  <c r="S64" i="140" s="1"/>
  <c r="B188" i="138" s="1"/>
  <c r="S106" i="140" a="1"/>
  <c r="S106" i="140" s="1"/>
  <c r="B230" i="138" s="1"/>
  <c r="S28" i="140" a="1"/>
  <c r="S28" i="140" s="1"/>
  <c r="B152" i="138" s="1"/>
  <c r="S52" i="140" a="1"/>
  <c r="S52" i="140" s="1"/>
  <c r="B176" i="138" s="1"/>
  <c r="S88" i="140" a="1"/>
  <c r="S88" i="140" s="1"/>
  <c r="B212" i="138" s="1"/>
  <c r="S76" i="140" a="1"/>
  <c r="S76" i="140" s="1"/>
  <c r="B200" i="138" s="1"/>
  <c r="S50" i="140" a="1"/>
  <c r="S50" i="140" s="1"/>
  <c r="B174" i="138" s="1"/>
  <c r="S87" i="140" a="1"/>
  <c r="S87" i="140" s="1"/>
  <c r="B211" i="138" s="1"/>
  <c r="S98" i="140" a="1"/>
  <c r="S98" i="140" s="1"/>
  <c r="B222" i="138" s="1"/>
  <c r="S26" i="140" a="1"/>
  <c r="S26" i="140" s="1"/>
  <c r="B150" i="138" s="1"/>
  <c r="S99" i="140" a="1"/>
  <c r="S99" i="140" s="1"/>
  <c r="B223" i="138" s="1"/>
  <c r="S45" i="140" a="1"/>
  <c r="S45" i="140" s="1"/>
  <c r="B169" i="138" s="1"/>
  <c r="S113" i="140" a="1"/>
  <c r="S113" i="140" s="1"/>
  <c r="B237" i="138" s="1"/>
  <c r="S129" i="140" a="1"/>
  <c r="S129" i="140" s="1"/>
  <c r="B253" i="138" s="1"/>
  <c r="S145" i="140" a="1"/>
  <c r="S145" i="140" s="1"/>
  <c r="S161" i="140" a="1"/>
  <c r="S161" i="140" s="1"/>
  <c r="S177" i="140" a="1"/>
  <c r="S177" i="140" s="1"/>
  <c r="S123" i="140" a="1"/>
  <c r="S123" i="140" s="1"/>
  <c r="B247" i="138" s="1"/>
  <c r="S139" i="140" a="1"/>
  <c r="S139" i="140" s="1"/>
  <c r="S155" i="140" a="1"/>
  <c r="S155" i="140" s="1"/>
  <c r="S171" i="140" a="1"/>
  <c r="S171" i="140" s="1"/>
  <c r="S121" i="140" a="1"/>
  <c r="S121" i="140" s="1"/>
  <c r="B245" i="138" s="1"/>
  <c r="S137" i="140" a="1"/>
  <c r="S137" i="140" s="1"/>
  <c r="S153" i="140" a="1"/>
  <c r="S153" i="140" s="1"/>
  <c r="S169" i="140" a="1"/>
  <c r="S169" i="140" s="1"/>
  <c r="S185" i="140" a="1"/>
  <c r="S185" i="140" s="1"/>
  <c r="S119" i="140" a="1"/>
  <c r="S119" i="140" s="1"/>
  <c r="B243" i="138" s="1"/>
  <c r="S135" i="140" a="1"/>
  <c r="S135" i="140" s="1"/>
  <c r="S151" i="140" a="1"/>
  <c r="S151" i="140" s="1"/>
  <c r="S167" i="140" a="1"/>
  <c r="S167" i="140" s="1"/>
  <c r="S183" i="140" a="1"/>
  <c r="S183" i="140" s="1"/>
  <c r="R190" i="137"/>
  <c r="Q190" i="137"/>
  <c r="S190" i="137" s="1" a="1"/>
  <c r="S190" i="137" s="1"/>
  <c r="R189" i="137"/>
  <c r="Q189" i="137"/>
  <c r="S189" i="137" s="1" a="1"/>
  <c r="S189" i="137" s="1"/>
  <c r="R188" i="137"/>
  <c r="Q188" i="137"/>
  <c r="S188" i="137" s="1" a="1"/>
  <c r="S188" i="137" s="1"/>
  <c r="R187" i="137"/>
  <c r="Q187" i="137"/>
  <c r="R186" i="137"/>
  <c r="Q186" i="137"/>
  <c r="S186" i="137" s="1" a="1"/>
  <c r="S186" i="137" s="1"/>
  <c r="R185" i="137"/>
  <c r="Q185" i="137"/>
  <c r="S185" i="137" s="1" a="1"/>
  <c r="S185" i="137" s="1"/>
  <c r="R184" i="137"/>
  <c r="Q184" i="137"/>
  <c r="S184" i="137" s="1" a="1"/>
  <c r="S184" i="137" s="1"/>
  <c r="R183" i="137"/>
  <c r="Q183" i="137"/>
  <c r="R182" i="137"/>
  <c r="Q182" i="137"/>
  <c r="S182" i="137" s="1" a="1"/>
  <c r="S182" i="137" s="1"/>
  <c r="R181" i="137"/>
  <c r="Q181" i="137"/>
  <c r="S181" i="137" s="1" a="1"/>
  <c r="S181" i="137" s="1"/>
  <c r="R180" i="137"/>
  <c r="Q180" i="137"/>
  <c r="S180" i="137" s="1" a="1"/>
  <c r="S180" i="137" s="1"/>
  <c r="R179" i="137"/>
  <c r="Q179" i="137"/>
  <c r="R178" i="137"/>
  <c r="Q178" i="137"/>
  <c r="S178" i="137" s="1" a="1"/>
  <c r="S178" i="137" s="1"/>
  <c r="R177" i="137"/>
  <c r="Q177" i="137"/>
  <c r="S177" i="137" s="1" a="1"/>
  <c r="S177" i="137" s="1"/>
  <c r="R176" i="137"/>
  <c r="Q176" i="137"/>
  <c r="S176" i="137" s="1" a="1"/>
  <c r="S176" i="137" s="1"/>
  <c r="R175" i="137"/>
  <c r="Q175" i="137"/>
  <c r="R174" i="137"/>
  <c r="Q174" i="137"/>
  <c r="S174" i="137" s="1" a="1"/>
  <c r="S174" i="137" s="1"/>
  <c r="R173" i="137"/>
  <c r="Q173" i="137"/>
  <c r="S173" i="137" s="1" a="1"/>
  <c r="S173" i="137" s="1"/>
  <c r="R172" i="137"/>
  <c r="Q172" i="137"/>
  <c r="S172" i="137" s="1" a="1"/>
  <c r="S172" i="137" s="1"/>
  <c r="R171" i="137"/>
  <c r="Q171" i="137"/>
  <c r="R170" i="137"/>
  <c r="Q170" i="137"/>
  <c r="S170" i="137" s="1" a="1"/>
  <c r="S170" i="137" s="1"/>
  <c r="R169" i="137"/>
  <c r="Q169" i="137"/>
  <c r="S169" i="137" s="1" a="1"/>
  <c r="S169" i="137" s="1"/>
  <c r="R168" i="137"/>
  <c r="Q168" i="137"/>
  <c r="S168" i="137" s="1" a="1"/>
  <c r="S168" i="137" s="1"/>
  <c r="R167" i="137"/>
  <c r="Q167" i="137"/>
  <c r="R166" i="137"/>
  <c r="Q166" i="137"/>
  <c r="S166" i="137" s="1" a="1"/>
  <c r="S166" i="137" s="1"/>
  <c r="R165" i="137"/>
  <c r="Q165" i="137"/>
  <c r="S165" i="137" s="1" a="1"/>
  <c r="S165" i="137" s="1"/>
  <c r="R164" i="137"/>
  <c r="Q164" i="137"/>
  <c r="S164" i="137" s="1" a="1"/>
  <c r="S164" i="137" s="1"/>
  <c r="R163" i="137"/>
  <c r="Q163" i="137"/>
  <c r="R162" i="137"/>
  <c r="Q162" i="137"/>
  <c r="S162" i="137" s="1" a="1"/>
  <c r="S162" i="137" s="1"/>
  <c r="R161" i="137"/>
  <c r="Q161" i="137"/>
  <c r="S161" i="137" s="1" a="1"/>
  <c r="S161" i="137" s="1"/>
  <c r="R160" i="137"/>
  <c r="Q160" i="137"/>
  <c r="S160" i="137" s="1" a="1"/>
  <c r="S160" i="137" s="1"/>
  <c r="R159" i="137"/>
  <c r="Q159" i="137"/>
  <c r="R158" i="137"/>
  <c r="Q158" i="137"/>
  <c r="S158" i="137" s="1" a="1"/>
  <c r="S158" i="137" s="1"/>
  <c r="R157" i="137"/>
  <c r="Q157" i="137"/>
  <c r="S157" i="137" s="1" a="1"/>
  <c r="S157" i="137" s="1"/>
  <c r="R156" i="137"/>
  <c r="Q156" i="137"/>
  <c r="S156" i="137" s="1" a="1"/>
  <c r="S156" i="137" s="1"/>
  <c r="R155" i="137"/>
  <c r="Q155" i="137"/>
  <c r="R154" i="137"/>
  <c r="Q154" i="137"/>
  <c r="S154" i="137" s="1" a="1"/>
  <c r="S154" i="137" s="1"/>
  <c r="R153" i="137"/>
  <c r="Q153" i="137"/>
  <c r="S153" i="137" s="1" a="1"/>
  <c r="S153" i="137" s="1"/>
  <c r="R152" i="137"/>
  <c r="Q152" i="137"/>
  <c r="S152" i="137" s="1" a="1"/>
  <c r="S152" i="137" s="1"/>
  <c r="R151" i="137"/>
  <c r="Q151" i="137"/>
  <c r="R150" i="137"/>
  <c r="Q150" i="137"/>
  <c r="S150" i="137" s="1" a="1"/>
  <c r="S150" i="137" s="1"/>
  <c r="R149" i="137"/>
  <c r="Q149" i="137"/>
  <c r="S149" i="137" s="1" a="1"/>
  <c r="S149" i="137" s="1"/>
  <c r="R148" i="137"/>
  <c r="Q148" i="137"/>
  <c r="S148" i="137" s="1" a="1"/>
  <c r="S148" i="137" s="1"/>
  <c r="R147" i="137"/>
  <c r="Q147" i="137"/>
  <c r="R146" i="137"/>
  <c r="Q146" i="137"/>
  <c r="S146" i="137" s="1" a="1"/>
  <c r="S146" i="137" s="1"/>
  <c r="R145" i="137"/>
  <c r="Q145" i="137"/>
  <c r="S145" i="137" s="1" a="1"/>
  <c r="S145" i="137" s="1"/>
  <c r="R144" i="137"/>
  <c r="Q144" i="137"/>
  <c r="S144" i="137" s="1" a="1"/>
  <c r="S144" i="137" s="1"/>
  <c r="R143" i="137"/>
  <c r="Q143" i="137"/>
  <c r="R142" i="137"/>
  <c r="Q142" i="137"/>
  <c r="S142" i="137" s="1" a="1"/>
  <c r="S142" i="137" s="1"/>
  <c r="R141" i="137"/>
  <c r="Q141" i="137"/>
  <c r="S141" i="137" s="1" a="1"/>
  <c r="S141" i="137" s="1"/>
  <c r="R140" i="137"/>
  <c r="Q140" i="137"/>
  <c r="S140" i="137" s="1" a="1"/>
  <c r="S140" i="137" s="1"/>
  <c r="R139" i="137"/>
  <c r="Q139" i="137"/>
  <c r="R138" i="137"/>
  <c r="Q138" i="137"/>
  <c r="S138" i="137" s="1" a="1"/>
  <c r="S138" i="137" s="1"/>
  <c r="R137" i="137"/>
  <c r="Q137" i="137"/>
  <c r="S137" i="137" s="1" a="1"/>
  <c r="S137" i="137" s="1"/>
  <c r="R136" i="137"/>
  <c r="Q136" i="137"/>
  <c r="S136" i="137" s="1" a="1"/>
  <c r="S136" i="137" s="1"/>
  <c r="R135" i="137"/>
  <c r="Q135" i="137"/>
  <c r="R134" i="137"/>
  <c r="Q134" i="137"/>
  <c r="S134" i="137" s="1" a="1"/>
  <c r="S134" i="137" s="1"/>
  <c r="R133" i="137"/>
  <c r="Q133" i="137"/>
  <c r="S133" i="137" s="1" a="1"/>
  <c r="S133" i="137" s="1"/>
  <c r="R132" i="137"/>
  <c r="Q132" i="137"/>
  <c r="S132" i="137" s="1" a="1"/>
  <c r="S132" i="137" s="1"/>
  <c r="R131" i="137"/>
  <c r="Q131" i="137"/>
  <c r="R130" i="137"/>
  <c r="Q130" i="137"/>
  <c r="S130" i="137" s="1" a="1"/>
  <c r="S130" i="137" s="1"/>
  <c r="R129" i="137"/>
  <c r="Q129" i="137"/>
  <c r="S129" i="137" s="1" a="1"/>
  <c r="S129" i="137" s="1"/>
  <c r="R128" i="137"/>
  <c r="Q128" i="137"/>
  <c r="S128" i="137" s="1" a="1"/>
  <c r="S128" i="137" s="1"/>
  <c r="R127" i="137"/>
  <c r="Q127" i="137"/>
  <c r="R126" i="137"/>
  <c r="Q126" i="137"/>
  <c r="S126" i="137" s="1" a="1"/>
  <c r="S126" i="137" s="1"/>
  <c r="R125" i="137"/>
  <c r="Q125" i="137"/>
  <c r="S125" i="137" s="1" a="1"/>
  <c r="S125" i="137" s="1"/>
  <c r="R124" i="137"/>
  <c r="Q124" i="137"/>
  <c r="S124" i="137" s="1" a="1"/>
  <c r="S124" i="137" s="1"/>
  <c r="R123" i="137"/>
  <c r="Q123" i="137"/>
  <c r="R122" i="137"/>
  <c r="Q122" i="137"/>
  <c r="S122" i="137" s="1" a="1"/>
  <c r="S122" i="137" s="1"/>
  <c r="R121" i="137"/>
  <c r="Q121" i="137"/>
  <c r="S121" i="137" s="1" a="1"/>
  <c r="S121" i="137" s="1"/>
  <c r="R120" i="137"/>
  <c r="Q120" i="137"/>
  <c r="S120" i="137" s="1" a="1"/>
  <c r="S120" i="137" s="1"/>
  <c r="R119" i="137"/>
  <c r="Q119" i="137"/>
  <c r="R118" i="137"/>
  <c r="Q118" i="137"/>
  <c r="S118" i="137" s="1" a="1"/>
  <c r="S118" i="137" s="1"/>
  <c r="B123" i="138" s="1"/>
  <c r="R117" i="137"/>
  <c r="Q117" i="137"/>
  <c r="S117" i="137" s="1" a="1"/>
  <c r="S117" i="137" s="1"/>
  <c r="B122" i="138" s="1"/>
  <c r="R116" i="137"/>
  <c r="Q116" i="137"/>
  <c r="S116" i="137" s="1" a="1"/>
  <c r="S116" i="137" s="1"/>
  <c r="B121" i="138" s="1"/>
  <c r="R115" i="137"/>
  <c r="Q115" i="137"/>
  <c r="R114" i="137"/>
  <c r="Q114" i="137"/>
  <c r="S114" i="137" s="1" a="1"/>
  <c r="S114" i="137" s="1"/>
  <c r="B119" i="138" s="1"/>
  <c r="R113" i="137"/>
  <c r="Q113" i="137"/>
  <c r="S113" i="137" s="1" a="1"/>
  <c r="S113" i="137" s="1"/>
  <c r="B118" i="138" s="1"/>
  <c r="R112" i="137"/>
  <c r="Q112" i="137"/>
  <c r="S112" i="137" s="1" a="1"/>
  <c r="S112" i="137" s="1"/>
  <c r="B117" i="138" s="1"/>
  <c r="R111" i="137"/>
  <c r="Q111" i="137"/>
  <c r="R110" i="137"/>
  <c r="Q110" i="137"/>
  <c r="S110" i="137" s="1" a="1"/>
  <c r="S110" i="137" s="1"/>
  <c r="B115" i="138" s="1"/>
  <c r="R109" i="137"/>
  <c r="Q109" i="137"/>
  <c r="S109" i="137" s="1" a="1"/>
  <c r="S109" i="137" s="1"/>
  <c r="B114" i="138" s="1"/>
  <c r="R108" i="137"/>
  <c r="Q108" i="137"/>
  <c r="S108" i="137" s="1" a="1"/>
  <c r="S108" i="137" s="1"/>
  <c r="B113" i="138" s="1"/>
  <c r="R107" i="137"/>
  <c r="Q107" i="137"/>
  <c r="R106" i="137"/>
  <c r="Q106" i="137"/>
  <c r="S106" i="137" s="1" a="1"/>
  <c r="S106" i="137" s="1"/>
  <c r="B111" i="138" s="1"/>
  <c r="R105" i="137"/>
  <c r="Q105" i="137"/>
  <c r="S105" i="137" s="1" a="1"/>
  <c r="S105" i="137" s="1"/>
  <c r="B110" i="138" s="1"/>
  <c r="R104" i="137"/>
  <c r="Q104" i="137"/>
  <c r="S104" i="137" s="1" a="1"/>
  <c r="S104" i="137" s="1"/>
  <c r="B109" i="138" s="1"/>
  <c r="R103" i="137"/>
  <c r="Q103" i="137"/>
  <c r="R102" i="137"/>
  <c r="Q102" i="137"/>
  <c r="S102" i="137" s="1" a="1"/>
  <c r="S102" i="137" s="1"/>
  <c r="B107" i="138" s="1"/>
  <c r="R101" i="137"/>
  <c r="Q101" i="137"/>
  <c r="S101" i="137" s="1" a="1"/>
  <c r="S101" i="137" s="1"/>
  <c r="B106" i="138" s="1"/>
  <c r="R100" i="137"/>
  <c r="Q100" i="137"/>
  <c r="S100" i="137" s="1" a="1"/>
  <c r="S100" i="137" s="1"/>
  <c r="B105" i="138" s="1"/>
  <c r="R99" i="137"/>
  <c r="Q99" i="137"/>
  <c r="R98" i="137"/>
  <c r="Q98" i="137"/>
  <c r="S98" i="137" s="1" a="1"/>
  <c r="S98" i="137" s="1"/>
  <c r="B103" i="138" s="1"/>
  <c r="R97" i="137"/>
  <c r="Q97" i="137"/>
  <c r="S97" i="137" s="1" a="1"/>
  <c r="S97" i="137" s="1"/>
  <c r="B102" i="138" s="1"/>
  <c r="R96" i="137"/>
  <c r="Q96" i="137"/>
  <c r="S96" i="137" s="1" a="1"/>
  <c r="S96" i="137" s="1"/>
  <c r="B101" i="138" s="1"/>
  <c r="R95" i="137"/>
  <c r="Q95" i="137"/>
  <c r="R94" i="137"/>
  <c r="Q94" i="137"/>
  <c r="S94" i="137" s="1" a="1"/>
  <c r="S94" i="137" s="1"/>
  <c r="B99" i="138" s="1"/>
  <c r="R93" i="137"/>
  <c r="Q93" i="137"/>
  <c r="S93" i="137" s="1" a="1"/>
  <c r="S93" i="137" s="1"/>
  <c r="B98" i="138" s="1"/>
  <c r="R92" i="137"/>
  <c r="Q92" i="137"/>
  <c r="S92" i="137" s="1" a="1"/>
  <c r="S92" i="137" s="1"/>
  <c r="B97" i="138" s="1"/>
  <c r="R91" i="137"/>
  <c r="Q91" i="137"/>
  <c r="R90" i="137"/>
  <c r="Q90" i="137"/>
  <c r="S90" i="137" s="1" a="1"/>
  <c r="S90" i="137" s="1"/>
  <c r="B95" i="138" s="1"/>
  <c r="R89" i="137"/>
  <c r="Q89" i="137"/>
  <c r="S89" i="137" s="1" a="1"/>
  <c r="S89" i="137" s="1"/>
  <c r="B94" i="138" s="1"/>
  <c r="R88" i="137"/>
  <c r="Q88" i="137"/>
  <c r="S88" i="137" s="1" a="1"/>
  <c r="S88" i="137" s="1"/>
  <c r="B93" i="138" s="1"/>
  <c r="R87" i="137"/>
  <c r="Q87" i="137"/>
  <c r="R86" i="137"/>
  <c r="Q86" i="137"/>
  <c r="S86" i="137" s="1" a="1"/>
  <c r="S86" i="137" s="1"/>
  <c r="B91" i="138" s="1"/>
  <c r="R85" i="137"/>
  <c r="Q85" i="137"/>
  <c r="S85" i="137" s="1" a="1"/>
  <c r="S85" i="137" s="1"/>
  <c r="B90" i="138" s="1"/>
  <c r="R84" i="137"/>
  <c r="Q84" i="137"/>
  <c r="S84" i="137" s="1" a="1"/>
  <c r="S84" i="137" s="1"/>
  <c r="B89" i="138" s="1"/>
  <c r="R83" i="137"/>
  <c r="Q83" i="137"/>
  <c r="R82" i="137"/>
  <c r="Q82" i="137"/>
  <c r="S82" i="137" s="1" a="1"/>
  <c r="S82" i="137" s="1"/>
  <c r="B87" i="138" s="1"/>
  <c r="R81" i="137"/>
  <c r="Q81" i="137"/>
  <c r="S81" i="137" s="1" a="1"/>
  <c r="S81" i="137" s="1"/>
  <c r="B86" i="138" s="1"/>
  <c r="R80" i="137"/>
  <c r="Q80" i="137"/>
  <c r="S80" i="137" s="1" a="1"/>
  <c r="S80" i="137" s="1"/>
  <c r="B85" i="138" s="1"/>
  <c r="R79" i="137"/>
  <c r="Q79" i="137"/>
  <c r="R78" i="137"/>
  <c r="Q78" i="137"/>
  <c r="S78" i="137" s="1" a="1"/>
  <c r="S78" i="137" s="1"/>
  <c r="B83" i="138" s="1"/>
  <c r="R77" i="137"/>
  <c r="Q77" i="137"/>
  <c r="S77" i="137" s="1" a="1"/>
  <c r="S77" i="137" s="1"/>
  <c r="B82" i="138" s="1"/>
  <c r="R76" i="137"/>
  <c r="Q76" i="137"/>
  <c r="S76" i="137" s="1" a="1"/>
  <c r="S76" i="137" s="1"/>
  <c r="B81" i="138" s="1"/>
  <c r="R75" i="137"/>
  <c r="Q75" i="137"/>
  <c r="R74" i="137"/>
  <c r="Q74" i="137"/>
  <c r="S74" i="137" s="1" a="1"/>
  <c r="S74" i="137" s="1"/>
  <c r="B79" i="138" s="1"/>
  <c r="R73" i="137"/>
  <c r="Q73" i="137"/>
  <c r="S73" i="137" s="1" a="1"/>
  <c r="S73" i="137" s="1"/>
  <c r="B78" i="138" s="1"/>
  <c r="R72" i="137"/>
  <c r="Q72" i="137"/>
  <c r="S72" i="137" s="1" a="1"/>
  <c r="S72" i="137" s="1"/>
  <c r="B77" i="138" s="1"/>
  <c r="R71" i="137"/>
  <c r="Q71" i="137"/>
  <c r="R70" i="137"/>
  <c r="Q70" i="137"/>
  <c r="S70" i="137" s="1" a="1"/>
  <c r="S70" i="137" s="1"/>
  <c r="B75" i="138" s="1"/>
  <c r="R69" i="137"/>
  <c r="Q69" i="137"/>
  <c r="S69" i="137" s="1" a="1"/>
  <c r="S69" i="137" s="1"/>
  <c r="B74" i="138" s="1"/>
  <c r="R68" i="137"/>
  <c r="Q68" i="137"/>
  <c r="S68" i="137" s="1" a="1"/>
  <c r="S68" i="137" s="1"/>
  <c r="B73" i="138" s="1"/>
  <c r="R67" i="137"/>
  <c r="Q67" i="137"/>
  <c r="R66" i="137"/>
  <c r="Q66" i="137"/>
  <c r="S66" i="137" s="1" a="1"/>
  <c r="S66" i="137" s="1"/>
  <c r="B71" i="138" s="1"/>
  <c r="R65" i="137"/>
  <c r="Q65" i="137"/>
  <c r="S65" i="137" s="1" a="1"/>
  <c r="S65" i="137" s="1"/>
  <c r="B70" i="138" s="1"/>
  <c r="R64" i="137"/>
  <c r="Q64" i="137"/>
  <c r="S64" i="137" s="1" a="1"/>
  <c r="S64" i="137" s="1"/>
  <c r="B69" i="138" s="1"/>
  <c r="R63" i="137"/>
  <c r="Q63" i="137"/>
  <c r="R62" i="137"/>
  <c r="Q62" i="137"/>
  <c r="S62" i="137" s="1" a="1"/>
  <c r="S62" i="137" s="1"/>
  <c r="B67" i="138" s="1"/>
  <c r="R61" i="137"/>
  <c r="Q61" i="137"/>
  <c r="S61" i="137" s="1" a="1"/>
  <c r="S61" i="137" s="1"/>
  <c r="B66" i="138" s="1"/>
  <c r="R60" i="137"/>
  <c r="Q60" i="137"/>
  <c r="S60" i="137" s="1" a="1"/>
  <c r="S60" i="137" s="1"/>
  <c r="B65" i="138" s="1"/>
  <c r="R59" i="137"/>
  <c r="Q59" i="137"/>
  <c r="S59" i="137" s="1" a="1"/>
  <c r="S59" i="137" s="1"/>
  <c r="B64" i="138" s="1"/>
  <c r="R58" i="137"/>
  <c r="Q58" i="137"/>
  <c r="S58" i="137" s="1" a="1"/>
  <c r="S58" i="137" s="1"/>
  <c r="B63" i="138" s="1"/>
  <c r="R57" i="137"/>
  <c r="Q57" i="137"/>
  <c r="S57" i="137" s="1" a="1"/>
  <c r="S57" i="137" s="1"/>
  <c r="B62" i="138" s="1"/>
  <c r="R56" i="137"/>
  <c r="Q56" i="137"/>
  <c r="S56" i="137" s="1" a="1"/>
  <c r="S56" i="137" s="1"/>
  <c r="B61" i="138" s="1"/>
  <c r="R55" i="137"/>
  <c r="Q55" i="137"/>
  <c r="S55" i="137" s="1" a="1"/>
  <c r="S55" i="137" s="1"/>
  <c r="B60" i="138" s="1"/>
  <c r="R54" i="137"/>
  <c r="Q54" i="137"/>
  <c r="S54" i="137" s="1" a="1"/>
  <c r="S54" i="137" s="1"/>
  <c r="B59" i="138" s="1"/>
  <c r="R53" i="137"/>
  <c r="Q53" i="137"/>
  <c r="S53" i="137" s="1" a="1"/>
  <c r="S53" i="137" s="1"/>
  <c r="B58" i="138" s="1"/>
  <c r="R52" i="137"/>
  <c r="Q52" i="137"/>
  <c r="S52" i="137" s="1" a="1"/>
  <c r="S52" i="137" s="1"/>
  <c r="B57" i="138" s="1"/>
  <c r="R51" i="137"/>
  <c r="Q51" i="137"/>
  <c r="S51" i="137" s="1" a="1"/>
  <c r="S51" i="137" s="1"/>
  <c r="B56" i="138" s="1"/>
  <c r="R50" i="137"/>
  <c r="Q50" i="137"/>
  <c r="S50" i="137" s="1" a="1"/>
  <c r="S50" i="137" s="1"/>
  <c r="B55" i="138" s="1"/>
  <c r="R49" i="137"/>
  <c r="Q49" i="137"/>
  <c r="S49" i="137" s="1" a="1"/>
  <c r="S49" i="137" s="1"/>
  <c r="B54" i="138" s="1"/>
  <c r="R48" i="137"/>
  <c r="Q48" i="137"/>
  <c r="S48" i="137" s="1" a="1"/>
  <c r="S48" i="137" s="1"/>
  <c r="B53" i="138" s="1"/>
  <c r="R47" i="137"/>
  <c r="Q47" i="137"/>
  <c r="S47" i="137" s="1" a="1"/>
  <c r="S47" i="137" s="1"/>
  <c r="B52" i="138" s="1"/>
  <c r="R46" i="137"/>
  <c r="Q46" i="137"/>
  <c r="S46" i="137" s="1" a="1"/>
  <c r="S46" i="137" s="1"/>
  <c r="B51" i="138" s="1"/>
  <c r="R45" i="137"/>
  <c r="Q45" i="137"/>
  <c r="S45" i="137" s="1" a="1"/>
  <c r="S45" i="137" s="1"/>
  <c r="B50" i="138" s="1"/>
  <c r="R44" i="137"/>
  <c r="Q44" i="137"/>
  <c r="S44" i="137" s="1" a="1"/>
  <c r="S44" i="137" s="1"/>
  <c r="B49" i="138" s="1"/>
  <c r="R43" i="137"/>
  <c r="Q43" i="137"/>
  <c r="S43" i="137" s="1" a="1"/>
  <c r="S43" i="137" s="1"/>
  <c r="B48" i="138" s="1"/>
  <c r="R42" i="137"/>
  <c r="Q42" i="137"/>
  <c r="S42" i="137" s="1" a="1"/>
  <c r="S42" i="137" s="1"/>
  <c r="B47" i="138" s="1"/>
  <c r="R41" i="137"/>
  <c r="Q41" i="137"/>
  <c r="S41" i="137" s="1" a="1"/>
  <c r="S41" i="137" s="1"/>
  <c r="B46" i="138" s="1"/>
  <c r="R40" i="137"/>
  <c r="Q40" i="137"/>
  <c r="S40" i="137" s="1" a="1"/>
  <c r="S40" i="137" s="1"/>
  <c r="B45" i="138" s="1"/>
  <c r="R39" i="137"/>
  <c r="Q39" i="137"/>
  <c r="S39" i="137" s="1" a="1"/>
  <c r="S39" i="137" s="1"/>
  <c r="B44" i="138" s="1"/>
  <c r="R38" i="137"/>
  <c r="Q38" i="137"/>
  <c r="S38" i="137" s="1" a="1"/>
  <c r="S38" i="137" s="1"/>
  <c r="B43" i="138" s="1"/>
  <c r="R37" i="137"/>
  <c r="Q37" i="137"/>
  <c r="S37" i="137" s="1" a="1"/>
  <c r="S37" i="137" s="1"/>
  <c r="B42" i="138" s="1"/>
  <c r="R36" i="137"/>
  <c r="Q36" i="137"/>
  <c r="S36" i="137" s="1" a="1"/>
  <c r="S36" i="137" s="1"/>
  <c r="B41" i="138" s="1"/>
  <c r="R35" i="137"/>
  <c r="Q35" i="137"/>
  <c r="S35" i="137" s="1" a="1"/>
  <c r="S35" i="137" s="1"/>
  <c r="B40" i="138" s="1"/>
  <c r="R34" i="137"/>
  <c r="Q34" i="137"/>
  <c r="S34" i="137" s="1" a="1"/>
  <c r="S34" i="137" s="1"/>
  <c r="B39" i="138" s="1"/>
  <c r="B38" i="138"/>
  <c r="R32" i="137"/>
  <c r="Q32" i="137"/>
  <c r="S32" i="137" s="1" a="1"/>
  <c r="S32" i="137" s="1"/>
  <c r="B37" i="138" s="1"/>
  <c r="R31" i="137"/>
  <c r="Q31" i="137"/>
  <c r="S31" i="137" s="1" a="1"/>
  <c r="S31" i="137" s="1"/>
  <c r="B36" i="138" s="1"/>
  <c r="R30" i="137"/>
  <c r="Q30" i="137"/>
  <c r="S30" i="137" s="1" a="1"/>
  <c r="S30" i="137" s="1"/>
  <c r="B35" i="138" s="1"/>
  <c r="R29" i="137"/>
  <c r="Q29" i="137"/>
  <c r="S29" i="137" s="1" a="1"/>
  <c r="S29" i="137" s="1"/>
  <c r="B34" i="138" s="1"/>
  <c r="R28" i="137"/>
  <c r="Q28" i="137"/>
  <c r="S28" i="137" s="1" a="1"/>
  <c r="S28" i="137" s="1"/>
  <c r="B33" i="138" s="1"/>
  <c r="R27" i="137"/>
  <c r="Q27" i="137"/>
  <c r="S27" i="137" s="1" a="1"/>
  <c r="S27" i="137" s="1"/>
  <c r="B32" i="138" s="1"/>
  <c r="R26" i="137"/>
  <c r="Q26" i="137"/>
  <c r="S26" i="137" s="1" a="1"/>
  <c r="S26" i="137" s="1"/>
  <c r="B31" i="138" s="1"/>
  <c r="R25" i="137"/>
  <c r="Q25" i="137"/>
  <c r="S25" i="137" s="1" a="1"/>
  <c r="S25" i="137" s="1"/>
  <c r="B30" i="138" s="1"/>
  <c r="R24" i="137"/>
  <c r="Q24" i="137"/>
  <c r="S24" i="137" s="1" a="1"/>
  <c r="S24" i="137" s="1"/>
  <c r="B29" i="138" s="1"/>
  <c r="R23" i="137"/>
  <c r="Q23" i="137"/>
  <c r="S23" i="137" s="1" a="1"/>
  <c r="S23" i="137" s="1"/>
  <c r="B28" i="138" s="1"/>
  <c r="R22" i="137"/>
  <c r="Q22" i="137"/>
  <c r="S22" i="137" s="1" a="1"/>
  <c r="S22" i="137" s="1"/>
  <c r="B27" i="138" s="1"/>
  <c r="R21" i="137"/>
  <c r="Q21" i="137"/>
  <c r="S21" i="137" s="1" a="1"/>
  <c r="S21" i="137" s="1"/>
  <c r="B26" i="138" s="1"/>
  <c r="R20" i="137"/>
  <c r="Q20" i="137"/>
  <c r="S20" i="137" s="1" a="1"/>
  <c r="S20" i="137" s="1"/>
  <c r="B25" i="138" s="1"/>
  <c r="R18" i="137"/>
  <c r="Q18" i="137"/>
  <c r="S18" i="137" s="1" a="1"/>
  <c r="S18" i="137" s="1"/>
  <c r="B23" i="138" s="1"/>
  <c r="R17" i="137"/>
  <c r="Q17" i="137"/>
  <c r="R16" i="137"/>
  <c r="Q16" i="137"/>
  <c r="R15" i="137"/>
  <c r="Q15" i="137"/>
  <c r="S19" i="137" a="1"/>
  <c r="S19" i="137" s="1"/>
  <c r="B24" i="138" s="1"/>
  <c r="C39" i="110"/>
  <c r="C40" i="110"/>
  <c r="C41" i="110"/>
  <c r="C42" i="110"/>
  <c r="C43" i="110"/>
  <c r="C44" i="110"/>
  <c r="C45" i="110"/>
  <c r="C46" i="110"/>
  <c r="C47" i="110"/>
  <c r="C48" i="110"/>
  <c r="C49" i="110"/>
  <c r="C50" i="110"/>
  <c r="C51" i="110"/>
  <c r="C52" i="110"/>
  <c r="C53" i="110"/>
  <c r="C54" i="110"/>
  <c r="C55" i="110"/>
  <c r="C56" i="110"/>
  <c r="C57" i="110"/>
  <c r="C58" i="110"/>
  <c r="C59" i="110"/>
  <c r="C25" i="110"/>
  <c r="C26" i="110"/>
  <c r="L31" i="108"/>
  <c r="L30" i="108"/>
  <c r="L29" i="108"/>
  <c r="L28" i="108"/>
  <c r="L27" i="108"/>
  <c r="L8" i="108"/>
  <c r="C38" i="110" s="1"/>
  <c r="L3" i="108"/>
  <c r="B26" i="109"/>
  <c r="E26" i="109" s="1"/>
  <c r="C103" i="110" s="1"/>
  <c r="E34" i="109"/>
  <c r="C111" i="110" s="1"/>
  <c r="B25" i="109"/>
  <c r="E25" i="109" s="1"/>
  <c r="C102" i="110" s="1"/>
  <c r="B31" i="109"/>
  <c r="E31" i="109" s="1"/>
  <c r="C108" i="110" s="1"/>
  <c r="B28" i="109"/>
  <c r="E28" i="109" s="1"/>
  <c r="C105" i="110" s="1"/>
  <c r="I15" i="12"/>
  <c r="C15" i="73" s="1"/>
  <c r="C68" i="136"/>
  <c r="C42" i="136"/>
  <c r="C43" i="136"/>
  <c r="C44" i="136"/>
  <c r="C45" i="136"/>
  <c r="C46" i="136"/>
  <c r="C47" i="136"/>
  <c r="C48" i="136"/>
  <c r="C49" i="136"/>
  <c r="C50" i="136"/>
  <c r="C51" i="136"/>
  <c r="C52" i="136"/>
  <c r="C53" i="136"/>
  <c r="C54" i="136"/>
  <c r="C55" i="136"/>
  <c r="C56" i="136"/>
  <c r="C57" i="136"/>
  <c r="C58" i="136"/>
  <c r="C59" i="136"/>
  <c r="C60" i="136"/>
  <c r="C61" i="136"/>
  <c r="C62" i="136"/>
  <c r="C63" i="136"/>
  <c r="C64" i="136"/>
  <c r="C65" i="136"/>
  <c r="C66" i="136"/>
  <c r="C67" i="136"/>
  <c r="E12" i="135"/>
  <c r="E13" i="135"/>
  <c r="E14" i="135"/>
  <c r="E15" i="135"/>
  <c r="E16" i="135"/>
  <c r="E17" i="135"/>
  <c r="E18" i="135"/>
  <c r="E19" i="135"/>
  <c r="E20" i="135"/>
  <c r="E21" i="135"/>
  <c r="E22" i="135"/>
  <c r="E23" i="135"/>
  <c r="E24" i="135"/>
  <c r="E25" i="135"/>
  <c r="E26" i="135"/>
  <c r="E27" i="135"/>
  <c r="E28" i="135"/>
  <c r="E29" i="135"/>
  <c r="E30" i="135"/>
  <c r="E31" i="135"/>
  <c r="E32" i="135"/>
  <c r="E33" i="135"/>
  <c r="E34" i="135"/>
  <c r="E35" i="135"/>
  <c r="E36" i="135"/>
  <c r="E37" i="135"/>
  <c r="B33" i="135"/>
  <c r="B32" i="135"/>
  <c r="B18" i="135"/>
  <c r="B19" i="135"/>
  <c r="B17" i="135"/>
  <c r="B14" i="135"/>
  <c r="B15" i="135"/>
  <c r="B13" i="135"/>
  <c r="B11" i="135"/>
  <c r="E11" i="135" s="1"/>
  <c r="B12" i="135"/>
  <c r="B10" i="135"/>
  <c r="C41" i="133"/>
  <c r="C42" i="133"/>
  <c r="C44" i="133"/>
  <c r="C45" i="133"/>
  <c r="C46" i="133"/>
  <c r="C47" i="133"/>
  <c r="C48" i="133"/>
  <c r="C49" i="133"/>
  <c r="C50" i="133"/>
  <c r="C51" i="133"/>
  <c r="C12" i="133"/>
  <c r="C13" i="133"/>
  <c r="C14" i="133"/>
  <c r="C15" i="133"/>
  <c r="C16" i="133"/>
  <c r="C17" i="133"/>
  <c r="C18" i="133"/>
  <c r="C19" i="133"/>
  <c r="C41" i="130"/>
  <c r="C42" i="130"/>
  <c r="C43" i="130"/>
  <c r="C44" i="130"/>
  <c r="C45" i="130"/>
  <c r="C46" i="130"/>
  <c r="C47" i="130"/>
  <c r="C48" i="130"/>
  <c r="C49" i="130"/>
  <c r="C50" i="130"/>
  <c r="C51" i="130"/>
  <c r="C52" i="130"/>
  <c r="C53" i="130"/>
  <c r="C54" i="130"/>
  <c r="C12" i="130"/>
  <c r="C13" i="130"/>
  <c r="C14" i="130"/>
  <c r="C15" i="130"/>
  <c r="C16" i="130"/>
  <c r="C17" i="130"/>
  <c r="C18" i="130"/>
  <c r="C19" i="130"/>
  <c r="E11" i="129"/>
  <c r="E12" i="129"/>
  <c r="E13" i="129"/>
  <c r="E14" i="129"/>
  <c r="E15" i="129"/>
  <c r="E16" i="129"/>
  <c r="E17" i="129"/>
  <c r="E18" i="129"/>
  <c r="E19" i="129"/>
  <c r="E20" i="129"/>
  <c r="E21" i="129"/>
  <c r="E22" i="129"/>
  <c r="E23" i="129"/>
  <c r="B19" i="129"/>
  <c r="B18" i="129"/>
  <c r="E24" i="129"/>
  <c r="B17" i="129"/>
  <c r="B16" i="129"/>
  <c r="B14" i="129"/>
  <c r="B13" i="129"/>
  <c r="B30" i="109"/>
  <c r="E30" i="109" s="1"/>
  <c r="C107" i="110" s="1"/>
  <c r="B29" i="109"/>
  <c r="E29" i="109" s="1"/>
  <c r="C106" i="110" s="1"/>
  <c r="C41" i="120"/>
  <c r="C42" i="120"/>
  <c r="C43" i="120"/>
  <c r="C44" i="120"/>
  <c r="C45" i="120"/>
  <c r="C46" i="120"/>
  <c r="C47" i="120"/>
  <c r="C48" i="120"/>
  <c r="C49" i="120"/>
  <c r="C50" i="120"/>
  <c r="E11" i="119"/>
  <c r="E12" i="119"/>
  <c r="E13" i="119"/>
  <c r="E14" i="119"/>
  <c r="E15" i="119"/>
  <c r="E16" i="119"/>
  <c r="E17" i="119"/>
  <c r="E18" i="119"/>
  <c r="E19" i="119"/>
  <c r="B14" i="119"/>
  <c r="B13" i="119"/>
  <c r="B11" i="119"/>
  <c r="B10" i="119"/>
  <c r="C42" i="123"/>
  <c r="C43" i="123"/>
  <c r="C44" i="123"/>
  <c r="C45" i="123"/>
  <c r="C46" i="123"/>
  <c r="C47" i="123"/>
  <c r="E10" i="122"/>
  <c r="C40" i="123" s="1"/>
  <c r="E11" i="122"/>
  <c r="E12" i="122"/>
  <c r="E13" i="122"/>
  <c r="E14" i="122"/>
  <c r="E15" i="122"/>
  <c r="E16" i="122"/>
  <c r="E17" i="122"/>
  <c r="E18" i="122"/>
  <c r="E19" i="122"/>
  <c r="B14" i="122"/>
  <c r="B13" i="122"/>
  <c r="B11" i="122"/>
  <c r="B10" i="122"/>
  <c r="C41" i="126"/>
  <c r="C42" i="126"/>
  <c r="C43" i="126"/>
  <c r="C44" i="126"/>
  <c r="C45" i="126"/>
  <c r="C46" i="126"/>
  <c r="C47" i="126"/>
  <c r="E11" i="125"/>
  <c r="E12" i="125"/>
  <c r="E13" i="125"/>
  <c r="E14" i="125"/>
  <c r="E15" i="125"/>
  <c r="E16" i="125"/>
  <c r="E17" i="125"/>
  <c r="E18" i="125"/>
  <c r="B11" i="125"/>
  <c r="B10" i="125"/>
  <c r="C41" i="117"/>
  <c r="C42" i="117"/>
  <c r="C43" i="117"/>
  <c r="C44" i="117"/>
  <c r="C45" i="117"/>
  <c r="C46" i="117"/>
  <c r="C47" i="117"/>
  <c r="C48" i="117"/>
  <c r="C49" i="117"/>
  <c r="C50" i="117"/>
  <c r="C51" i="117"/>
  <c r="C52" i="117"/>
  <c r="C53" i="117"/>
  <c r="C39" i="117"/>
  <c r="C40" i="117"/>
  <c r="E16" i="116"/>
  <c r="E17" i="116"/>
  <c r="E18" i="116"/>
  <c r="E19" i="116"/>
  <c r="E10" i="116"/>
  <c r="E11" i="116"/>
  <c r="E12" i="116"/>
  <c r="E13" i="116"/>
  <c r="B19" i="116"/>
  <c r="B16" i="116"/>
  <c r="B17" i="116"/>
  <c r="B18" i="116"/>
  <c r="B15" i="116"/>
  <c r="B11" i="116"/>
  <c r="B12" i="116"/>
  <c r="B13" i="116"/>
  <c r="B10" i="116"/>
  <c r="B9" i="116"/>
  <c r="C7" i="116" s="1"/>
  <c r="E7" i="116" s="1"/>
  <c r="C36" i="117" s="1"/>
  <c r="C47" i="113"/>
  <c r="C48" i="113"/>
  <c r="C49" i="113"/>
  <c r="E19" i="112"/>
  <c r="E11" i="112"/>
  <c r="E12" i="112"/>
  <c r="E13" i="112"/>
  <c r="E14" i="112"/>
  <c r="E15" i="112"/>
  <c r="E16" i="112"/>
  <c r="E17" i="112"/>
  <c r="E18" i="112"/>
  <c r="B15" i="112"/>
  <c r="B16" i="112"/>
  <c r="B14" i="112"/>
  <c r="C44" i="113"/>
  <c r="B24" i="109"/>
  <c r="E24" i="109" s="1"/>
  <c r="C101" i="110" s="1"/>
  <c r="C27" i="136"/>
  <c r="C28" i="136"/>
  <c r="C12" i="136"/>
  <c r="C13" i="136"/>
  <c r="C17" i="136"/>
  <c r="C18" i="136"/>
  <c r="C19" i="136"/>
  <c r="C23" i="136"/>
  <c r="C24" i="136"/>
  <c r="C25" i="136"/>
  <c r="C26" i="136"/>
  <c r="B16" i="135"/>
  <c r="B20" i="135"/>
  <c r="B21" i="135"/>
  <c r="B22" i="135"/>
  <c r="B23" i="135"/>
  <c r="B24" i="135"/>
  <c r="B25" i="135"/>
  <c r="B26" i="135"/>
  <c r="B27" i="135"/>
  <c r="B28" i="135"/>
  <c r="B29" i="135"/>
  <c r="B30" i="135"/>
  <c r="B31" i="135"/>
  <c r="B34" i="135"/>
  <c r="B35" i="135"/>
  <c r="B36" i="135"/>
  <c r="B37" i="135"/>
  <c r="B38" i="135"/>
  <c r="E38" i="135" s="1"/>
  <c r="B39" i="135"/>
  <c r="B40" i="135"/>
  <c r="B41" i="135"/>
  <c r="B42" i="135"/>
  <c r="B43" i="135"/>
  <c r="I10" i="134"/>
  <c r="C10" i="136" s="1"/>
  <c r="I11" i="134"/>
  <c r="C11" i="136" s="1"/>
  <c r="I12" i="134"/>
  <c r="I13" i="134"/>
  <c r="I14" i="134"/>
  <c r="C14" i="136" s="1"/>
  <c r="I15" i="134"/>
  <c r="C15" i="136" s="1"/>
  <c r="I16" i="134"/>
  <c r="C16" i="136" s="1"/>
  <c r="I17" i="134"/>
  <c r="I18" i="134"/>
  <c r="I19" i="134"/>
  <c r="I20" i="134"/>
  <c r="C20" i="136" s="1"/>
  <c r="I21" i="134"/>
  <c r="C21" i="136" s="1"/>
  <c r="I22" i="134"/>
  <c r="C22" i="136" s="1"/>
  <c r="I23" i="134"/>
  <c r="I24" i="134"/>
  <c r="I25" i="134"/>
  <c r="I26" i="134"/>
  <c r="I27" i="134"/>
  <c r="I28" i="134"/>
  <c r="I29" i="134"/>
  <c r="I30" i="134"/>
  <c r="I31" i="134"/>
  <c r="I39" i="134"/>
  <c r="I40" i="134"/>
  <c r="I41" i="134"/>
  <c r="I42" i="134"/>
  <c r="I43" i="134"/>
  <c r="I44" i="134"/>
  <c r="I45" i="134"/>
  <c r="I46" i="134"/>
  <c r="I47" i="134"/>
  <c r="I48" i="134"/>
  <c r="I49" i="134"/>
  <c r="I50" i="134"/>
  <c r="I51" i="134"/>
  <c r="I52" i="134"/>
  <c r="I53" i="134"/>
  <c r="I54" i="134"/>
  <c r="I55" i="134"/>
  <c r="I56" i="134"/>
  <c r="I57" i="134"/>
  <c r="I58" i="134"/>
  <c r="I59" i="134"/>
  <c r="I60" i="134"/>
  <c r="I61" i="134"/>
  <c r="I62" i="134"/>
  <c r="B37" i="134"/>
  <c r="B38" i="134"/>
  <c r="B39" i="134"/>
  <c r="B40" i="134"/>
  <c r="B41" i="134"/>
  <c r="B42" i="134"/>
  <c r="B43" i="134"/>
  <c r="B44" i="134"/>
  <c r="B45" i="134"/>
  <c r="B46" i="134"/>
  <c r="B47" i="134"/>
  <c r="B48" i="134"/>
  <c r="B49" i="134"/>
  <c r="B50" i="134"/>
  <c r="B51" i="134"/>
  <c r="B52" i="134"/>
  <c r="B53" i="134"/>
  <c r="B54" i="134"/>
  <c r="B55" i="134"/>
  <c r="B56" i="134"/>
  <c r="B57" i="134"/>
  <c r="B58" i="134"/>
  <c r="B59" i="134"/>
  <c r="B60" i="134"/>
  <c r="B61" i="134"/>
  <c r="B62" i="134"/>
  <c r="C32" i="136"/>
  <c r="C31" i="136"/>
  <c r="C2" i="136"/>
  <c r="C1" i="136"/>
  <c r="E10" i="135"/>
  <c r="C41" i="136" s="1"/>
  <c r="E9" i="135"/>
  <c r="C40" i="136" s="1"/>
  <c r="B9" i="135"/>
  <c r="C7" i="135" s="1"/>
  <c r="E7" i="135" s="1"/>
  <c r="C37" i="136" s="1"/>
  <c r="E8" i="135"/>
  <c r="C38" i="136" s="1"/>
  <c r="E6" i="135"/>
  <c r="C36" i="136" s="1"/>
  <c r="E5" i="135"/>
  <c r="C35" i="136" s="1"/>
  <c r="E4" i="135"/>
  <c r="C34" i="136" s="1"/>
  <c r="E3" i="135"/>
  <c r="C33" i="136" s="1"/>
  <c r="I38" i="134"/>
  <c r="B36" i="134"/>
  <c r="I9" i="134"/>
  <c r="C9" i="136" s="1"/>
  <c r="I8" i="134"/>
  <c r="C8" i="136" s="1"/>
  <c r="I7" i="134"/>
  <c r="C7" i="136" s="1"/>
  <c r="I6" i="134"/>
  <c r="C6" i="136" s="1"/>
  <c r="I5" i="134"/>
  <c r="C5" i="136" s="1"/>
  <c r="I4" i="134"/>
  <c r="C4" i="136" s="1"/>
  <c r="I3" i="134"/>
  <c r="C3" i="136" s="1"/>
  <c r="B13" i="132"/>
  <c r="B14" i="132"/>
  <c r="B15" i="132"/>
  <c r="B16" i="132"/>
  <c r="B17" i="132"/>
  <c r="E17" i="132" s="1"/>
  <c r="B18" i="132"/>
  <c r="E18" i="132" s="1"/>
  <c r="B19" i="132"/>
  <c r="B20" i="132"/>
  <c r="E20" i="132" s="1"/>
  <c r="B21" i="132"/>
  <c r="B22" i="132"/>
  <c r="I18" i="131"/>
  <c r="I11" i="131"/>
  <c r="C11" i="133" s="1"/>
  <c r="I28" i="131"/>
  <c r="I29" i="131"/>
  <c r="I30" i="131"/>
  <c r="I31" i="131"/>
  <c r="I32" i="131"/>
  <c r="I33" i="131"/>
  <c r="I34" i="131"/>
  <c r="I35" i="131"/>
  <c r="I36" i="131"/>
  <c r="I37" i="131"/>
  <c r="I19" i="131"/>
  <c r="I12" i="131"/>
  <c r="B34" i="131"/>
  <c r="B35" i="131"/>
  <c r="B36" i="131"/>
  <c r="B37" i="131"/>
  <c r="C33" i="133"/>
  <c r="C31" i="133"/>
  <c r="C30" i="133"/>
  <c r="C2" i="133"/>
  <c r="C1" i="133"/>
  <c r="E21" i="132"/>
  <c r="E19" i="132"/>
  <c r="E16" i="132"/>
  <c r="E15" i="132"/>
  <c r="E14" i="132"/>
  <c r="E13" i="132"/>
  <c r="C43" i="133" s="1"/>
  <c r="B12" i="132"/>
  <c r="E12" i="132" s="1"/>
  <c r="B11" i="132"/>
  <c r="E11" i="132" s="1"/>
  <c r="B10" i="132"/>
  <c r="E10" i="132" s="1"/>
  <c r="C40" i="133" s="1"/>
  <c r="E9" i="132"/>
  <c r="C39" i="133" s="1"/>
  <c r="B9" i="132"/>
  <c r="C7" i="132" s="1"/>
  <c r="E7" i="132" s="1"/>
  <c r="C36" i="133" s="1"/>
  <c r="E8" i="132"/>
  <c r="C37" i="133" s="1"/>
  <c r="E6" i="132"/>
  <c r="C35" i="133" s="1"/>
  <c r="E5" i="132"/>
  <c r="C34" i="133" s="1"/>
  <c r="E4" i="132"/>
  <c r="E3" i="132"/>
  <c r="C32" i="133" s="1"/>
  <c r="B33" i="131"/>
  <c r="B32" i="131"/>
  <c r="B31" i="131"/>
  <c r="B30" i="131"/>
  <c r="B29" i="131"/>
  <c r="B28" i="131"/>
  <c r="I27" i="131"/>
  <c r="B27" i="131"/>
  <c r="B26" i="131"/>
  <c r="I17" i="131"/>
  <c r="I16" i="131"/>
  <c r="I15" i="131"/>
  <c r="I14" i="131"/>
  <c r="I13" i="131"/>
  <c r="I10" i="131"/>
  <c r="C10" i="133" s="1"/>
  <c r="I9" i="131"/>
  <c r="C9" i="133" s="1"/>
  <c r="I8" i="131"/>
  <c r="C8" i="133" s="1"/>
  <c r="I7" i="131"/>
  <c r="C7" i="133" s="1"/>
  <c r="I6" i="131"/>
  <c r="C6" i="133" s="1"/>
  <c r="I5" i="131"/>
  <c r="C5" i="133" s="1"/>
  <c r="I4" i="131"/>
  <c r="C4" i="133" s="1"/>
  <c r="I3" i="131"/>
  <c r="C3" i="133" s="1"/>
  <c r="I15" i="128"/>
  <c r="I16" i="128"/>
  <c r="I17" i="128"/>
  <c r="I18" i="128"/>
  <c r="I19" i="128"/>
  <c r="B22" i="129"/>
  <c r="B23" i="129"/>
  <c r="B11" i="129"/>
  <c r="B12" i="129"/>
  <c r="B15" i="129"/>
  <c r="B20" i="129"/>
  <c r="B21" i="129"/>
  <c r="I9" i="128"/>
  <c r="C9" i="130" s="1"/>
  <c r="I8" i="128"/>
  <c r="C8" i="130" s="1"/>
  <c r="I6" i="128"/>
  <c r="C6" i="130" s="1"/>
  <c r="I10" i="128"/>
  <c r="C10" i="130" s="1"/>
  <c r="B26" i="128"/>
  <c r="B33" i="128"/>
  <c r="B34" i="128"/>
  <c r="I28" i="128"/>
  <c r="I29" i="128"/>
  <c r="I30" i="128"/>
  <c r="I31" i="128"/>
  <c r="I32" i="128"/>
  <c r="I34" i="128"/>
  <c r="I35" i="128"/>
  <c r="I36" i="128"/>
  <c r="B30" i="128"/>
  <c r="B31" i="128"/>
  <c r="B32" i="128"/>
  <c r="C31" i="130"/>
  <c r="C30" i="130"/>
  <c r="C2" i="130"/>
  <c r="C1" i="130"/>
  <c r="B10" i="129"/>
  <c r="E10" i="129" s="1"/>
  <c r="C40" i="130" s="1"/>
  <c r="E9" i="129"/>
  <c r="C39" i="130" s="1"/>
  <c r="B9" i="129"/>
  <c r="C7" i="129" s="1"/>
  <c r="E7" i="129" s="1"/>
  <c r="C36" i="130" s="1"/>
  <c r="E8" i="129"/>
  <c r="C37" i="130" s="1"/>
  <c r="E6" i="129"/>
  <c r="C35" i="130" s="1"/>
  <c r="E5" i="129"/>
  <c r="C34" i="130" s="1"/>
  <c r="E4" i="129"/>
  <c r="C33" i="130" s="1"/>
  <c r="E3" i="129"/>
  <c r="C32" i="130" s="1"/>
  <c r="B29" i="128"/>
  <c r="B28" i="128"/>
  <c r="I27" i="128"/>
  <c r="B27" i="128"/>
  <c r="I14" i="128"/>
  <c r="I13" i="128"/>
  <c r="I12" i="128"/>
  <c r="I11" i="128"/>
  <c r="C11" i="130" s="1"/>
  <c r="I7" i="128"/>
  <c r="C7" i="130" s="1"/>
  <c r="I5" i="128"/>
  <c r="C5" i="130" s="1"/>
  <c r="I4" i="128"/>
  <c r="C4" i="130" s="1"/>
  <c r="I3" i="128"/>
  <c r="C3" i="130" s="1"/>
  <c r="J10" i="108"/>
  <c r="C10" i="110" s="1"/>
  <c r="B11" i="109"/>
  <c r="E11" i="109" s="1"/>
  <c r="C88" i="110" s="1"/>
  <c r="B12" i="109"/>
  <c r="E12" i="109" s="1"/>
  <c r="C89" i="110" s="1"/>
  <c r="B13" i="109"/>
  <c r="E13" i="109" s="1"/>
  <c r="C90" i="110" s="1"/>
  <c r="B14" i="109"/>
  <c r="E14" i="109" s="1"/>
  <c r="C91" i="110" s="1"/>
  <c r="B15" i="109"/>
  <c r="E15" i="109" s="1"/>
  <c r="C92" i="110" s="1"/>
  <c r="B16" i="109"/>
  <c r="E16" i="109" s="1"/>
  <c r="C93" i="110" s="1"/>
  <c r="B17" i="109"/>
  <c r="E17" i="109" s="1"/>
  <c r="C94" i="110" s="1"/>
  <c r="B18" i="109"/>
  <c r="E18" i="109" s="1"/>
  <c r="C95" i="110" s="1"/>
  <c r="B19" i="109"/>
  <c r="E19" i="109" s="1"/>
  <c r="C96" i="110" s="1"/>
  <c r="B20" i="109"/>
  <c r="E20" i="109" s="1"/>
  <c r="C97" i="110" s="1"/>
  <c r="B21" i="109"/>
  <c r="E21" i="109" s="1"/>
  <c r="C98" i="110" s="1"/>
  <c r="B22" i="109"/>
  <c r="E22" i="109" s="1"/>
  <c r="C99" i="110" s="1"/>
  <c r="B23" i="109"/>
  <c r="E23" i="109" s="1"/>
  <c r="C100" i="110" s="1"/>
  <c r="B27" i="109"/>
  <c r="E27" i="109" s="1"/>
  <c r="C104" i="110" s="1"/>
  <c r="B32" i="109"/>
  <c r="E32" i="109" s="1"/>
  <c r="C109" i="110" s="1"/>
  <c r="B33" i="109"/>
  <c r="E33" i="109" s="1"/>
  <c r="C110" i="110" s="1"/>
  <c r="B34" i="109"/>
  <c r="B35" i="109"/>
  <c r="E35" i="109" s="1"/>
  <c r="C112" i="110" s="1"/>
  <c r="B36" i="109"/>
  <c r="B37" i="109"/>
  <c r="B38" i="109"/>
  <c r="B39" i="109"/>
  <c r="B40" i="109"/>
  <c r="B41" i="109"/>
  <c r="B42" i="109"/>
  <c r="B43" i="109"/>
  <c r="B44" i="109"/>
  <c r="B45" i="109"/>
  <c r="B46" i="109"/>
  <c r="B47" i="109"/>
  <c r="I10" i="124"/>
  <c r="C10" i="126" s="1"/>
  <c r="I8" i="124"/>
  <c r="C8" i="126" s="1"/>
  <c r="C31" i="126"/>
  <c r="C30" i="126"/>
  <c r="C2" i="126"/>
  <c r="C1" i="126"/>
  <c r="E19" i="125"/>
  <c r="B16" i="125"/>
  <c r="B15" i="125"/>
  <c r="B14" i="125"/>
  <c r="B13" i="125"/>
  <c r="B12" i="125"/>
  <c r="E10" i="125"/>
  <c r="C40" i="126" s="1"/>
  <c r="E9" i="125"/>
  <c r="C39" i="126" s="1"/>
  <c r="B9" i="125"/>
  <c r="C7" i="125" s="1"/>
  <c r="E7" i="125" s="1"/>
  <c r="C36" i="126" s="1"/>
  <c r="E8" i="125"/>
  <c r="C37" i="126" s="1"/>
  <c r="E6" i="125"/>
  <c r="C35" i="126" s="1"/>
  <c r="E5" i="125"/>
  <c r="C34" i="126" s="1"/>
  <c r="E4" i="125"/>
  <c r="C33" i="126" s="1"/>
  <c r="E3" i="125"/>
  <c r="C32" i="126" s="1"/>
  <c r="I29" i="124"/>
  <c r="B29" i="124"/>
  <c r="I28" i="124"/>
  <c r="B28" i="124"/>
  <c r="I27" i="124"/>
  <c r="B27" i="124"/>
  <c r="B21" i="124"/>
  <c r="I14" i="124"/>
  <c r="C14" i="126" s="1"/>
  <c r="I13" i="124"/>
  <c r="C13" i="126" s="1"/>
  <c r="I12" i="124"/>
  <c r="C12" i="126" s="1"/>
  <c r="I11" i="124"/>
  <c r="C11" i="126" s="1"/>
  <c r="I9" i="124"/>
  <c r="C9" i="126" s="1"/>
  <c r="I7" i="124"/>
  <c r="C7" i="126" s="1"/>
  <c r="I6" i="124"/>
  <c r="C6" i="126" s="1"/>
  <c r="I5" i="124"/>
  <c r="C5" i="126" s="1"/>
  <c r="I4" i="124"/>
  <c r="C4" i="126" s="1"/>
  <c r="I3" i="124"/>
  <c r="C3" i="126" s="1"/>
  <c r="J12" i="108"/>
  <c r="C12" i="110" s="1"/>
  <c r="J13" i="108"/>
  <c r="C13" i="110" s="1"/>
  <c r="J14" i="108"/>
  <c r="C14" i="110" s="1"/>
  <c r="J15" i="108"/>
  <c r="C15" i="110" s="1"/>
  <c r="J16" i="108"/>
  <c r="C16" i="110" s="1"/>
  <c r="J17" i="108"/>
  <c r="C17" i="110" s="1"/>
  <c r="J18" i="108"/>
  <c r="C18" i="110" s="1"/>
  <c r="J19" i="108"/>
  <c r="C19" i="110" s="1"/>
  <c r="J20" i="108"/>
  <c r="C20" i="110" s="1"/>
  <c r="J21" i="108"/>
  <c r="C21" i="110" s="1"/>
  <c r="J22" i="108"/>
  <c r="C22" i="110" s="1"/>
  <c r="J23" i="108"/>
  <c r="C23" i="110" s="1"/>
  <c r="J24" i="108"/>
  <c r="C24" i="110" s="1"/>
  <c r="J25" i="108"/>
  <c r="I11" i="121"/>
  <c r="C11" i="123" s="1"/>
  <c r="I8" i="121"/>
  <c r="C8" i="123" s="1"/>
  <c r="C31" i="123"/>
  <c r="C30" i="123"/>
  <c r="C2" i="123"/>
  <c r="C1" i="123"/>
  <c r="E20" i="122"/>
  <c r="B17" i="122"/>
  <c r="B16" i="122"/>
  <c r="B15" i="122"/>
  <c r="B12" i="122"/>
  <c r="C41" i="123" s="1"/>
  <c r="E9" i="122"/>
  <c r="C39" i="123" s="1"/>
  <c r="B9" i="122"/>
  <c r="C7" i="122" s="1"/>
  <c r="E7" i="122" s="1"/>
  <c r="C36" i="123" s="1"/>
  <c r="E8" i="122"/>
  <c r="C37" i="123" s="1"/>
  <c r="E6" i="122"/>
  <c r="C35" i="123" s="1"/>
  <c r="E5" i="122"/>
  <c r="C34" i="123" s="1"/>
  <c r="E4" i="122"/>
  <c r="C33" i="123" s="1"/>
  <c r="E3" i="122"/>
  <c r="C32" i="123" s="1"/>
  <c r="I30" i="121"/>
  <c r="B30" i="121"/>
  <c r="I29" i="121"/>
  <c r="B29" i="121"/>
  <c r="I28" i="121"/>
  <c r="B28" i="121"/>
  <c r="I27" i="121"/>
  <c r="B27" i="121"/>
  <c r="B21" i="121"/>
  <c r="I14" i="121"/>
  <c r="C14" i="123" s="1"/>
  <c r="I13" i="121"/>
  <c r="C13" i="123" s="1"/>
  <c r="I12" i="121"/>
  <c r="C12" i="123" s="1"/>
  <c r="I10" i="121"/>
  <c r="C10" i="123" s="1"/>
  <c r="I9" i="121"/>
  <c r="C9" i="123" s="1"/>
  <c r="I7" i="121"/>
  <c r="C7" i="123" s="1"/>
  <c r="I6" i="121"/>
  <c r="C6" i="123" s="1"/>
  <c r="I5" i="121"/>
  <c r="C5" i="123" s="1"/>
  <c r="I4" i="121"/>
  <c r="C4" i="123" s="1"/>
  <c r="I3" i="121"/>
  <c r="C3" i="123" s="1"/>
  <c r="I28" i="118"/>
  <c r="I29" i="118"/>
  <c r="I30" i="118"/>
  <c r="I8" i="118"/>
  <c r="C8" i="120" s="1"/>
  <c r="B30" i="118"/>
  <c r="C31" i="120"/>
  <c r="C30" i="120"/>
  <c r="C2" i="120"/>
  <c r="C1" i="120"/>
  <c r="E20" i="119"/>
  <c r="B17" i="119"/>
  <c r="B16" i="119"/>
  <c r="B15" i="119"/>
  <c r="B12" i="119"/>
  <c r="E10" i="119"/>
  <c r="C40" i="120" s="1"/>
  <c r="E9" i="119"/>
  <c r="C39" i="120" s="1"/>
  <c r="B9" i="119"/>
  <c r="C7" i="119" s="1"/>
  <c r="E7" i="119" s="1"/>
  <c r="C36" i="120" s="1"/>
  <c r="E8" i="119"/>
  <c r="C37" i="120" s="1"/>
  <c r="E6" i="119"/>
  <c r="C35" i="120" s="1"/>
  <c r="E5" i="119"/>
  <c r="C34" i="120" s="1"/>
  <c r="E4" i="119"/>
  <c r="C33" i="120" s="1"/>
  <c r="E3" i="119"/>
  <c r="C32" i="120" s="1"/>
  <c r="B29" i="118"/>
  <c r="B28" i="118"/>
  <c r="I27" i="118"/>
  <c r="B27" i="118"/>
  <c r="B21" i="118"/>
  <c r="I14" i="118"/>
  <c r="C14" i="120" s="1"/>
  <c r="I13" i="118"/>
  <c r="C13" i="120" s="1"/>
  <c r="I12" i="118"/>
  <c r="C12" i="120" s="1"/>
  <c r="I11" i="118"/>
  <c r="C11" i="120" s="1"/>
  <c r="I10" i="118"/>
  <c r="C10" i="120" s="1"/>
  <c r="I9" i="118"/>
  <c r="C9" i="120" s="1"/>
  <c r="I7" i="118"/>
  <c r="C7" i="120" s="1"/>
  <c r="I6" i="118"/>
  <c r="C6" i="120" s="1"/>
  <c r="I5" i="118"/>
  <c r="C5" i="120" s="1"/>
  <c r="I4" i="118"/>
  <c r="C4" i="120" s="1"/>
  <c r="I3" i="118"/>
  <c r="C3" i="120" s="1"/>
  <c r="I10" i="115"/>
  <c r="C10" i="117" s="1"/>
  <c r="I9" i="115"/>
  <c r="C9" i="117" s="1"/>
  <c r="I8" i="115"/>
  <c r="C8" i="117" s="1"/>
  <c r="I28" i="115"/>
  <c r="I29" i="115"/>
  <c r="B28" i="115"/>
  <c r="B29" i="115"/>
  <c r="I27" i="115"/>
  <c r="B27" i="115"/>
  <c r="C31" i="117"/>
  <c r="C30" i="117"/>
  <c r="C2" i="117"/>
  <c r="C1" i="117"/>
  <c r="E26" i="116"/>
  <c r="E25" i="116"/>
  <c r="E24" i="116"/>
  <c r="B23" i="116"/>
  <c r="E23" i="116" s="1"/>
  <c r="B22" i="116"/>
  <c r="E22" i="116" s="1"/>
  <c r="B21" i="116"/>
  <c r="E21" i="116" s="1"/>
  <c r="E9" i="116"/>
  <c r="E8" i="116"/>
  <c r="C37" i="117" s="1"/>
  <c r="E6" i="116"/>
  <c r="C35" i="117" s="1"/>
  <c r="E5" i="116"/>
  <c r="C34" i="117" s="1"/>
  <c r="E4" i="116"/>
  <c r="C33" i="117" s="1"/>
  <c r="E3" i="116"/>
  <c r="C32" i="117" s="1"/>
  <c r="B21" i="115"/>
  <c r="I14" i="115"/>
  <c r="C14" i="117" s="1"/>
  <c r="I13" i="115"/>
  <c r="C13" i="117" s="1"/>
  <c r="I12" i="115"/>
  <c r="C12" i="117" s="1"/>
  <c r="I11" i="115"/>
  <c r="C11" i="117" s="1"/>
  <c r="I7" i="115"/>
  <c r="C7" i="117" s="1"/>
  <c r="I6" i="115"/>
  <c r="C6" i="117" s="1"/>
  <c r="I5" i="115"/>
  <c r="C5" i="117" s="1"/>
  <c r="I4" i="115"/>
  <c r="C4" i="117" s="1"/>
  <c r="I3" i="115"/>
  <c r="C3" i="117" s="1"/>
  <c r="C45" i="113"/>
  <c r="E10" i="112"/>
  <c r="C41" i="113"/>
  <c r="C42" i="113"/>
  <c r="C43" i="113"/>
  <c r="C46" i="113"/>
  <c r="I8" i="111"/>
  <c r="C8" i="113" s="1"/>
  <c r="E19" i="33"/>
  <c r="C49" i="73" s="1"/>
  <c r="E20" i="33"/>
  <c r="C50" i="73" s="1"/>
  <c r="I17" i="12"/>
  <c r="C17" i="73" s="1"/>
  <c r="I18" i="12"/>
  <c r="C18" i="73" s="1"/>
  <c r="I19" i="12"/>
  <c r="C19" i="73" s="1"/>
  <c r="C41" i="73"/>
  <c r="C42" i="73"/>
  <c r="C43" i="73"/>
  <c r="C44" i="73"/>
  <c r="C45" i="73"/>
  <c r="C40" i="73"/>
  <c r="C13" i="73"/>
  <c r="C16" i="73"/>
  <c r="J26" i="108"/>
  <c r="C34" i="113"/>
  <c r="C31" i="113"/>
  <c r="C30" i="113"/>
  <c r="C2" i="113"/>
  <c r="C1" i="113"/>
  <c r="B13" i="112"/>
  <c r="B12" i="112"/>
  <c r="B11" i="112"/>
  <c r="B10" i="112"/>
  <c r="E9" i="112"/>
  <c r="C39" i="113" s="1"/>
  <c r="B9" i="112"/>
  <c r="C7" i="112" s="1"/>
  <c r="E7" i="112" s="1"/>
  <c r="C36" i="113" s="1"/>
  <c r="E8" i="112"/>
  <c r="C37" i="113" s="1"/>
  <c r="E6" i="112"/>
  <c r="C35" i="113" s="1"/>
  <c r="E5" i="112"/>
  <c r="E4" i="112"/>
  <c r="C33" i="113" s="1"/>
  <c r="E3" i="112"/>
  <c r="C32" i="113" s="1"/>
  <c r="I27" i="111"/>
  <c r="B27" i="111"/>
  <c r="I26" i="111"/>
  <c r="B26" i="111"/>
  <c r="I25" i="111"/>
  <c r="B25" i="111"/>
  <c r="I24" i="111"/>
  <c r="B24" i="111"/>
  <c r="B22" i="111"/>
  <c r="B21" i="111"/>
  <c r="I14" i="111"/>
  <c r="C14" i="113" s="1"/>
  <c r="I13" i="111"/>
  <c r="C13" i="113" s="1"/>
  <c r="I12" i="111"/>
  <c r="C12" i="113" s="1"/>
  <c r="I11" i="111"/>
  <c r="C11" i="113" s="1"/>
  <c r="I10" i="111"/>
  <c r="C10" i="113" s="1"/>
  <c r="I9" i="111"/>
  <c r="C9" i="113" s="1"/>
  <c r="I7" i="111"/>
  <c r="C7" i="113" s="1"/>
  <c r="I6" i="111"/>
  <c r="C6" i="113" s="1"/>
  <c r="I5" i="111"/>
  <c r="C5" i="113" s="1"/>
  <c r="I4" i="111"/>
  <c r="C4" i="113" s="1"/>
  <c r="I3" i="111"/>
  <c r="C3" i="113" s="1"/>
  <c r="B12" i="33"/>
  <c r="B13" i="33"/>
  <c r="B14" i="33"/>
  <c r="B15" i="33"/>
  <c r="B16" i="33"/>
  <c r="B17" i="33"/>
  <c r="E17" i="33" s="1"/>
  <c r="C47" i="73" s="1"/>
  <c r="B18" i="33"/>
  <c r="E18" i="33" s="1"/>
  <c r="C48" i="73" s="1"/>
  <c r="I9" i="12"/>
  <c r="C9" i="73" s="1"/>
  <c r="I10" i="12"/>
  <c r="C10" i="73" s="1"/>
  <c r="I11" i="12"/>
  <c r="C11" i="73" s="1"/>
  <c r="I12" i="12"/>
  <c r="C12" i="73" s="1"/>
  <c r="I13" i="12"/>
  <c r="I14" i="12"/>
  <c r="C14" i="73" s="1"/>
  <c r="I16" i="12"/>
  <c r="I24" i="12"/>
  <c r="I25" i="12"/>
  <c r="I26" i="12"/>
  <c r="I27" i="12"/>
  <c r="I28" i="12"/>
  <c r="I29" i="12"/>
  <c r="I30" i="12"/>
  <c r="I31" i="12"/>
  <c r="I32" i="12"/>
  <c r="I33" i="12"/>
  <c r="B21" i="12"/>
  <c r="B22" i="12"/>
  <c r="B24" i="12"/>
  <c r="B25" i="12"/>
  <c r="B26" i="12"/>
  <c r="B27" i="12"/>
  <c r="B28" i="12"/>
  <c r="B29" i="12"/>
  <c r="B30" i="12"/>
  <c r="B31" i="12"/>
  <c r="B32" i="12"/>
  <c r="B33" i="12"/>
  <c r="E8" i="33"/>
  <c r="C37" i="73" s="1"/>
  <c r="E8" i="109"/>
  <c r="C84" i="110" s="1"/>
  <c r="J9" i="108"/>
  <c r="C9" i="110" s="1"/>
  <c r="J11" i="108"/>
  <c r="C11" i="110" s="1"/>
  <c r="C78" i="110"/>
  <c r="C77" i="110"/>
  <c r="C2" i="110"/>
  <c r="C1" i="110"/>
  <c r="B10" i="109"/>
  <c r="E10" i="109" s="1"/>
  <c r="C87" i="110" s="1"/>
  <c r="E9" i="109"/>
  <c r="C86" i="110" s="1"/>
  <c r="B9" i="109"/>
  <c r="C7" i="109" s="1"/>
  <c r="E7" i="109" s="1"/>
  <c r="C83" i="110" s="1"/>
  <c r="E6" i="109"/>
  <c r="C82" i="110" s="1"/>
  <c r="E5" i="109"/>
  <c r="C81" i="110" s="1"/>
  <c r="E4" i="109"/>
  <c r="C80" i="110" s="1"/>
  <c r="E3" i="109"/>
  <c r="C79" i="110" s="1"/>
  <c r="J8" i="108"/>
  <c r="C8" i="110" s="1"/>
  <c r="J7" i="108"/>
  <c r="C7" i="110" s="1"/>
  <c r="J6" i="108"/>
  <c r="C6" i="110" s="1"/>
  <c r="J5" i="108"/>
  <c r="C5" i="110" s="1"/>
  <c r="J4" i="108"/>
  <c r="C4" i="110" s="1"/>
  <c r="J3" i="108"/>
  <c r="C3" i="110" s="1"/>
  <c r="E9" i="33"/>
  <c r="C39" i="73" s="1"/>
  <c r="E6" i="33"/>
  <c r="C35" i="73" s="1"/>
  <c r="I8" i="12"/>
  <c r="C8" i="73" s="1"/>
  <c r="I7" i="12"/>
  <c r="C7" i="73" s="1"/>
  <c r="I6" i="12"/>
  <c r="C6" i="73" s="1"/>
  <c r="C31" i="73"/>
  <c r="C30" i="73"/>
  <c r="C2" i="73"/>
  <c r="C1" i="73"/>
  <c r="E3" i="33"/>
  <c r="C32" i="73" s="1"/>
  <c r="I3" i="12"/>
  <c r="C3" i="73" s="1"/>
  <c r="E5" i="33"/>
  <c r="C34" i="73" s="1"/>
  <c r="E4" i="33"/>
  <c r="C33" i="73" s="1"/>
  <c r="B9" i="33"/>
  <c r="C7" i="33" s="1"/>
  <c r="E7" i="33" s="1"/>
  <c r="C36" i="73" s="1"/>
  <c r="I5" i="12"/>
  <c r="C5" i="73" s="1"/>
  <c r="I4" i="12"/>
  <c r="C4" i="73" s="1"/>
  <c r="E15" i="33"/>
  <c r="B10" i="33"/>
  <c r="E10" i="33" s="1"/>
  <c r="B11" i="33"/>
  <c r="E11" i="33" s="1"/>
  <c r="E13" i="33"/>
  <c r="S39" i="148" l="1" a="1"/>
  <c r="S39" i="148" s="1"/>
  <c r="S63" i="146" a="1"/>
  <c r="S63" i="146" s="1"/>
  <c r="B68" i="147" s="1"/>
  <c r="S57" i="146" a="1"/>
  <c r="S57" i="146" s="1"/>
  <c r="B62" i="147" s="1"/>
  <c r="S16" i="137" a="1"/>
  <c r="S16" i="137" s="1"/>
  <c r="B21" i="138" s="1"/>
  <c r="S63" i="137" a="1"/>
  <c r="S63" i="137" s="1"/>
  <c r="B68" i="138" s="1"/>
  <c r="S67" i="137" a="1"/>
  <c r="S67" i="137" s="1"/>
  <c r="B72" i="138" s="1"/>
  <c r="S71" i="137" a="1"/>
  <c r="S71" i="137" s="1"/>
  <c r="B76" i="138" s="1"/>
  <c r="S75" i="137" a="1"/>
  <c r="S75" i="137" s="1"/>
  <c r="B80" i="138" s="1"/>
  <c r="S79" i="137" a="1"/>
  <c r="S79" i="137" s="1"/>
  <c r="B84" i="138" s="1"/>
  <c r="S83" i="137" a="1"/>
  <c r="S83" i="137" s="1"/>
  <c r="B88" i="138" s="1"/>
  <c r="S87" i="137" a="1"/>
  <c r="S87" i="137" s="1"/>
  <c r="B92" i="138" s="1"/>
  <c r="S91" i="137" a="1"/>
  <c r="S91" i="137" s="1"/>
  <c r="B96" i="138" s="1"/>
  <c r="S95" i="137" a="1"/>
  <c r="S95" i="137" s="1"/>
  <c r="B100" i="138" s="1"/>
  <c r="S99" i="137" a="1"/>
  <c r="S99" i="137" s="1"/>
  <c r="B104" i="138" s="1"/>
  <c r="S103" i="137" a="1"/>
  <c r="S103" i="137" s="1"/>
  <c r="B108" i="138" s="1"/>
  <c r="S107" i="137" a="1"/>
  <c r="S107" i="137" s="1"/>
  <c r="B112" i="138" s="1"/>
  <c r="S111" i="137" a="1"/>
  <c r="S111" i="137" s="1"/>
  <c r="B116" i="138" s="1"/>
  <c r="S115" i="137" a="1"/>
  <c r="S115" i="137" s="1"/>
  <c r="B120" i="138" s="1"/>
  <c r="S119" i="137" a="1"/>
  <c r="S119" i="137" s="1"/>
  <c r="B124" i="138" s="1"/>
  <c r="S123" i="137" a="1"/>
  <c r="S123" i="137" s="1"/>
  <c r="S127" i="137" a="1"/>
  <c r="S127" i="137" s="1"/>
  <c r="S131" i="137" a="1"/>
  <c r="S131" i="137" s="1"/>
  <c r="S135" i="137" a="1"/>
  <c r="S135" i="137" s="1"/>
  <c r="S139" i="137" a="1"/>
  <c r="S139" i="137" s="1"/>
  <c r="S143" i="137" a="1"/>
  <c r="S143" i="137" s="1"/>
  <c r="S147" i="137" a="1"/>
  <c r="S147" i="137" s="1"/>
  <c r="S151" i="137" a="1"/>
  <c r="S151" i="137" s="1"/>
  <c r="S155" i="137" a="1"/>
  <c r="S155" i="137" s="1"/>
  <c r="S159" i="137" a="1"/>
  <c r="S159" i="137" s="1"/>
  <c r="S163" i="137" a="1"/>
  <c r="S163" i="137" s="1"/>
  <c r="S167" i="137" a="1"/>
  <c r="S167" i="137" s="1"/>
  <c r="S171" i="137" a="1"/>
  <c r="S171" i="137" s="1"/>
  <c r="S175" i="137" a="1"/>
  <c r="S175" i="137" s="1"/>
  <c r="S179" i="137" a="1"/>
  <c r="S179" i="137" s="1"/>
  <c r="S183" i="137" a="1"/>
  <c r="S183" i="137" s="1"/>
  <c r="S187" i="137" a="1"/>
  <c r="S187" i="137" s="1"/>
  <c r="S17" i="137" a="1"/>
  <c r="S17" i="137" s="1"/>
  <c r="B22" i="138" s="1"/>
  <c r="L9" i="108"/>
  <c r="L17" i="108"/>
  <c r="L25" i="108"/>
  <c r="L16" i="108"/>
  <c r="L10" i="108"/>
  <c r="L18" i="108"/>
  <c r="L26" i="108"/>
  <c r="L11" i="108"/>
  <c r="L19" i="108"/>
  <c r="L12" i="108"/>
  <c r="L20" i="108"/>
  <c r="L13" i="108"/>
  <c r="L21" i="108"/>
  <c r="L24" i="108"/>
  <c r="L14" i="108"/>
  <c r="L22" i="108"/>
  <c r="L15" i="108"/>
  <c r="L23" i="108"/>
  <c r="E15" i="116"/>
  <c r="B20" i="116"/>
  <c r="E20" i="116" s="1"/>
  <c r="B14" i="116"/>
  <c r="E14" i="116" s="1"/>
  <c r="C40" i="113"/>
  <c r="E12" i="33"/>
  <c r="E16" i="33"/>
  <c r="C46" i="73" s="1"/>
  <c r="S15" i="137" l="1" a="1"/>
  <c r="S15" i="137" s="1"/>
  <c r="B20" i="138" s="1"/>
  <c r="E14" i="3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tc={6DE5AA82-640F-4653-90AA-A807E1102ADA}</author>
  </authors>
  <commentList>
    <comment ref="D9" authorId="0" shapeId="0" xr:uid="{6DE5AA82-640F-4653-90AA-A807E1102ADA}">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Consider to add a order group id ( or make this explicit in the model)</t>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<sst xmlns="http://schemas.openxmlformats.org/spreadsheetml/2006/main" count="2312" uniqueCount="873">
  <si>
    <t>Identifier</t>
  </si>
  <si>
    <t>CodeableConcept</t>
  </si>
  <si>
    <t>dateTime</t>
  </si>
  <si>
    <t>string</t>
  </si>
  <si>
    <t>BackboneElement</t>
  </si>
  <si>
    <t>Description</t>
  </si>
  <si>
    <t xml:space="preserve">Data Element </t>
  </si>
  <si>
    <t>Data element description</t>
  </si>
  <si>
    <t>min</t>
  </si>
  <si>
    <t>max</t>
  </si>
  <si>
    <t>dataType</t>
  </si>
  <si>
    <t>*</t>
  </si>
  <si>
    <t>Subject</t>
  </si>
  <si>
    <t>Title</t>
  </si>
  <si>
    <t>Name</t>
  </si>
  <si>
    <t>hl7.org/fhir/r4</t>
  </si>
  <si>
    <t>fhir</t>
  </si>
  <si>
    <t>Patient</t>
  </si>
  <si>
    <t>Target</t>
  </si>
  <si>
    <t>Id</t>
  </si>
  <si>
    <t>Mapping: fhir</t>
  </si>
  <si>
    <t>Id: fhir</t>
  </si>
  <si>
    <t>Title: "FHIR"</t>
  </si>
  <si>
    <t>Source: Subject</t>
  </si>
  <si>
    <t>Target: "hl7.org/fhir/r4"</t>
  </si>
  <si>
    <t>* dateOfBirth -&gt; ".birthDate"</t>
  </si>
  <si>
    <t>* dateOfBirth.date -&gt; ".birthDate"</t>
  </si>
  <si>
    <t>* dateOfBirth.unknown -&gt; ".birthDate.extension('data-absent-reason').where(valueCode = 'unknown')"</t>
  </si>
  <si>
    <t>* maritalStatus -&gt; ".maritalStatus"</t>
  </si>
  <si>
    <t>* sexOrGender -&gt; ".gender"</t>
  </si>
  <si>
    <t>* sexOrGender -&gt; ".extension('individual-recordedSexOrGender').value"</t>
  </si>
  <si>
    <t>* sexOrGender -&gt; ".extension('patient-sexForClinicalUse').value"</t>
  </si>
  <si>
    <t>* race -&gt; ".extension('patient-sexForClinicalUse').value"</t>
  </si>
  <si>
    <t>* countryOfResidence -&gt; ".address.country"</t>
  </si>
  <si>
    <t>Mapping</t>
  </si>
  <si>
    <t>Source</t>
  </si>
  <si>
    <t>//  Logical Model</t>
  </si>
  <si>
    <t>// -------------------------------------------------------------------------------</t>
  </si>
  <si>
    <t>//  Map to FHIR R4</t>
  </si>
  <si>
    <t>Field</t>
  </si>
  <si>
    <t>Field description  </t>
  </si>
  <si>
    <t>Preferred Code System  </t>
  </si>
  <si>
    <t>A.1 Report header data elements</t>
  </si>
  <si>
    <t>A.1.1 Identification of the patient/subject</t>
  </si>
  <si>
    <t>A.1.1.1</t>
  </si>
  <si>
    <t>Family name/surname</t>
  </si>
  <si>
    <t>The family name/surname/last name of the patient. This field can contain more than one element or multiple fields could be present. </t>
  </si>
  <si>
    <t>A.1.1.2</t>
  </si>
  <si>
    <t>Given name </t>
  </si>
  <si>
    <t>The given name/first name of the patient (also known as forename or first name). This field can contain more than one element.  </t>
  </si>
  <si>
    <t>A.1.1.3</t>
  </si>
  <si>
    <t>Date of birth </t>
  </si>
  <si>
    <t>The date of birth of the patient [ISO TS 22220]. As age of the patient might be important for correct interpretation of the test result values, complete date of birth should be provided.</t>
  </si>
  <si>
    <t>Complete date, without time, following the ISO 8601 </t>
  </si>
  <si>
    <t>A.1.1.4</t>
  </si>
  <si>
    <t>Personal identifier </t>
  </si>
  <si>
    <t>An identifier of the patient that is unique within a defined scope. Example: National ID (birth number) for Czech patient. Multiple identifiers could be provided.  </t>
  </si>
  <si>
    <t>A.1.1.5</t>
  </si>
  <si>
    <t>Gender</t>
  </si>
  <si>
    <t>This field must contain a recognised valid value for "administrative gender".</t>
  </si>
  <si>
    <t>HL7 Administrative Gender </t>
  </si>
  <si>
    <t>If different, "physiological gender" should be communicated elsewhere.</t>
  </si>
  <si>
    <t>A.1.2 Patient/subject related contact information  </t>
  </si>
  <si>
    <t>A.1.2.1</t>
  </si>
  <si>
    <t>Address</t>
  </si>
  <si>
    <t>Mailing and home or office addresses. The addresses are always sequences of address parts (e.g. street address line, country, ZIP code, city) even if postal address formats may vary depending on the country. An address may or may not include a specific use code; if this attribute is not present it is assumed to be the default address useful for any purpose.</t>
  </si>
  <si>
    <t> ISO 3166</t>
  </si>
  <si>
    <t>A.1.2.2</t>
  </si>
  <si>
    <t>Telecom</t>
  </si>
  <si>
    <t>Telecommunication contact information (addresses) associated to a person. Multiple telecommunication addresses might be provided.</t>
  </si>
  <si>
    <t>A.1.3 Health insurance and payment information</t>
  </si>
  <si>
    <t>A.1.3.1</t>
  </si>
  <si>
    <t>Health insurance information</t>
  </si>
  <si>
    <t>Health insurance information is not always required, however, in some jurisdictions, the insurance number is also used as the patient identifier. It is necessary not just for identification but also forms access to funding for care. </t>
  </si>
  <si>
    <t>A.1.3.1.1</t>
  </si>
  <si>
    <t>Health insurance code</t>
  </si>
  <si>
    <t>Unique health insurance company identification code.</t>
  </si>
  <si>
    <t>A.1.3.1.2</t>
  </si>
  <si>
    <t>Health insurance name</t>
  </si>
  <si>
    <t>Full, official name of the healthcare insurance provider.</t>
  </si>
  <si>
    <t>A.1.3.1.3</t>
  </si>
  <si>
    <t>Health insurance number</t>
  </si>
  <si>
    <t>Number or code under which the insured person is registered at the insurance provider.</t>
  </si>
  <si>
    <t>A.1.4 Information recipient (intended recipient or recipients of the report, additional recipients might be identified by the ordering party, e.g. GP, other specialist), if applicable</t>
  </si>
  <si>
    <t>A.1.4.1</t>
  </si>
  <si>
    <t>Recipient identifier</t>
  </si>
  <si>
    <t>The health professional identification number. Either an internal identifier assigned by a healthcare provider institution or (preferably) a national health professional ID such as the license or registration number. In case when recipient is not a health professional, e.g. patient, appropriate personal identifier should be used. </t>
  </si>
  <si>
    <t>A.1.4.2</t>
  </si>
  <si>
    <t>Recipient name</t>
  </si>
  <si>
    <t>Person name.</t>
  </si>
  <si>
    <t>A.1.4.3</t>
  </si>
  <si>
    <t>Recipient organization </t>
  </si>
  <si>
    <t>The healthcare provider organization information.</t>
  </si>
  <si>
    <t>A.1.5 Author (by whom the Laboratory result report or a subset of its results was authored)</t>
  </si>
  <si>
    <t>A.1.5.1</t>
  </si>
  <si>
    <t>Author identifier</t>
  </si>
  <si>
    <t>The health professional or authoring device identification number. Either an internal identifier assigned by a healthcare provider institution or (preferably) a national health professional ID such as the license or registration number. </t>
  </si>
  <si>
    <t>A.1.5.2</t>
  </si>
  <si>
    <t>Author name</t>
  </si>
  <si>
    <t>Person or device name.</t>
  </si>
  <si>
    <t>A.1.5.3</t>
  </si>
  <si>
    <t>Author organization </t>
  </si>
  <si>
    <t>A.1.6 Legal authenticator (The person taking responsibility for the medical content of the document)</t>
  </si>
  <si>
    <t>A.1.6.1</t>
  </si>
  <si>
    <t>Legal authenticator identifier</t>
  </si>
  <si>
    <t>The health professional identification number. Either an internal identifier assigned by a healthcare provider institution or (preferably) a national health professional ID such as the license or registration number. </t>
  </si>
  <si>
    <t>A.1.6.2</t>
  </si>
  <si>
    <t>Legal authenticator name</t>
  </si>
  <si>
    <t>A.1.6.3</t>
  </si>
  <si>
    <t>Legal authenticator organization </t>
  </si>
  <si>
    <t>A.1.6.4</t>
  </si>
  <si>
    <t>Authentication date and time</t>
  </si>
  <si>
    <t>Date and time when the document was authorized.</t>
  </si>
  <si>
    <t>ISO 8601</t>
  </si>
  <si>
    <t>A.1.7 Result validator</t>
  </si>
  <si>
    <t>A.1.7.1</t>
  </si>
  <si>
    <t>Result validator identifier</t>
  </si>
  <si>
    <t>The health professional identification number. Either an internal identifier assign by a healthcare provider institution or (preferably) a national health professional ID such as the license or registration number. </t>
  </si>
  <si>
    <t>A.1.7.2</t>
  </si>
  <si>
    <t>Result validator name</t>
  </si>
  <si>
    <t>A.1.7.3</t>
  </si>
  <si>
    <t>Result validator organisation </t>
  </si>
  <si>
    <t>The healthcare provider organisation information.</t>
  </si>
  <si>
    <t>A.1.7.4</t>
  </si>
  <si>
    <t>Validation date and time</t>
  </si>
  <si>
    <t>Date and time when the document was validated.</t>
  </si>
  <si>
    <t>A.1.8 Laboratory report metadata</t>
  </si>
  <si>
    <t>A.1.8.1</t>
  </si>
  <si>
    <t>Document type</t>
  </si>
  <si>
    <t>A coded type of the document. Fixed value "Laboratory report"</t>
  </si>
  <si>
    <t>LOINC</t>
  </si>
  <si>
    <t>A.1.8.2</t>
  </si>
  <si>
    <t>Document status</t>
  </si>
  <si>
    <t>The status of the laboratory test result report. E.g., preliminary, final.</t>
  </si>
  <si>
    <t>hl7:DiagnosticReportStatus</t>
  </si>
  <si>
    <t>A.1.8.3</t>
  </si>
  <si>
    <t>Report date and time</t>
  </si>
  <si>
    <t>Date and time of the result report creation.</t>
  </si>
  <si>
    <t>A.1.8.4</t>
  </si>
  <si>
    <t>Document title</t>
  </si>
  <si>
    <t>Document title, e.g. "Laboratory Result report"</t>
  </si>
  <si>
    <t>A.1.8.5</t>
  </si>
  <si>
    <t>Report custodian</t>
  </si>
  <si>
    <t>Organisation that is in charge of maintaining the laboratory report</t>
  </si>
  <si>
    <t>A.2 Order information (Laboratory Result Report could respond to multiple test orders)</t>
  </si>
  <si>
    <t>A.2.1</t>
  </si>
  <si>
    <t>Order Id</t>
  </si>
  <si>
    <t>An identifier of the laboratory test order. Laboratory Result Report may respond to multiple orders.</t>
  </si>
  <si>
    <t>A.2.2</t>
  </si>
  <si>
    <t>Order date and time</t>
  </si>
  <si>
    <t>Date and time of the order placement.</t>
  </si>
  <si>
    <t>A.2.3</t>
  </si>
  <si>
    <t>Order placer identifier</t>
  </si>
  <si>
    <t>The health professional identification number. Either an internal identifier assigned by a healthcare provider institution or (preferably) a national health professional ID such as the license or registration number. In case when order placer is not a health professional, e.g. by patients themselves where applicable, appropriate personal identifier should be used. </t>
  </si>
  <si>
    <t>A.2.4</t>
  </si>
  <si>
    <t>Order placer name</t>
  </si>
  <si>
    <t>A.2.5</t>
  </si>
  <si>
    <t>Order placer contact details</t>
  </si>
  <si>
    <t>Contact details of order placer (address and telecom details).</t>
  </si>
  <si>
    <t>A.2.6</t>
  </si>
  <si>
    <t>Order placer organization </t>
  </si>
  <si>
    <t>Order placer organization information.</t>
  </si>
  <si>
    <t>A.3 Order reason (Laboratory Result Report could respond to multiple reasons)</t>
  </si>
  <si>
    <t>A.3.1</t>
  </si>
  <si>
    <t>Problem / diagnosis / condition description</t>
  </si>
  <si>
    <t>Health conditions affecting the health of the patient and are important to be known for a health professional during a health encounter. Clinical conditions of the subject relevant for the results interpretation.</t>
  </si>
  <si>
    <t>ICD-10 (ICD-11 when available)</t>
  </si>
  <si>
    <t>SNOMED CT</t>
  </si>
  <si>
    <t>Orphacode</t>
  </si>
  <si>
    <t>A.4 Specimen information</t>
  </si>
  <si>
    <t>A.4.1</t>
  </si>
  <si>
    <t>Specimen identifier</t>
  </si>
  <si>
    <t>An identifier of the specimen which is unique within in a defined scope. Example: identifier assigned by ordering system, identifier assigned by laboratory etc. Multiple identifiers can be used.</t>
  </si>
  <si>
    <t>A.4.2</t>
  </si>
  <si>
    <t>Type of species</t>
  </si>
  <si>
    <t>Biologic type of species for laboratory result reports bound to non-human subjects.</t>
  </si>
  <si>
    <t>A.4.3</t>
  </si>
  <si>
    <t>Material</t>
  </si>
  <si>
    <t>Specimen material.</t>
  </si>
  <si>
    <t>A.4.4</t>
  </si>
  <si>
    <t>Collection period</t>
  </si>
  <si>
    <t>Collection date time or period.</t>
  </si>
  <si>
    <t>A.4.5</t>
  </si>
  <si>
    <t>Anatomic location</t>
  </si>
  <si>
    <t>Anatomic location (body location, laterality) where the material is collected, e.g. Elbow, left</t>
  </si>
  <si>
    <t>A.4.6</t>
  </si>
  <si>
    <t>Morphology</t>
  </si>
  <si>
    <t>Morphological abnormalities of the anatomical location where the material is taken, for example wound, ulcer.</t>
  </si>
  <si>
    <t>A.4.7</t>
  </si>
  <si>
    <t>Source Device</t>
  </si>
  <si>
    <t>If the material is not collected directly from the patient but comes from a patient-related object, e.g. a catheter</t>
  </si>
  <si>
    <t>EMDN</t>
  </si>
  <si>
    <t>A.4.8</t>
  </si>
  <si>
    <t>Collection procedure/method</t>
  </si>
  <si>
    <t>If relevant for the results, the method of obtaining the specimen.</t>
  </si>
  <si>
    <t>A.4.9</t>
  </si>
  <si>
    <t>Received date</t>
  </si>
  <si>
    <t>Date and time that the material is handed over at the laboratory or specimen collection centre.</t>
  </si>
  <si>
    <t>A.5 Results data elements</t>
  </si>
  <si>
    <t>A.5.1 Laboratory report narrative </t>
  </si>
  <si>
    <t>A.5.1.1</t>
  </si>
  <si>
    <t>Narrative report</t>
  </si>
  <si>
    <t>Entire report (textual summary inside the laboratory result report document) as issued by the laboratory. </t>
  </si>
  <si>
    <t>A.5.1.2</t>
  </si>
  <si>
    <t>Comments, interpretation and recommendations</t>
  </si>
  <si>
    <t>Comments, such as a textual interpretation or advice accompanying the result report, for example.</t>
  </si>
  <si>
    <t>A.5.2 Observation details (report could consist of multiple observations)</t>
  </si>
  <si>
    <t>A.5.2.1</t>
  </si>
  <si>
    <t>Observation date</t>
  </si>
  <si>
    <t>Date and time of the observation</t>
  </si>
  <si>
    <t>A.5.2.3</t>
  </si>
  <si>
    <t>Observation code</t>
  </si>
  <si>
    <t>Code representing the observation using the agreed code systems.</t>
  </si>
  <si>
    <t>NPU</t>
  </si>
  <si>
    <t>A.5.2.3.1</t>
  </si>
  <si>
    <t>Observation name</t>
  </si>
  <si>
    <t>Full name of the observation according to the used test coding standard.</t>
  </si>
  <si>
    <t>A.5.2.3.2</t>
  </si>
  <si>
    <t>Observation original name</t>
  </si>
  <si>
    <t>Original (conventional) name of the observation as used by the laboratory</t>
  </si>
  <si>
    <t>A.5.2.3.3</t>
  </si>
  <si>
    <t>Observation display name</t>
  </si>
  <si>
    <t>Simplified (short name of the observation) for display.</t>
  </si>
  <si>
    <t>A.5.2.4</t>
  </si>
  <si>
    <t>Observation method</t>
  </si>
  <si>
    <t>Observation method (measurement principle) to obtain the result.</t>
  </si>
  <si>
    <t>A.5.2.5</t>
  </si>
  <si>
    <t>Observation device</t>
  </si>
  <si>
    <t>Device (analyser), laboratory test kit and used calibrator information (identifier, type, name, model, manufacturer)</t>
  </si>
  <si>
    <t>A.5.2.8</t>
  </si>
  <si>
    <t>Order</t>
  </si>
  <si>
    <t>Identifies order and order placer this observation belongs to. </t>
  </si>
  <si>
    <t>A.5.2.9</t>
  </si>
  <si>
    <t>Performer</t>
  </si>
  <si>
    <t>Identifies the originator/author and provides provenance information about the source of the results data that may have not originated with the source of the whole Laboratory Report document. </t>
  </si>
  <si>
    <t>A.5.2.10</t>
  </si>
  <si>
    <t>Reporter</t>
  </si>
  <si>
    <t>With certain observation results, e.g. there may also be an interpreter or a person responsible for validation.</t>
  </si>
  <si>
    <t>A.5.2.11</t>
  </si>
  <si>
    <t>Observation result</t>
  </si>
  <si>
    <t>Result of the observation including text, numeric and coded results of the measurement and measurement uncertainty. Content of the observation result will vary according to the type of the observation.</t>
  </si>
  <si>
    <t>SNOMED CT (for ordinal or nominal scale results and result interpretation)</t>
  </si>
  <si>
    <t>UCUM (for units)</t>
  </si>
  <si>
    <t>A.5.2.12</t>
  </si>
  <si>
    <t>Observation interpretation</t>
  </si>
  <si>
    <t>Information about reference intervals and result interpretation.</t>
  </si>
  <si>
    <t>HL7 v3 Code System ObservationInterpretation</t>
  </si>
  <si>
    <t>A.5.2.13</t>
  </si>
  <si>
    <t>Result description</t>
  </si>
  <si>
    <t>Comments and narrative representation of the observation result and findings.</t>
  </si>
  <si>
    <t>A.5.2.14</t>
  </si>
  <si>
    <t>Accreditation status</t>
  </si>
  <si>
    <t>Accreditation status of the laboratory for the particular observation.</t>
  </si>
  <si>
    <t>LabReportEhn</t>
  </si>
  <si>
    <t>LabReport</t>
  </si>
  <si>
    <t>Laboratory Report</t>
  </si>
  <si>
    <t>header</t>
  </si>
  <si>
    <t>header.subject</t>
  </si>
  <si>
    <t>A.1.4 Information recipient</t>
  </si>
  <si>
    <t>A.1.8.1 Document type</t>
  </si>
  <si>
    <t>A.1.8.2 Document status</t>
  </si>
  <si>
    <t>A.1.8.3 Report date and time</t>
  </si>
  <si>
    <t>A.1.8.4 Document title</t>
  </si>
  <si>
    <t>A.1.8.5 Report custodian</t>
  </si>
  <si>
    <t>A coded type of the document. Fixed value "Laboratory report" - Preferred system(s): LOINC</t>
  </si>
  <si>
    <t>The status of the laboratory test result report. E.g., preliminary, final. - Preferred system(s): hl7:DiagnosticReportStatus</t>
  </si>
  <si>
    <t>Date and time of the result report creation. - Preferred system(s): ISO 8601</t>
  </si>
  <si>
    <t xml:space="preserve">Document title, e.g. "Laboratory Result report" - Preferred system(s): </t>
  </si>
  <si>
    <t xml:space="preserve">Organisation that is in charge of maintaining the laboratory report - Preferred system(s): </t>
  </si>
  <si>
    <t>header.informationRecipient</t>
  </si>
  <si>
    <t>header.validator</t>
  </si>
  <si>
    <t>header.metadata</t>
  </si>
  <si>
    <t>header.metadata.type</t>
  </si>
  <si>
    <t>header.metadata.status</t>
  </si>
  <si>
    <t>header.metadata.dateTime</t>
  </si>
  <si>
    <t>header.metadata.title</t>
  </si>
  <si>
    <t>header.metadata.custodian</t>
  </si>
  <si>
    <t>Composition.conformsTo('http://hl7.eu/fhir/ig/xeh/StructureDefinition/Composition-lab-xeh')</t>
  </si>
  <si>
    <t>Bundle.conformsTo('http://hl7.eu/fhir/ig/xeh/StructureDefinition/Bundle-lab-xeh')</t>
  </si>
  <si>
    <t>Composition.subject</t>
  </si>
  <si>
    <t>Bundle.timestamp</t>
  </si>
  <si>
    <t>Composition.status</t>
  </si>
  <si>
    <t>Composition.title</t>
  </si>
  <si>
    <t>Composition.custodian</t>
  </si>
  <si>
    <t>Composition.type</t>
  </si>
  <si>
    <t>Composition</t>
  </si>
  <si>
    <t>SubjectLabEhn</t>
  </si>
  <si>
    <t>Patient or Subject of care</t>
  </si>
  <si>
    <t>A.1.1.5 Gender</t>
  </si>
  <si>
    <t>A.1.2.1 Address</t>
  </si>
  <si>
    <t>A.1.2.2 Telecom</t>
  </si>
  <si>
    <t xml:space="preserve">Telecommunication contact information (addresses) associated to a person. Multiple telecommunication addresses might be provided. - Preferred system(s): </t>
  </si>
  <si>
    <t>identification</t>
  </si>
  <si>
    <t>The family name/surname/last name of the patient. This field can contain more than one element or multiple fields could be present.</t>
  </si>
  <si>
    <t>identification.familyName</t>
  </si>
  <si>
    <t>identification.givenName</t>
  </si>
  <si>
    <t>identification.dateOfBirth</t>
  </si>
  <si>
    <t>identification.identifier</t>
  </si>
  <si>
    <t>identification.gender</t>
  </si>
  <si>
    <t>Patient.conformsTo('http://hl7.eu/fhir/ig/xeh/StructureDefinition/Patient-eu-xeh')</t>
  </si>
  <si>
    <t>Patient.name.family</t>
  </si>
  <si>
    <t>Patient.name.given</t>
  </si>
  <si>
    <t>Patient.birthDate</t>
  </si>
  <si>
    <t>Patient.identifier</t>
  </si>
  <si>
    <t>Patient.gender</t>
  </si>
  <si>
    <t>Patient.telecom</t>
  </si>
  <si>
    <t>Patient.address</t>
  </si>
  <si>
    <t xml:space="preserve"> </t>
  </si>
  <si>
    <t>A.1.1.1 Familyname/surname</t>
  </si>
  <si>
    <t>A.1.1 Identification of the patient/subject</t>
  </si>
  <si>
    <t xml:space="preserve">The given name/first name of the patient (also known as forename or first name). This field can contain more than one element. </t>
  </si>
  <si>
    <t xml:space="preserve">The date of birth of the patient [ISO TS 22220]. As age of the patient might be important for correct interpretation of the test result values, complete date of birth should be provided. - Preferred system(s): Complete date, without time, following the ISO 8601 </t>
  </si>
  <si>
    <t xml:space="preserve">An identifier of the patient that is unique within a defined scope. Example: National ID (birth number) for Czech patient. Multiple identifiers could be provided. </t>
  </si>
  <si>
    <t xml:space="preserve">This field must contain a recognised valid value for 'administrative gender'. 
If different, 'physiological gender' should be communicated elsewhere
Preferred system(s): - Preferred system(s): HL7 Administrative Gender </t>
  </si>
  <si>
    <t>Mailing and home or office addresses. The addresses are always sequences of address parts (e.g. street address line, country, ZIP code, city) even if postal address formats may vary depending on the country. An address may or may not include a specific use code; if this attribute is not present it is assumed to be the default address useful for any purpose. - Preferred system(s):  ISO 3166</t>
  </si>
  <si>
    <t xml:space="preserve">The family name/surname/last name of the patient. This field can contain more than one element or multiple fields could be present. </t>
  </si>
  <si>
    <t xml:space="preserve">Given name </t>
  </si>
  <si>
    <t xml:space="preserve">The given name/first name of the patient (also known as forename or first name). This field can contain more than one element.  </t>
  </si>
  <si>
    <t xml:space="preserve">Date of birth </t>
  </si>
  <si>
    <t xml:space="preserve">Complete date, without time, following the ISO 8601 </t>
  </si>
  <si>
    <t xml:space="preserve">Personal identifier </t>
  </si>
  <si>
    <t xml:space="preserve">An identifier of the patient that is unique within a defined scope. Example: National ID (birth number) for Czech patient. Multiple identifiers could be provided.  </t>
  </si>
  <si>
    <t xml:space="preserve">HL7 Administrative Gender </t>
  </si>
  <si>
    <t xml:space="preserve">A.1.2 Patient/subject related contact information  </t>
  </si>
  <si>
    <t xml:space="preserve"> ISO 3166</t>
  </si>
  <si>
    <t>ContactPoint</t>
  </si>
  <si>
    <t>eHN Lab model to FHIR R4 Map</t>
  </si>
  <si>
    <t>eHNLabSubject2Fhir</t>
  </si>
  <si>
    <t>eHNLab2Fhir</t>
  </si>
  <si>
    <t>http://hl7.eu/fhir/ig/xeh/StructureDefinition/Subject</t>
  </si>
  <si>
    <t xml:space="preserve">A.1.1 Identification of the patient/subject and A.1.2 Patient/subject related contact information  </t>
  </si>
  <si>
    <t>A.1.3 Health insurance and payment information</t>
  </si>
  <si>
    <t>A.1.4 Information recipient (intended recipient or recipients of the report, additional recipients might be identified by the ordering party, e.g. GP, other specialist), if applicable</t>
  </si>
  <si>
    <t>A.1.1 - A1.2 Patient/subject</t>
  </si>
  <si>
    <t>order</t>
  </si>
  <si>
    <t>A.2-A.3 Order</t>
  </si>
  <si>
    <t xml:space="preserve">A.2 Order information (Laboratory Result Report could respond to multiple test orders)
A.3 Order reason (Laboratory Result Report could respond to multiple reasons)
</t>
  </si>
  <si>
    <t>specimen</t>
  </si>
  <si>
    <t>result</t>
  </si>
  <si>
    <t>Composition.extension('http://hl7.eu/fhir/ig/xeh/StructureDefinition/composition-basedOn-order-or-requisition').valueReference.resolve()</t>
  </si>
  <si>
    <t>Observation.conformsTo('http://hl7.eu/fhir/ig/xeh/StructureDefinition/Observation-results-laboratory-eu-xeh').specimen.resolve()</t>
  </si>
  <si>
    <t>*  -&gt; ##34###34#</t>
  </si>
  <si>
    <t>A.1.3.1 Health insurance information</t>
  </si>
  <si>
    <t>A.1.3.1.1 Health insurance code</t>
  </si>
  <si>
    <t>A.1.3.1.2 Health insurance name</t>
  </si>
  <si>
    <t>A.1.3.1.3 Health insurance number</t>
  </si>
  <si>
    <t>insurance</t>
  </si>
  <si>
    <t xml:space="preserve">Unique health insurance company identification code. </t>
  </si>
  <si>
    <t xml:space="preserve">Full, official name of the healthcare insurance provider. </t>
  </si>
  <si>
    <t xml:space="preserve">Number or code under which the insured person is registered at the insurance provider. </t>
  </si>
  <si>
    <t>insurance.identifier</t>
  </si>
  <si>
    <t>insurance.name</t>
  </si>
  <si>
    <t>insurance.subjectIdentifier</t>
  </si>
  <si>
    <t>header.payer</t>
  </si>
  <si>
    <t>to be mapped</t>
  </si>
  <si>
    <t>eHNLabPayer2Fhir</t>
  </si>
  <si>
    <t>eHN Lab Subject model to FHIR R4 Map</t>
  </si>
  <si>
    <t>eHN Lab Payer model to FHIR R4 Map</t>
  </si>
  <si>
    <t>Payer</t>
  </si>
  <si>
    <t>PayerLabEhn</t>
  </si>
  <si>
    <t>lab-payer.fsh</t>
  </si>
  <si>
    <t>lab-subject.fsh</t>
  </si>
  <si>
    <t>lab-report.fsh</t>
  </si>
  <si>
    <t>http://hl7.eu/fhir/ig/xeh/StructureDefinition/Payer</t>
  </si>
  <si>
    <t>RecipientLabEhn</t>
  </si>
  <si>
    <t>A.1.4.1 Recipient identifier</t>
  </si>
  <si>
    <t>A.1.4.2 Recipient name</t>
  </si>
  <si>
    <t>identifier</t>
  </si>
  <si>
    <t>name</t>
  </si>
  <si>
    <t>organization</t>
  </si>
  <si>
    <t>Organization</t>
  </si>
  <si>
    <t>eHNLabRecipient2Fhir</t>
  </si>
  <si>
    <t>eHN Lab Recipient model to FHIR R4 Map</t>
  </si>
  <si>
    <t>lab-recipient.fsh</t>
  </si>
  <si>
    <t>ValidatorLabEhn</t>
  </si>
  <si>
    <t>eHNLabValidator2Fhir</t>
  </si>
  <si>
    <t>eHN Lab Validator model to FHIR R4 Map</t>
  </si>
  <si>
    <t>A.1.7.1 Result validator identifier</t>
  </si>
  <si>
    <t>A.1.7.4 Validation date and time</t>
  </si>
  <si>
    <t xml:space="preserve">Person name. - Preferred system(s): </t>
  </si>
  <si>
    <t xml:space="preserve">The healthcare provider organisation information. - Preferred system(s): </t>
  </si>
  <si>
    <t>Date and time when the document was validated. - Preferred system(s): ISO 8601</t>
  </si>
  <si>
    <t>lab-validator.fsh</t>
  </si>
  <si>
    <t>A.1.6.1 Legal authenticator identifier</t>
  </si>
  <si>
    <t>A.1.6.2 Legal authenticator name</t>
  </si>
  <si>
    <t>A.1.6.4 Authentication date and time</t>
  </si>
  <si>
    <t xml:space="preserve">The healthcare provider organization information. - Preferred system(s): </t>
  </si>
  <si>
    <t>Date and time when the document was authorized. - Preferred system(s): ISO 8601</t>
  </si>
  <si>
    <t>LegalAuthenticatorLabEhn</t>
  </si>
  <si>
    <t>eHNLabLegalAuthenticator2Fhir</t>
  </si>
  <si>
    <t>eHN Lab LegalAuthenticator model to FHIR R4 Map</t>
  </si>
  <si>
    <t>lab-legalAuth.fsh</t>
  </si>
  <si>
    <t>Health insurance information is not always required, however, in some jurisdictions, the insurance number is also used as the patient identifier. It is necessary not just for identification but also forms access to funding for care.</t>
  </si>
  <si>
    <t xml:space="preserve">Health insurance information is not always required, however, in some jurisdictions, the insurance number is also used as the patient identifier. It is necessary not just for identification but also forms access to funding for care. </t>
  </si>
  <si>
    <t>http://hl7.eu/fhir/ig/xeh/StructureDefinition/Recipient</t>
  </si>
  <si>
    <t>http://hl7.eu/fhir/ig/xeh/StructureDefinition/Validator</t>
  </si>
  <si>
    <t>A.1.5 Author</t>
  </si>
  <si>
    <t>header.author</t>
  </si>
  <si>
    <t>header.legalAuthenticator</t>
  </si>
  <si>
    <t>LegalAuthenticator</t>
  </si>
  <si>
    <t>Recipient</t>
  </si>
  <si>
    <t>http://hl7.eu/fhir/ig/xeh/StructureDefinition/LegalAuthenticator</t>
  </si>
  <si>
    <t>http://hl7.eu/fhir/ig/xeh/StructureDefinition/Author</t>
  </si>
  <si>
    <t>A.1.5.1 Author identifier</t>
  </si>
  <si>
    <t>A.1.5.2 Author name</t>
  </si>
  <si>
    <t xml:space="preserve">Person or device name. - Preferred system(s): </t>
  </si>
  <si>
    <t>lab-author.fsh</t>
  </si>
  <si>
    <t>Composition.author</t>
  </si>
  <si>
    <t>Composition.attester.where(mode=http://hl7.org/fhir/composition-attestation-mode#legal)</t>
  </si>
  <si>
    <t>Composition.attester.where(mode=http://hl7.org/fhir/composition-attestation-mode#professional)</t>
  </si>
  <si>
    <t>AuthorLabEhn</t>
  </si>
  <si>
    <t>Author</t>
  </si>
  <si>
    <t>eHNLabAuthor2Fhir</t>
  </si>
  <si>
    <t>eHN Lab Author model to FHIR R4 Map</t>
  </si>
  <si>
    <t>HumanName</t>
  </si>
  <si>
    <t>Validator</t>
  </si>
  <si>
    <t xml:space="preserve">A.2 Order information (Laboratory Result Report could respond to multiple test orders) </t>
  </si>
  <si>
    <t>A.2.1 Order Id</t>
  </si>
  <si>
    <t>A.2.2 Order date and time</t>
  </si>
  <si>
    <t>A.2.3 Order placer identifier</t>
  </si>
  <si>
    <t>A.2.4 Order placer name</t>
  </si>
  <si>
    <t>A.2.5 Order placer contact details</t>
  </si>
  <si>
    <t xml:space="preserve">A.3 Order reason (Laboratory Result Report could respond to multiple reasons) </t>
  </si>
  <si>
    <t>A.3.1 Problem / diagnosis / condition description</t>
  </si>
  <si>
    <t>OrderLabEhn</t>
  </si>
  <si>
    <t>eHNLabOrder2Fhir</t>
  </si>
  <si>
    <t>eHN Lab Order model to FHIR R4 Map</t>
  </si>
  <si>
    <t>Order information (A.2) and reason (A3)</t>
  </si>
  <si>
    <t>Date and time of the order placement. - Preferred system(s): ISO 8601</t>
  </si>
  <si>
    <t>A.3 Order reason</t>
  </si>
  <si>
    <t>A.2 Order information</t>
  </si>
  <si>
    <t>Health conditions affecting the health of the patient and are important to be known for a health professional during a health encounter. Clinical conditions of the subject relevant for the results interpretation. - Preferred system(s): ICD-10 (ICD-11 when available)</t>
  </si>
  <si>
    <t>Subject of care (A1.1 - A1.2)</t>
  </si>
  <si>
    <t>Information recipient (A.1.4)</t>
  </si>
  <si>
    <t>Author (A.1.5)</t>
  </si>
  <si>
    <t>Legal authenticator (A.1.6)</t>
  </si>
  <si>
    <t>reason</t>
  </si>
  <si>
    <t>reason.code</t>
  </si>
  <si>
    <t>Health conditions affecting the health of the patient and are important to be known for a health professional during a health encounter. Clinical conditions of the subject relevant for the results interpretation.
- Preferred system(s): ICD-10 (ICD-11 when available)
- Preferred system(s): SNOMED CT
- Preferred system(s): Orphacode</t>
  </si>
  <si>
    <t>orderDetails</t>
  </si>
  <si>
    <t>orderDetails.identifier</t>
  </si>
  <si>
    <t>orderDetails.dateTime</t>
  </si>
  <si>
    <t>orderDetails.orderPlacerIdentifier</t>
  </si>
  <si>
    <t>orderDetails.orderPlacerName</t>
  </si>
  <si>
    <t>orderDetails.orderPlacerContacts</t>
  </si>
  <si>
    <t>orderDetails.orderPlacerOrganization</t>
  </si>
  <si>
    <t>lab-order.fsh</t>
  </si>
  <si>
    <t>http://hl7.eu/fhir/ig/xeh/StructureDefinition/Order</t>
  </si>
  <si>
    <t>A.4.1 Specimen identifier</t>
  </si>
  <si>
    <t>A.4.2 Type of species</t>
  </si>
  <si>
    <t>A.4.3 Material</t>
  </si>
  <si>
    <t>A.4.4 Collection period</t>
  </si>
  <si>
    <t>A.4.5 Anatomic location</t>
  </si>
  <si>
    <t>A.4.6 Morphology</t>
  </si>
  <si>
    <t>A.4.7 Source Device</t>
  </si>
  <si>
    <t>A.4.8 Collection procedure/method</t>
  </si>
  <si>
    <t>A.4.9 Received date</t>
  </si>
  <si>
    <t>SpecimenLabEhn</t>
  </si>
  <si>
    <t>An identifier of the specimen which is unique within in a defined scope. Example: identifier assigned by Specimening system, identifier assigned by laboratory etc. Multiple identifiers can be used.</t>
  </si>
  <si>
    <t>eHNLabSpecimen2Fhir</t>
  </si>
  <si>
    <t>eHN Lab Specimen model to FHIR R4 Map</t>
  </si>
  <si>
    <t xml:space="preserve">An identifier of the specimen which is unique within in a defined scope. Example: identifier assigned by Specimening system, identifier assigned by laboratory etc. Multiple identifiers can be used. - Preferred system(s): </t>
  </si>
  <si>
    <t>Biologic type of species for laboratory result reports bound to non-human subjects. - Preferred system(s): SNOMED CT</t>
  </si>
  <si>
    <t>Specimen material. - Preferred system(s): SNOMED CT</t>
  </si>
  <si>
    <t>Collection date time or period. - Preferred system(s): ISO 8601</t>
  </si>
  <si>
    <t>Anatomic location (body location, laterality) where the material is collected, e.g. Elbow, left - Preferred system(s): SNOMED CT</t>
  </si>
  <si>
    <t>Morphological abnormalities of the anatomical location where the material is taken, for example wound, ulcer. - Preferred system(s): SNOMED CT</t>
  </si>
  <si>
    <t>If relevant for the results, the method of obtaining the specimen. - Preferred system(s): SNOMED CT</t>
  </si>
  <si>
    <t>Date and time that the material is handed over at the laboratory or specimen collection centre. - Preferred system(s): ISO 8601</t>
  </si>
  <si>
    <t>If the material is not collected directly from the patient but comes from a patient-related object, e.g. a catheter
 - Preferred system(s): SNOMED CT
 - Preferred system(s): EMDN</t>
  </si>
  <si>
    <t>speciesType</t>
  </si>
  <si>
    <t>material</t>
  </si>
  <si>
    <t>anatomicLocation</t>
  </si>
  <si>
    <t>sourceDevice</t>
  </si>
  <si>
    <t>morphology</t>
  </si>
  <si>
    <t>collectionMethod</t>
  </si>
  <si>
    <t>receivedDateTime</t>
  </si>
  <si>
    <t>lab-specimen.fsh</t>
  </si>
  <si>
    <t>ResultLabEhn</t>
  </si>
  <si>
    <t>Result</t>
  </si>
  <si>
    <t>eHNLabResult2Fhir</t>
  </si>
  <si>
    <t>eHN Lab Result model to FHIR R4 Map</t>
  </si>
  <si>
    <t>lab-result.fsh</t>
  </si>
  <si>
    <t>A.5.1.1 Narrative report</t>
  </si>
  <si>
    <t>A.5.1.2 Comments, interpretation and recommendations</t>
  </si>
  <si>
    <t>A.5.2.1 Observation date</t>
  </si>
  <si>
    <t>A.5.2.3 Observation code</t>
  </si>
  <si>
    <t>A.5.2.3.1 Observation name</t>
  </si>
  <si>
    <t>A.5.2.3.2 Observation original name</t>
  </si>
  <si>
    <t>A.5.2.3.3 Observation display name</t>
  </si>
  <si>
    <t>A.5.2.4 Observation method</t>
  </si>
  <si>
    <t>A.5.2.5 Observation device</t>
  </si>
  <si>
    <t>A.5.2.8 Order</t>
  </si>
  <si>
    <t>A.5.2.9 Performer</t>
  </si>
  <si>
    <t>A.5.2.10 Reporter</t>
  </si>
  <si>
    <t>A.5.2.11 Observation result</t>
  </si>
  <si>
    <t>A.5.2.12 Observation interpretation</t>
  </si>
  <si>
    <t>A.5.2.13 Result description</t>
  </si>
  <si>
    <t>A.5.2.14 Accreditation status</t>
  </si>
  <si>
    <t>Date and time of the observation - Preferred system(s): ISO 8601</t>
  </si>
  <si>
    <t>narrative</t>
  </si>
  <si>
    <t>narrative.report</t>
  </si>
  <si>
    <t>narrative.notes</t>
  </si>
  <si>
    <t>observation</t>
  </si>
  <si>
    <t>Narrative</t>
  </si>
  <si>
    <t>A.5.2 Observation details</t>
  </si>
  <si>
    <t>observation.dateTime</t>
  </si>
  <si>
    <t>observation.code</t>
  </si>
  <si>
    <t>Code representing the observation using the agreed code systems.
- Preferred system(s): LOINC
 - Preferred system(s): NPU
 - Preferred system(s): SNOMED CT</t>
  </si>
  <si>
    <t>observation.code.name</t>
  </si>
  <si>
    <t>observation.code.originalName</t>
  </si>
  <si>
    <t>observation.code.displayName</t>
  </si>
  <si>
    <t>observation.method</t>
  </si>
  <si>
    <t>observation.device</t>
  </si>
  <si>
    <t>Device (analyser), laboratory test kit and used calibrator information (identifier, type, name, model, manufacturer)
- Preferred system(s): SNOMED CT
 - Preferred system(s): EMDN</t>
  </si>
  <si>
    <t>observation.order</t>
  </si>
  <si>
    <t>observation.performer</t>
  </si>
  <si>
    <t>Identifies order and order placer this observation belongs to.</t>
  </si>
  <si>
    <t>observation.reporter</t>
  </si>
  <si>
    <t>observation.result</t>
  </si>
  <si>
    <t>Information about reference intervals and result interpretation.
 - Preferred system(s): SNOMED CT
 - Preferred system(s): HL7 v3 Code System ObservationInterpretation</t>
  </si>
  <si>
    <t>observation.interpretation</t>
  </si>
  <si>
    <t>observation.description</t>
  </si>
  <si>
    <t>observation.accreditationStatus</t>
  </si>
  <si>
    <t>Observation method (measurement principle) to obtain the result.
- Preferred system(s): SNOMED CT</t>
  </si>
  <si>
    <t>http://hl7.eu/fhir/ig/xeh/StructureDefinition/Result</t>
  </si>
  <si>
    <t>A.1.1.2 Given name</t>
  </si>
  <si>
    <t>A.1.1.3 Date of birth</t>
  </si>
  <si>
    <t>A.1.1.4 Personal identifier</t>
  </si>
  <si>
    <t>Health insurance and payment information (A.1.3)</t>
  </si>
  <si>
    <t>A.1.4.3 Recipient organization</t>
  </si>
  <si>
    <t xml:space="preserve">The health professional identification number. Either an internal identifier assigned by a healthcare provider institution or (preferably) a national health professional ID such as the license or registration number. In case when recipient is not a health professional, e.g. patient, appropriate personal identifier should be used. </t>
  </si>
  <si>
    <t xml:space="preserve">Recipient organization </t>
  </si>
  <si>
    <t>The health professional identification number.
Either an internal identifier assigned by a healthcare provider institution or (preferably) a national health professional ID such as the license or registration number.
In case when recipient is not a health professional, e.g. patient, appropriate personal identifier should be used.</t>
  </si>
  <si>
    <t>A.1.5.3 Author organization</t>
  </si>
  <si>
    <t xml:space="preserve">The health professional or authoring device identification number. Either an internal identifier assigned by a healthcare provider institution or (preferably) a national health professional ID such as the license or registration number.  - Preferred system(s): </t>
  </si>
  <si>
    <t xml:space="preserve">The health professional or authoring device identification number. Either an internal identifier assigned by a healthcare provider institution or (preferably) a national health professional ID such as the license or registration number. </t>
  </si>
  <si>
    <t xml:space="preserve">Author organization </t>
  </si>
  <si>
    <t>A.1.6.3 Legal authenticator organization</t>
  </si>
  <si>
    <t xml:space="preserve">The health professional identification number. Either an internal identifier assigned by a healthcare provider institution or (preferably) a national health professional ID such as the license or registration number.  - Preferred system(s): </t>
  </si>
  <si>
    <t xml:space="preserve">The health professional identification number. Either an internal identifier assigned by a healthcare provider institution or (preferably) a national health professional ID such as the license or registration number. </t>
  </si>
  <si>
    <t xml:space="preserve">Legal authenticator organization </t>
  </si>
  <si>
    <t xml:space="preserve">The health professional identification number. Either an internal identifier assign by a healthcare provider institution or (preferably) a national health professional ID such as the license or registration number.  - Preferred system(s): </t>
  </si>
  <si>
    <t>A.1.7.2 Result validator name</t>
  </si>
  <si>
    <t xml:space="preserve">The health professional identification number. Either an internal identifier assign by a healthcare provider institution or (preferably) a national health professional ID such as the license or registration number. </t>
  </si>
  <si>
    <t>Result validator name</t>
  </si>
  <si>
    <t xml:space="preserve">Result validator organisation </t>
  </si>
  <si>
    <t>A.1.7.3 Result validator organisation</t>
  </si>
  <si>
    <t xml:space="preserve">The health professional identification number. Either an internal identifier assigned by a healthcare provider institution or (preferably) a national health professional ID such as the license or registration number. In case when order placer is not a health professional, e.g. by patients themselves where applicable, appropriate personal identifier should be used. </t>
  </si>
  <si>
    <t xml:space="preserve">Order placer organization </t>
  </si>
  <si>
    <t>A.2.6 Order placer organization</t>
  </si>
  <si>
    <t>A.5.1 Laboratory report narrative</t>
  </si>
  <si>
    <t xml:space="preserve">A.5.2 Observation details (report could consist of multiple observations) </t>
  </si>
  <si>
    <t>Result of the observation including text, numeric and coded results of the measurement and measurement uncertainty. Content of the observation result will vary according to the type of the observation. 
- Preferred system(s): SNOMED CT (for ordinal or nominal scale results and result interpretation)
 - Preferred system(s): UCUM (for units)</t>
  </si>
  <si>
    <t xml:space="preserve">A.5.1 Laboratory report narrative </t>
  </si>
  <si>
    <t xml:space="preserve">Entire report (textual summary inside the laboratory result report document) as issued by the laboratory. </t>
  </si>
  <si>
    <t>A.5.2 Observation details (report could consist of multiple observations)</t>
  </si>
  <si>
    <t xml:space="preserve">Identifies order and order placer this observation belongs to. </t>
  </si>
  <si>
    <t xml:space="preserve">Identifies the originator/author and provides provenance information about the source of the results data that may have not originated with the source of the whole Laboratory Report document. </t>
  </si>
  <si>
    <t>Result of the observation including text, numeric and coded results of the measurement and measurement uncertainty. Content of the observation result will vary according to the type of the observation.</t>
  </si>
  <si>
    <t>A.1.2 Patient/subject related contact information</t>
  </si>
  <si>
    <t>A.1.6 Legal authenticator</t>
  </si>
  <si>
    <t>SpecimenLab</t>
  </si>
  <si>
    <t>http://hl7.eu/fhir/ig/xeh/StructureDefinition/SpecimenLab</t>
  </si>
  <si>
    <t>Coverage</t>
  </si>
  <si>
    <t>Coverage.policyHolder.resolve().identifier</t>
  </si>
  <si>
    <t>Coverage.beneficiary.resolve().identifier</t>
  </si>
  <si>
    <t>Coverage.subscriber.resolve().identifier</t>
  </si>
  <si>
    <t>Coverage.subscriberId</t>
  </si>
  <si>
    <t>Coverage.payor.ofType(Organization).resolve().identifier</t>
  </si>
  <si>
    <t>Coverage.payor.ofType(Organization).resolve().name</t>
  </si>
  <si>
    <t>Practictioner</t>
  </si>
  <si>
    <t>PractictionerRole</t>
  </si>
  <si>
    <t>.identifier</t>
  </si>
  <si>
    <t>RelatedPerson</t>
  </si>
  <si>
    <t>Organization.name</t>
  </si>
  <si>
    <t>Patientn.name</t>
  </si>
  <si>
    <t>RelatedPerson.name</t>
  </si>
  <si>
    <t>Practictioner.name</t>
  </si>
  <si>
    <t>PractictionerRole.practitioner.resolve().name</t>
  </si>
  <si>
    <t>PractictionerRole.organization.resolve()</t>
  </si>
  <si>
    <t>Composition.author.resolve()</t>
  </si>
  <si>
    <t>Composition.author.resolve().ofType(PractictionerRole).practictioner.resolve().identifier</t>
  </si>
  <si>
    <t>Composition.author.resolve().ofType(PractictionerRole).identifier</t>
  </si>
  <si>
    <t>Composition.author.resolve().ofType(PractictionerRole).practictioner.resolve().name</t>
  </si>
  <si>
    <t>Composition.author.resolve().ofType(PractictionerRole).organization.resolve()</t>
  </si>
  <si>
    <t>.party.resolve().ofType(PractictionerRole).identifier</t>
  </si>
  <si>
    <t>.party.resolve().ofType(PractictionerRole).practictioner.resolve().identifier</t>
  </si>
  <si>
    <t>.party.resolve().ofType(PractictionerRole).practictioner.resolve().name</t>
  </si>
  <si>
    <t>.party.resolve().ofType(PractictionerRole).organization.resolve()</t>
  </si>
  <si>
    <t>.party.resolve().ofType(Organization)</t>
  </si>
  <si>
    <t>.time</t>
  </si>
  <si>
    <t>Composition.section:no-subsections.entry.resolve()</t>
  </si>
  <si>
    <t>Composition.section:subsections.section.entry.resolve()</t>
  </si>
  <si>
    <t>ServiceRequest.identifier</t>
  </si>
  <si>
    <t>ServiceRequest.authoredOn</t>
  </si>
  <si>
    <t>ServiceRequest.requester.resolve().ofType(PractictionerRole).identifier</t>
  </si>
  <si>
    <t>ServiceRequest.requester.resolve().ofType(PractictionerRole).practictioner.resolve().identifier</t>
  </si>
  <si>
    <t>ServiceRequest.requester.resolve().ofType(PractictionerRole).practictioner.resolve().name</t>
  </si>
  <si>
    <t>ServiceRequest.requester.resolve().ofType(PractictionerRole).organization.resolve()</t>
  </si>
  <si>
    <t>ServiceRequest.requester.resolve().ofType(Organization)</t>
  </si>
  <si>
    <t>ServiceRequest.requester.resolve().ofType(PractictionerRole).telecom</t>
  </si>
  <si>
    <t>ServiceRequest.requester.resolve().ofType(PractictionerRole).location</t>
  </si>
  <si>
    <t>ServiceRequest.reasonCode</t>
  </si>
  <si>
    <t>Specimen.identifier</t>
  </si>
  <si>
    <t>Specimen.type</t>
  </si>
  <si>
    <t>Specimen.collection.collected[x]</t>
  </si>
  <si>
    <t>Specimen.collection.bodySite</t>
  </si>
  <si>
    <t>Specimen.collection.bodySite.extension(qualifier) (TBD)</t>
  </si>
  <si>
    <t>Specimen.container</t>
  </si>
  <si>
    <t>Specimen.collection.method</t>
  </si>
  <si>
    <t>Specimen.receivedTime</t>
  </si>
  <si>
    <t>Observation.conformsTo('http://hl7.eu/fhir/ig/xeh/StructureDefinition/Observation-results-laboratory-eu-xeh')</t>
  </si>
  <si>
    <t>Entire report (textual summary inside the laboratory result report document) as issued by the laboratory.</t>
  </si>
  <si>
    <t>Composition.section.text</t>
  </si>
  <si>
    <t>Composition.section.section.text</t>
  </si>
  <si>
    <t>Composition.text</t>
  </si>
  <si>
    <t>Composition.section:annotations.text</t>
  </si>
  <si>
    <t>Observation.hasMember.resolve()</t>
  </si>
  <si>
    <t>Observation.component</t>
  </si>
  <si>
    <t>Observation.effective[x]</t>
  </si>
  <si>
    <t>Observation.code</t>
  </si>
  <si>
    <t>Observation.code.coding.display</t>
  </si>
  <si>
    <t>Observation.code.text</t>
  </si>
  <si>
    <t>Observation.code.coding.display.extension('translation') (TBD)</t>
  </si>
  <si>
    <t>Observation.method</t>
  </si>
  <si>
    <t>Observation.device.resolve()</t>
  </si>
  <si>
    <t>Observation.basedOn.resolve().ofType(ServiceRequest)</t>
  </si>
  <si>
    <t>Observation.performer.resolve()</t>
  </si>
  <si>
    <t>Observation.value[x]</t>
  </si>
  <si>
    <t>Observation.interpretation</t>
  </si>
  <si>
    <t>Observation.text</t>
  </si>
  <si>
    <t>Observation.note</t>
  </si>
  <si>
    <t>ServiceRequest.conformsTo('http://hl7.eu/fhir/ig/xeh/StructureDefinition/ServiceRequest-lab-xeh').insurance.resolve()</t>
  </si>
  <si>
    <t>Composition.extension('http://hl7.eu/fhir/ig/xeh/StructureDefinition/composition-basedOn-order-or-requisition').valueIdentifier</t>
  </si>
  <si>
    <t>ServiceRequest.conformsTo('http://hl7.eu/fhir/ig/xeh/StructureDefinition/ServiceRequest-lab-xeh').insurance.resolve().ofType(Coverage)</t>
  </si>
  <si>
    <t>Result validator (A.1.7)</t>
  </si>
  <si>
    <t>addressTelecom</t>
  </si>
  <si>
    <t>addressTelecom.address</t>
  </si>
  <si>
    <t>addressTelecom.telecom</t>
  </si>
  <si>
    <t>DiagnosticReport.conformsTo('http://hl7.eu/fhir/ig/xeh/StructureDefinition/DiagnosticReport-lab-xeh').specimen.resolve()</t>
  </si>
  <si>
    <t>DiagnosticReport.conformsTo('http://hl7.eu/fhir/ig/xeh/StructureDefinition/DiagnosticReport-lab-xeh').result.resolve()</t>
  </si>
  <si>
    <t>DiagnosticReport.conformsTo('http://hl7.eu/fhir/ig/xeh/StructureDefinition/DiagnosticReport-lab-xeh').basedOn.resolve()</t>
  </si>
  <si>
    <t>DiagnosticReport.conformsTo('http://hl7.eu/fhir/ig/xeh/StructureDefinition/DiagnosticReport-lab-xeh').basedOn.extension('http://hl7.eu/fhir/ig/xeh/StructureDefinition/diagnostic-report-basedOn-requisition').valueIdentifier</t>
  </si>
  <si>
    <t>Comment</t>
  </si>
  <si>
    <t>//  Comments</t>
  </si>
  <si>
    <t>//--------------------------------------------------------------------------------</t>
  </si>
  <si>
    <t>* group[=].element[+].code = #Osiris.Patient.BirthDate</t>
  </si>
  <si>
    <t>* group[=].element[=].display = "Birth Date [C4]"</t>
  </si>
  <si>
    <t>* group[=].element[=].target.code = #Subject.dateOfBirth.date</t>
  </si>
  <si>
    <t>* group[=].element[=].target.display = "Date of birth"</t>
  </si>
  <si>
    <t>* group[=].element[=].target.equivalence = #equivalent</t>
  </si>
  <si>
    <t>Elements</t>
  </si>
  <si>
    <t>source:code</t>
  </si>
  <si>
    <t>source:display</t>
  </si>
  <si>
    <t>code</t>
  </si>
  <si>
    <t>display</t>
  </si>
  <si>
    <t>target to source</t>
  </si>
  <si>
    <t>equivalent</t>
  </si>
  <si>
    <t>relatedto</t>
  </si>
  <si>
    <t>unmatched</t>
  </si>
  <si>
    <t xml:space="preserve">//  Concept Model. File: </t>
  </si>
  <si>
    <t>InstanceOf: ConceptMap</t>
  </si>
  <si>
    <t>Usage: #definition</t>
  </si>
  <si>
    <t>* status = #draft</t>
  </si>
  <si>
    <t>* experimental = true</t>
  </si>
  <si>
    <t>.extension('http://hl7.org/fhir/StructureDefinition/cqf-receivingOrganization') [TBD]</t>
  </si>
  <si>
    <t>DiagnosticReport</t>
  </si>
  <si>
    <t>subject</t>
  </si>
  <si>
    <t>basedOn.resolve().ofType(ServiceRequest).insurance.resolve().ofType(Coverage)</t>
  </si>
  <si>
    <t>resultsInterpreter.resolve()</t>
  </si>
  <si>
    <t>status</t>
  </si>
  <si>
    <t>effectiveDateTime</t>
  </si>
  <si>
    <t>basedOn.resolve().ofType(ServiceRequest)</t>
  </si>
  <si>
    <t>specimen.resolve()</t>
  </si>
  <si>
    <t>result.resolve()</t>
  </si>
  <si>
    <t>performer.resolve()</t>
  </si>
  <si>
    <t>// * url = ##34#http://terminology.hl7.it/ConceptMap/ConceptMap-subject2osiris##34#</t>
  </si>
  <si>
    <t>http://hl7.eu/fhir/laboratory/StructureDefinition/LabReport</t>
  </si>
  <si>
    <t>description</t>
  </si>
  <si>
    <t>purpose</t>
  </si>
  <si>
    <t>http://hl7.eu/fhir/laboratory</t>
  </si>
  <si>
    <t>It shows how the Laboratory Report data set defined by the EU eHN guidelines is mapped into this guide</t>
  </si>
  <si>
    <t>ConceptMap-eu-labRpt2FHIR</t>
  </si>
  <si>
    <t>eHN Lab Report to this guide Map</t>
  </si>
  <si>
    <t>Source Group</t>
  </si>
  <si>
    <t>Target Group</t>
  </si>
  <si>
    <t>http://hl7.eu/fhir/laboratory/StructureDefinition/DiagnosticReport-eu-lab</t>
  </si>
  <si>
    <t>Source URI</t>
  </si>
  <si>
    <t>Target URI</t>
  </si>
  <si>
    <t>labRpt-to-fhir-map.fsh</t>
  </si>
  <si>
    <t>http://hl7.eu/fhir/laboratory/StructureDefinition/Bundle-eu-lab</t>
  </si>
  <si>
    <t>$this</t>
  </si>
  <si>
    <t>http://hl7.eu/fhir/laboratory/StructureDefinition/Composition-eu-lab</t>
  </si>
  <si>
    <t>extension(http://hl7.eu/fhir/laboratory/StructureDefinition/composition-basedOn-order-or-requisition).resolve().ofType(ServiceRequest).insurance.resolve().ofType(Coverage)</t>
  </si>
  <si>
    <t>TBD</t>
  </si>
  <si>
    <t>author.resolve()</t>
  </si>
  <si>
    <t>to be checked…</t>
  </si>
  <si>
    <t>date</t>
  </si>
  <si>
    <t>title</t>
  </si>
  <si>
    <t>custodian</t>
  </si>
  <si>
    <t>extension(http://hl7.eu/fhir/laboratory/StructureDefinition/composition-basedOn-order-or-requisition).resolve().ofType(ServiceRequest)</t>
  </si>
  <si>
    <t>If no sub sections</t>
  </si>
  <si>
    <t>If sub sections</t>
  </si>
  <si>
    <t>If the author is the interpreter</t>
  </si>
  <si>
    <t>If the author is the perfomer</t>
  </si>
  <si>
    <t>Mapped in the Composition resource</t>
  </si>
  <si>
    <t>The person authenticated the content and accepted legal responsibility for its content.</t>
  </si>
  <si>
    <t>The person authenticated the content in their professional capacity.</t>
  </si>
  <si>
    <t>A - Laboratory Report</t>
  </si>
  <si>
    <t>http://hl7.eu/fhir/laboratory/StructureDefinition/Subject</t>
  </si>
  <si>
    <t>http://hl7.eu/fhir/laboratory/StructureDefinition/Patient-eu-lab</t>
  </si>
  <si>
    <t>name.family</t>
  </si>
  <si>
    <t>name.given</t>
  </si>
  <si>
    <t>birthDate</t>
  </si>
  <si>
    <t>gender</t>
  </si>
  <si>
    <t>address</t>
  </si>
  <si>
    <t>telecom</t>
  </si>
  <si>
    <t>subject-to-fhir-map.fsh</t>
  </si>
  <si>
    <t>eHN Subject to this guide Map</t>
  </si>
  <si>
    <t>ConceptMap-eu-subject2FHIR</t>
  </si>
  <si>
    <t>eHN Subject Model to this guide Map</t>
  </si>
  <si>
    <t>It shows how the Laboratory Report Subject data set defined by the EU eHN guidelines is mapped into this guide</t>
  </si>
  <si>
    <t>http://hl7.eu/fhir/laboratory/StructureDefinition/ServiceRequest-eu-lab</t>
  </si>
  <si>
    <t>http://hl7.eu/fhir/laboratory/StructureDefinition/Payer</t>
  </si>
  <si>
    <t>insurance.resolve().ofType(Coverage)</t>
  </si>
  <si>
    <t>payor.ofType(Organization).resolve().identifier</t>
  </si>
  <si>
    <t>payor.ofType(Organization).resolve().name</t>
  </si>
  <si>
    <t>policyHolder.resolve().identifier</t>
  </si>
  <si>
    <t>beneficiary.resolve().identifier</t>
  </si>
  <si>
    <t>subscriberId</t>
  </si>
  <si>
    <t>subscriber.resolve().identifier</t>
  </si>
  <si>
    <t>payer-to-fhir-map.fsh</t>
  </si>
  <si>
    <t>ConceptMap-eu-payer2FHIR</t>
  </si>
  <si>
    <t>eHN Payer to this guide Map</t>
  </si>
  <si>
    <t>eHN Payer Model to this guide Map</t>
  </si>
  <si>
    <t>It shows how the Laboratory Report Payer data set defined by the EU eHN guidelines is mapped into this guide</t>
  </si>
  <si>
    <t>ConceptMap-eu-recipient2FHIR</t>
  </si>
  <si>
    <t>eHN Recipient to this guide Map</t>
  </si>
  <si>
    <t>http://hl7.eu/fhir/laboratory/StructureDefinition/Recipient</t>
  </si>
  <si>
    <t>eHN Recipient Model to this guide Map</t>
  </si>
  <si>
    <t>It shows how the Laboratory Report Recipient data set defined by the EU eHN guidelines is mapped into this guide</t>
  </si>
  <si>
    <t>http://hl7.eu/fhir/StructureDefinition/information-recipient</t>
  </si>
  <si>
    <t>http://hl7.eu/fhir/StructureDefinition/information-recipient.resolve()</t>
  </si>
  <si>
    <t>ofType(Organization)</t>
  </si>
  <si>
    <t>ofType(PractionerRole).,organization</t>
  </si>
  <si>
    <t>if the recipient is the organization</t>
  </si>
  <si>
    <t>If it is the organization the professional belong to</t>
  </si>
  <si>
    <t>recipient-to-fhir-map.fsh</t>
  </si>
  <si>
    <t>ConceptAuthorRpt2FHIR</t>
  </si>
  <si>
    <t>ConceptMap-eu-author2FHIR</t>
  </si>
  <si>
    <t>eHN Author Model to this guide Map</t>
  </si>
  <si>
    <t>It shows how the Laboratory Report Author data set defined by the EU eHN guidelines is mapped into this guide</t>
  </si>
  <si>
    <t>http://hl7.eu/fhir/laboratory/StructureDefinition/Author</t>
  </si>
  <si>
    <t>eHN Author to this guide Map</t>
  </si>
  <si>
    <t>performer.resolve().identifier</t>
  </si>
  <si>
    <t>performer.resolve().ofType(Practictioner).name</t>
  </si>
  <si>
    <t>performer.resolve().ofType(PractictionerRole).practictioner.resolve().name</t>
  </si>
  <si>
    <t>performer.resolve().ofType(PractictionerRole).organization.resolve()</t>
  </si>
  <si>
    <t>resultsInterpreter.resolve().identifier</t>
  </si>
  <si>
    <t>resultsInterpreter.resolve().ofType(Practictioner).name</t>
  </si>
  <si>
    <t>resultsInterpreter.resolve().ofType(PractictionerRole).practictioner.resolve().name</t>
  </si>
  <si>
    <t>resultsInterpreter.resolve().ofType(PractictionerRole).organization.resolve()</t>
  </si>
  <si>
    <t>ofType(Practictioner).name</t>
  </si>
  <si>
    <t>ofType(PractictionerRole).practictioner.resolve().name</t>
  </si>
  <si>
    <t>ofType(PractictionerRole).organization.resolve()</t>
  </si>
  <si>
    <t>author-to-fhir-map.fsh</t>
  </si>
  <si>
    <t>ConceptMap-eu-legalAuth2FHIR</t>
  </si>
  <si>
    <t>attester.where(mode='legal').party.resolve()</t>
  </si>
  <si>
    <t>attester.where(mode='professional').party.resolve()</t>
  </si>
  <si>
    <t>legalAuth-to-fhir-map.fsh</t>
  </si>
  <si>
    <t>If the author is the performer</t>
  </si>
  <si>
    <t>eHN Legal Authenticator Model to this guide Map</t>
  </si>
  <si>
    <t>It shows how theLegal Authenticator Recipient data set defined by the EU eHN guidelines is mapped into this guide</t>
  </si>
  <si>
    <t>ConceptMap-eu-validator2FHIR</t>
  </si>
  <si>
    <t>eHN Validator to this guide Map</t>
  </si>
  <si>
    <t>eHN Validator Model to this guide Map</t>
  </si>
  <si>
    <t>It shows how the Validator Recipient data set defined by the EU eHN guidelines is mapped into this guide</t>
  </si>
  <si>
    <t>validator-to-fhir-map.fsh</t>
  </si>
  <si>
    <t>A2, A3 - Order</t>
  </si>
  <si>
    <t>order-to-fhir-map.fsh</t>
  </si>
  <si>
    <t>LabRpt2FHIR</t>
  </si>
  <si>
    <t>Subject2Fhir</t>
  </si>
  <si>
    <t>Payer2Fhir</t>
  </si>
  <si>
    <t>Recipient2FHIR</t>
  </si>
  <si>
    <t>Author2Fhir</t>
  </si>
  <si>
    <t>LegalAuth2Fhir</t>
  </si>
  <si>
    <t>Order2Fhir</t>
  </si>
  <si>
    <t>eHN Order to this guide Map</t>
  </si>
  <si>
    <t>It shows how the Order data set defined by the EU eHN guidelines is mapped into this guide</t>
  </si>
  <si>
    <t>Validator2Fhir</t>
  </si>
  <si>
    <t>ServiceRequest</t>
  </si>
  <si>
    <t>requisition</t>
  </si>
  <si>
    <t>if the Composite Request ID.</t>
  </si>
  <si>
    <t>authoredOn</t>
  </si>
  <si>
    <t>requester.resolve().identifier</t>
  </si>
  <si>
    <t>requester.resolve().ofType(Practictioner).name</t>
  </si>
  <si>
    <t>requester.resolve().ofType(PractictionerRole).practictioner.resolve().name</t>
  </si>
  <si>
    <t>requester.resolve().ofType(PractictionerRole).organization.resolve()</t>
  </si>
  <si>
    <t>requester.resolve().ofType(PractictionerRole).telecom</t>
  </si>
  <si>
    <t>requester.resolve().ofType(Practictioner).telecom</t>
  </si>
  <si>
    <t>requester.resolve().ofType(Practictioner).address</t>
  </si>
  <si>
    <t>ConceptMap-eu-order2FHIR</t>
  </si>
  <si>
    <t>reasonCode</t>
  </si>
  <si>
    <t>reasonReference</t>
  </si>
  <si>
    <t>Composition.attester.where(mode='legal')</t>
  </si>
  <si>
    <t>time</t>
  </si>
  <si>
    <t>Composition.attester.where(mode='professional')</t>
  </si>
  <si>
    <t>party.resolve().identifier</t>
  </si>
  <si>
    <t>party.resolve().ofType(Practictioner).name</t>
  </si>
  <si>
    <t>party.resolve().ofType(PractictionerRole).practictioner.resolve().name</t>
  </si>
  <si>
    <t>party.resolve().ofType(PractictionerRole).organization.resolve()</t>
  </si>
  <si>
    <t>section:lab-no-subsections.entry.resolve().specimen.resolve()</t>
  </si>
  <si>
    <t>section:lab-no-subsections.entry.resolve()</t>
  </si>
  <si>
    <t>section:lab-subsections.section.entry.resolve().specimen.resolve()</t>
  </si>
  <si>
    <t>section:lab-subsections.section.entry.resolve()</t>
  </si>
  <si>
    <t>A.4, Specimen information</t>
  </si>
  <si>
    <t>Specimen2Fhir</t>
  </si>
  <si>
    <t>ConceptMap-eu-specimen2FHIR</t>
  </si>
  <si>
    <t>eHN Specimen to this guide Map</t>
  </si>
  <si>
    <t>eHN Specimen Model to this guide Map</t>
  </si>
  <si>
    <t>It shows how the Specimen data set defined by the EU eHN guidelines is mapped into this guide</t>
  </si>
  <si>
    <t>http://hl7.eu/fhir/laboratory/StructureDefinition/Specimen-eu-lab</t>
  </si>
  <si>
    <t>Specimen</t>
  </si>
  <si>
    <t>type</t>
  </si>
  <si>
    <t>to be checked</t>
  </si>
  <si>
    <t>collection.collected[x]</t>
  </si>
  <si>
    <t>collected</t>
  </si>
  <si>
    <t>collection.bodySite</t>
  </si>
  <si>
    <t>collection.device</t>
  </si>
  <si>
    <t>to be checked. This is an R5 element</t>
  </si>
  <si>
    <t>feature.type</t>
  </si>
  <si>
    <t>collection.method</t>
  </si>
  <si>
    <t>receivedTime</t>
  </si>
  <si>
    <t>specimen-to-fhir-map.fsh</t>
  </si>
  <si>
    <t>result.resolve().ofType(Observation).specimen</t>
  </si>
  <si>
    <t>Result2Fhir</t>
  </si>
  <si>
    <t>ConceptMap-eu-result2FHIR</t>
  </si>
  <si>
    <t>eHN Result to this guide Map</t>
  </si>
  <si>
    <t>eHN Result Model to this guide Map</t>
  </si>
  <si>
    <t>It shows how the Result data set defined by the EU eHN guidelines is mapped into this guide</t>
  </si>
  <si>
    <t>A.5, Results data elements</t>
  </si>
  <si>
    <t>text</t>
  </si>
  <si>
    <t>conclusion</t>
  </si>
  <si>
    <t>see details in the Observation group</t>
  </si>
  <si>
    <t>if single section</t>
  </si>
  <si>
    <t>if multiple sections</t>
  </si>
  <si>
    <t>if related to the overall report conclusions</t>
  </si>
  <si>
    <t>section:lab-no-subsections.text</t>
  </si>
  <si>
    <t>section:lab-subsections.section.text</t>
  </si>
  <si>
    <t>http://hl7.eu/fhir/laboratory/StructureDefinition/Observation-resultslab-eu-lab</t>
  </si>
  <si>
    <t>Observation</t>
  </si>
  <si>
    <t>effective[x]</t>
  </si>
  <si>
    <t>method</t>
  </si>
  <si>
    <t>device</t>
  </si>
  <si>
    <t>performer</t>
  </si>
  <si>
    <t>interpretation</t>
  </si>
  <si>
    <t>code.text</t>
  </si>
  <si>
    <t>code.coding.code</t>
  </si>
  <si>
    <t>code.coding.display</t>
  </si>
  <si>
    <t>if the measuring device</t>
  </si>
  <si>
    <t>basedOn.resolve()</t>
  </si>
  <si>
    <t>interpreter or a person responsible for validation of this result. To be checked</t>
  </si>
  <si>
    <t>value[x]</t>
  </si>
  <si>
    <t>component.value[x]</t>
  </si>
  <si>
    <t>component.code.coding.code</t>
  </si>
  <si>
    <t>depends on the type of test</t>
  </si>
  <si>
    <t>if the designation of the original code.
If the 'code' is in the Observation.code</t>
  </si>
  <si>
    <t>If the 'code' is in the Observation.code</t>
  </si>
  <si>
    <t>component.interpretation</t>
  </si>
  <si>
    <t>performer.resolve().ofType(organization).qualification</t>
  </si>
  <si>
    <t>performer.resolve().ofType(PractictionerRole).organization.resolve().qualification</t>
  </si>
  <si>
    <t>result-to-fhir-map.fsh</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</si>
</sst>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6" x14ac:knownFonts="1">
    <font>
      <sz val="11"/>
      <color theme="1"/>
      <name val="Calibri"/>
      <family val="2"/>
      <scheme val="minor"/>
    </font>
    <font>
      <b/>
      <sz val="11"/>
      <color theme="1"/>
      <name val="Calibri"/>
      <family val="2"/>
      <scheme val="minor"/>
    </font>
    <font>
      <u/>
      <sz val="11"/>
      <color theme="10"/>
      <name val="Calibri"/>
      <family val="2"/>
      <scheme val="minor"/>
    </font>
    <font>
      <u/>
      <sz val="11"/>
      <color theme="1"/>
      <name val="Calibri"/>
      <family val="2"/>
      <scheme val="minor"/>
    </font>
    <font>
      <b/>
      <u/>
      <sz val="10"/>
      <color theme="1"/>
      <name val="Calibri"/>
      <family val="2"/>
      <scheme val="minor"/>
    </font>
    <font>
      <b/>
      <sz val="11"/>
      <color rgb="FF000000"/>
      <name val="Calibri"/>
      <family val="2"/>
    </font>
    <font>
      <sz val="11"/>
      <color theme="0"/>
      <name val="Calibri"/>
      <family val="2"/>
      <scheme val="minor"/>
    </font>
    <font>
      <b/>
      <u/>
      <sz val="11"/>
      <color theme="1"/>
      <name val="Calibri"/>
      <family val="2"/>
      <scheme val="minor"/>
    </font>
    <font>
      <b/>
      <sz val="11"/>
      <color theme="0"/>
      <name val="Calibri"/>
      <family val="2"/>
      <scheme val="minor"/>
    </font>
    <font>
      <b/>
      <sz val="12"/>
      <color theme="1"/>
      <name val="Calibri"/>
      <family val="2"/>
    </font>
    <font>
      <sz val="12"/>
      <color theme="1"/>
      <name val="Calibri"/>
      <family val="2"/>
    </font>
    <font>
      <sz val="10"/>
      <color theme="1"/>
      <name val="Times New Roman"/>
      <family val="1"/>
    </font>
    <font>
      <i/>
      <sz val="12"/>
      <color theme="1"/>
      <name val="Calibri"/>
      <family val="2"/>
    </font>
    <font>
      <b/>
      <sz val="12"/>
      <color theme="0"/>
      <name val="Calibri"/>
      <family val="2"/>
      <scheme val="minor"/>
    </font>
    <font>
      <sz val="11"/>
      <color rgb="FF9C5700"/>
      <name val="Calibri"/>
      <family val="2"/>
      <scheme val="minor"/>
    </font>
    <font>
      <sz val="11"/>
      <name val="Calibri"/>
      <family val="2"/>
      <scheme val="minor"/>
    </font>
  </fonts>
  <fills count="17">
    <fill>
      <patternFill patternType="none"/>
    </fill>
    <fill>
      <patternFill patternType="gray125"/>
    </fill>
    <fill>
      <patternFill patternType="solid">
        <fgColor theme="2"/>
        <bgColor indexed="64"/>
      </patternFill>
    </fill>
    <fill>
      <patternFill patternType="solid">
        <fgColor rgb="FFFFFF00"/>
        <bgColor indexed="64"/>
      </patternFill>
    </fill>
    <fill>
      <patternFill patternType="solid">
        <fgColor theme="9" tint="0.59999389629810485"/>
        <bgColor indexed="64"/>
      </patternFill>
    </fill>
    <fill>
      <patternFill patternType="solid">
        <fgColor theme="4" tint="0.79998168889431442"/>
        <bgColor indexed="64"/>
      </patternFill>
    </fill>
    <fill>
      <patternFill patternType="solid">
        <fgColor theme="0" tint="-0.14999847407452621"/>
        <bgColor indexed="64"/>
      </patternFill>
    </fill>
    <fill>
      <patternFill patternType="solid">
        <fgColor theme="4"/>
      </patternFill>
    </fill>
    <fill>
      <patternFill patternType="solid">
        <fgColor theme="5"/>
      </patternFill>
    </fill>
    <fill>
      <patternFill patternType="solid">
        <fgColor theme="7" tint="0.79998168889431442"/>
        <bgColor indexed="64"/>
      </patternFill>
    </fill>
    <fill>
      <patternFill patternType="solid">
        <fgColor rgb="FFFFEB9C"/>
      </patternFill>
    </fill>
    <fill>
      <patternFill patternType="solid">
        <fgColor theme="6" tint="0.79998168889431442"/>
        <bgColor indexed="64"/>
      </patternFill>
    </fill>
    <fill>
      <patternFill patternType="solid">
        <fgColor theme="5" tint="0.79998168889431442"/>
        <bgColor indexed="64"/>
      </patternFill>
    </fill>
    <fill>
      <patternFill patternType="solid">
        <fgColor theme="5" tint="0.59999389629810485"/>
        <bgColor indexed="64"/>
      </patternFill>
    </fill>
    <fill>
      <patternFill patternType="solid">
        <fgColor theme="4" tint="0.59999389629810485"/>
        <bgColor indexed="64"/>
      </patternFill>
    </fill>
    <fill>
      <patternFill patternType="solid">
        <fgColor theme="0" tint="-4.9989318521683403E-2"/>
        <bgColor indexed="64"/>
      </patternFill>
    </fill>
    <fill>
      <patternFill patternType="solid">
        <fgColor rgb="FFFFC000"/>
        <bgColor indexed="64"/>
      </patternFill>
    </fill>
  </fills>
  <borders count="32">
    <border>
      <left/>
      <right/>
      <top/>
      <bottom/>
      <diagonal/>
    </border>
    <border>
      <left style="thin">
        <color auto="1"/>
      </left>
      <right style="thin">
        <color auto="1"/>
      </right>
      <top style="thin">
        <color auto="1"/>
      </top>
      <bottom style="thin">
        <color auto="1"/>
      </bottom>
      <diagonal/>
    </border>
    <border>
      <left/>
      <right style="medium">
        <color indexed="64"/>
      </right>
      <top/>
      <bottom style="medium">
        <color indexed="64"/>
      </bottom>
      <diagonal/>
    </border>
    <border>
      <left style="thin">
        <color auto="1"/>
      </left>
      <right style="thin">
        <color auto="1"/>
      </right>
      <top style="thin">
        <color auto="1"/>
      </top>
      <bottom/>
      <diagonal/>
    </border>
    <border>
      <left style="thin">
        <color auto="1"/>
      </left>
      <right style="thin">
        <color auto="1"/>
      </right>
      <top style="medium">
        <color auto="1"/>
      </top>
      <bottom style="thin">
        <color auto="1"/>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right style="medium">
        <color indexed="64"/>
      </right>
      <top/>
      <bottom/>
      <diagonal/>
    </border>
    <border>
      <left/>
      <right/>
      <top/>
      <bottom style="medium">
        <color indexed="64"/>
      </bottom>
      <diagonal/>
    </border>
    <border>
      <left/>
      <right style="thin">
        <color indexed="64"/>
      </right>
      <top style="thin">
        <color indexed="64"/>
      </top>
      <bottom style="thin">
        <color indexed="64"/>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thin">
        <color auto="1"/>
      </left>
      <right/>
      <top style="thin">
        <color auto="1"/>
      </top>
      <bottom style="thin">
        <color auto="1"/>
      </bottom>
      <diagonal/>
    </border>
    <border>
      <left style="thin">
        <color rgb="FF7F7F7F"/>
      </left>
      <right style="thin">
        <color rgb="FF7F7F7F"/>
      </right>
      <top style="thin">
        <color rgb="FF7F7F7F"/>
      </top>
      <bottom/>
      <diagonal/>
    </border>
    <border>
      <left style="medium">
        <color indexed="64"/>
      </left>
      <right style="thin">
        <color indexed="64"/>
      </right>
      <top/>
      <bottom/>
      <diagonal/>
    </border>
    <border>
      <left style="medium">
        <color indexed="64"/>
      </left>
      <right style="medium">
        <color indexed="64"/>
      </right>
      <top style="medium">
        <color indexed="64"/>
      </top>
      <bottom style="thin">
        <color auto="1"/>
      </bottom>
      <diagonal/>
    </border>
    <border>
      <left style="medium">
        <color indexed="64"/>
      </left>
      <right style="medium">
        <color indexed="64"/>
      </right>
      <top style="thin">
        <color auto="1"/>
      </top>
      <bottom style="thin">
        <color auto="1"/>
      </bottom>
      <diagonal/>
    </border>
    <border>
      <left style="medium">
        <color indexed="64"/>
      </left>
      <right style="medium">
        <color indexed="64"/>
      </right>
      <top style="thin">
        <color auto="1"/>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right/>
      <top style="thin">
        <color auto="1"/>
      </top>
      <bottom style="thin">
        <color auto="1"/>
      </bottom>
      <diagonal/>
    </border>
    <border>
      <left style="medium">
        <color indexed="64"/>
      </left>
      <right style="thin">
        <color auto="1"/>
      </right>
      <top style="thin">
        <color auto="1"/>
      </top>
      <bottom/>
      <diagonal/>
    </border>
    <border>
      <left style="thin">
        <color auto="1"/>
      </left>
      <right style="medium">
        <color indexed="64"/>
      </right>
      <top style="thin">
        <color auto="1"/>
      </top>
      <bottom/>
      <diagonal/>
    </border>
    <border>
      <left style="medium">
        <color indexed="64"/>
      </left>
      <right style="medium">
        <color indexed="64"/>
      </right>
      <top style="medium">
        <color indexed="64"/>
      </top>
      <bottom style="medium">
        <color indexed="64"/>
      </bottom>
      <diagonal/>
    </border>
    <border>
      <left style="thin">
        <color auto="1"/>
      </left>
      <right style="thin">
        <color auto="1"/>
      </right>
      <top/>
      <bottom style="thin">
        <color auto="1"/>
      </bottom>
      <diagonal/>
    </border>
    <border>
      <left style="thin">
        <color auto="1"/>
      </left>
      <right/>
      <top style="thin">
        <color auto="1"/>
      </top>
      <bottom/>
      <diagonal/>
    </border>
  </borders>
  <cellStyleXfs count="5">
    <xf numFmtId="0" fontId="0" fillId="0" borderId="0"/>
    <xf numFmtId="0" fontId="2" fillId="0" borderId="0" applyNumberFormat="0" applyFill="0" applyBorder="0" applyAlignment="0" applyProtection="0"/>
    <xf numFmtId="0" fontId="6" fillId="7" borderId="0" applyNumberFormat="0" applyBorder="0" applyAlignment="0" applyProtection="0"/>
    <xf numFmtId="0" fontId="6" fillId="8" borderId="0" applyNumberFormat="0" applyBorder="0" applyAlignment="0" applyProtection="0"/>
    <xf numFmtId="0" fontId="14" fillId="10" borderId="0" applyNumberFormat="0" applyBorder="0" applyAlignment="0" applyProtection="0"/>
  </cellStyleXfs>
  <cellXfs count="113">
    <xf numFmtId="0" fontId="0" fillId="0" borderId="0" xfId="0"/>
    <xf numFmtId="0" fontId="0" fillId="0" borderId="0" xfId="0" applyAlignment="1">
      <alignment wrapText="1"/>
    </xf>
    <xf numFmtId="0" fontId="1" fillId="4" borderId="0" xfId="0" applyFont="1" applyFill="1" applyAlignment="1">
      <alignment horizontal="center" vertical="top" wrapText="1"/>
    </xf>
    <xf numFmtId="0" fontId="0" fillId="0" borderId="3" xfId="0" applyBorder="1"/>
    <xf numFmtId="0" fontId="0" fillId="3" borderId="1" xfId="0" applyFill="1" applyBorder="1" applyAlignment="1">
      <alignment wrapText="1"/>
    </xf>
    <xf numFmtId="0" fontId="0" fillId="5" borderId="1" xfId="0" applyFill="1" applyBorder="1"/>
    <xf numFmtId="0" fontId="1" fillId="0" borderId="5" xfId="0" applyFont="1" applyBorder="1"/>
    <xf numFmtId="0" fontId="1" fillId="0" borderId="4" xfId="0" applyFont="1" applyBorder="1"/>
    <xf numFmtId="0" fontId="0" fillId="3" borderId="1" xfId="0" applyFill="1" applyBorder="1"/>
    <xf numFmtId="0" fontId="0" fillId="0" borderId="1" xfId="0" applyBorder="1"/>
    <xf numFmtId="0" fontId="3" fillId="0" borderId="0" xfId="0" applyFont="1"/>
    <xf numFmtId="0" fontId="2" fillId="0" borderId="9" xfId="1" applyBorder="1"/>
    <xf numFmtId="0" fontId="4" fillId="2" borderId="0" xfId="0" applyFont="1" applyFill="1" applyAlignment="1">
      <alignment horizontal="center" vertical="top" wrapText="1"/>
    </xf>
    <xf numFmtId="0" fontId="1" fillId="6" borderId="5" xfId="0" applyFont="1" applyFill="1" applyBorder="1"/>
    <xf numFmtId="0" fontId="0" fillId="0" borderId="1" xfId="0" applyBorder="1" applyAlignment="1">
      <alignment wrapText="1"/>
    </xf>
    <xf numFmtId="0" fontId="0" fillId="5" borderId="1" xfId="0" applyFill="1" applyBorder="1" applyAlignment="1">
      <alignment wrapText="1"/>
    </xf>
    <xf numFmtId="0" fontId="0" fillId="0" borderId="10" xfId="0" applyBorder="1"/>
    <xf numFmtId="0" fontId="0" fillId="0" borderId="6" xfId="0" applyBorder="1"/>
    <xf numFmtId="0" fontId="1" fillId="0" borderId="7" xfId="0" applyFont="1" applyBorder="1"/>
    <xf numFmtId="0" fontId="0" fillId="0" borderId="11" xfId="0" applyBorder="1"/>
    <xf numFmtId="0" fontId="1" fillId="0" borderId="12" xfId="0" applyFont="1" applyBorder="1"/>
    <xf numFmtId="0" fontId="0" fillId="0" borderId="13" xfId="0" applyBorder="1"/>
    <xf numFmtId="0" fontId="3" fillId="0" borderId="0" xfId="0" applyFont="1" applyAlignment="1">
      <alignment wrapText="1"/>
    </xf>
    <xf numFmtId="0" fontId="0" fillId="0" borderId="14" xfId="0" applyBorder="1"/>
    <xf numFmtId="0" fontId="6" fillId="7" borderId="15" xfId="2" applyBorder="1" applyAlignment="1">
      <alignment wrapText="1"/>
    </xf>
    <xf numFmtId="0" fontId="1" fillId="0" borderId="1" xfId="0" applyFont="1" applyBorder="1" applyAlignment="1">
      <alignment wrapText="1"/>
    </xf>
    <xf numFmtId="0" fontId="7" fillId="0" borderId="1" xfId="0" applyFont="1" applyBorder="1" applyAlignment="1">
      <alignment wrapText="1"/>
    </xf>
    <xf numFmtId="0" fontId="1" fillId="6" borderId="16" xfId="0" applyFont="1" applyFill="1" applyBorder="1"/>
    <xf numFmtId="0" fontId="1" fillId="0" borderId="17" xfId="0" applyFont="1" applyBorder="1" applyAlignment="1">
      <alignment wrapText="1"/>
    </xf>
    <xf numFmtId="0" fontId="1" fillId="0" borderId="18" xfId="0" applyFont="1" applyBorder="1" applyAlignment="1">
      <alignment wrapText="1"/>
    </xf>
    <xf numFmtId="0" fontId="1" fillId="0" borderId="19" xfId="0" applyFont="1" applyBorder="1" applyAlignment="1">
      <alignment wrapText="1"/>
    </xf>
    <xf numFmtId="0" fontId="6" fillId="7" borderId="0" xfId="2" applyBorder="1" applyAlignment="1">
      <alignment wrapText="1"/>
    </xf>
    <xf numFmtId="0" fontId="8" fillId="7" borderId="15" xfId="2" applyFont="1" applyBorder="1" applyAlignment="1">
      <alignment wrapText="1"/>
    </xf>
    <xf numFmtId="0" fontId="8" fillId="7" borderId="0" xfId="2" applyFont="1" applyBorder="1" applyAlignment="1">
      <alignment wrapText="1"/>
    </xf>
    <xf numFmtId="0" fontId="3" fillId="0" borderId="11" xfId="0" applyFont="1" applyBorder="1"/>
    <xf numFmtId="0" fontId="9" fillId="0" borderId="21" xfId="0" applyFont="1" applyBorder="1" applyAlignment="1">
      <alignment horizontal="center" vertical="center" wrapText="1"/>
    </xf>
    <xf numFmtId="0" fontId="10" fillId="0" borderId="23" xfId="0" applyFont="1" applyBorder="1" applyAlignment="1">
      <alignment horizontal="justify" vertical="center" wrapText="1"/>
    </xf>
    <xf numFmtId="0" fontId="10" fillId="0" borderId="2" xfId="0" applyFont="1" applyBorder="1" applyAlignment="1">
      <alignment horizontal="justify" vertical="center" wrapText="1"/>
    </xf>
    <xf numFmtId="0" fontId="11" fillId="0" borderId="2" xfId="0" applyFont="1" applyBorder="1" applyAlignment="1">
      <alignment vertical="center" wrapText="1"/>
    </xf>
    <xf numFmtId="0" fontId="10" fillId="0" borderId="2" xfId="0" applyFont="1" applyBorder="1" applyAlignment="1">
      <alignment horizontal="left" vertical="center" wrapText="1"/>
    </xf>
    <xf numFmtId="0" fontId="10" fillId="0" borderId="8" xfId="0" applyFont="1" applyBorder="1" applyAlignment="1">
      <alignment horizontal="justify" vertical="center" wrapText="1"/>
    </xf>
    <xf numFmtId="0" fontId="0" fillId="0" borderId="8" xfId="0" applyBorder="1" applyAlignment="1">
      <alignment vertical="center" wrapText="1"/>
    </xf>
    <xf numFmtId="0" fontId="12" fillId="0" borderId="2" xfId="0" applyFont="1" applyBorder="1" applyAlignment="1">
      <alignment horizontal="left" vertical="center" wrapText="1"/>
    </xf>
    <xf numFmtId="0" fontId="10" fillId="0" borderId="8" xfId="0" applyFont="1" applyBorder="1" applyAlignment="1">
      <alignment horizontal="left" vertical="center" wrapText="1"/>
    </xf>
    <xf numFmtId="0" fontId="0" fillId="0" borderId="8" xfId="0" applyBorder="1" applyAlignment="1">
      <alignment horizontal="left" vertical="center" wrapText="1"/>
    </xf>
    <xf numFmtId="0" fontId="0" fillId="0" borderId="26" xfId="0" applyBorder="1"/>
    <xf numFmtId="0" fontId="1" fillId="0" borderId="27" xfId="0" applyFont="1" applyBorder="1"/>
    <xf numFmtId="0" fontId="0" fillId="0" borderId="28" xfId="0" applyBorder="1"/>
    <xf numFmtId="0" fontId="3" fillId="3" borderId="1" xfId="0" applyFont="1" applyFill="1" applyBorder="1" applyAlignment="1">
      <alignment wrapText="1"/>
    </xf>
    <xf numFmtId="0" fontId="9" fillId="0" borderId="20" xfId="0" applyFont="1" applyBorder="1" applyAlignment="1">
      <alignment vertical="center" wrapText="1"/>
    </xf>
    <xf numFmtId="0" fontId="9" fillId="0" borderId="22" xfId="0" applyFont="1" applyBorder="1" applyAlignment="1">
      <alignment vertical="center" wrapText="1"/>
    </xf>
    <xf numFmtId="0" fontId="9" fillId="0" borderId="21" xfId="0" applyFont="1" applyBorder="1" applyAlignment="1">
      <alignment vertical="center" wrapText="1"/>
    </xf>
    <xf numFmtId="0" fontId="0" fillId="0" borderId="10" xfId="0" applyBorder="1" applyAlignment="1">
      <alignment wrapText="1"/>
    </xf>
    <xf numFmtId="0" fontId="3" fillId="0" borderId="1" xfId="0" applyFont="1" applyBorder="1"/>
    <xf numFmtId="0" fontId="1" fillId="0" borderId="4" xfId="0" applyFont="1" applyBorder="1" applyAlignment="1">
      <alignment wrapText="1"/>
    </xf>
    <xf numFmtId="0" fontId="2" fillId="0" borderId="9" xfId="1" applyBorder="1" applyAlignment="1">
      <alignment wrapText="1"/>
    </xf>
    <xf numFmtId="0" fontId="13" fillId="8" borderId="29" xfId="3" applyFont="1" applyBorder="1" applyAlignment="1">
      <alignment horizontal="center" vertical="center"/>
    </xf>
    <xf numFmtId="0" fontId="0" fillId="0" borderId="3" xfId="0" applyBorder="1" applyAlignment="1">
      <alignment wrapText="1"/>
    </xf>
    <xf numFmtId="0" fontId="0" fillId="0" borderId="28" xfId="0" applyBorder="1" applyAlignment="1">
      <alignment wrapText="1"/>
    </xf>
    <xf numFmtId="0" fontId="0" fillId="0" borderId="30" xfId="0" applyBorder="1"/>
    <xf numFmtId="0" fontId="0" fillId="0" borderId="30" xfId="0" applyBorder="1" applyAlignment="1">
      <alignment wrapText="1"/>
    </xf>
    <xf numFmtId="0" fontId="0" fillId="0" borderId="31" xfId="0" applyBorder="1"/>
    <xf numFmtId="0" fontId="0" fillId="9" borderId="1" xfId="0" applyFill="1" applyBorder="1"/>
    <xf numFmtId="0" fontId="3" fillId="0" borderId="1" xfId="0" applyFont="1" applyBorder="1" applyAlignment="1">
      <alignment wrapText="1"/>
    </xf>
    <xf numFmtId="0" fontId="14" fillId="10" borderId="2" xfId="4" applyBorder="1" applyAlignment="1">
      <alignment horizontal="justify" vertical="center" wrapText="1"/>
    </xf>
    <xf numFmtId="0" fontId="0" fillId="11" borderId="1" xfId="0" applyFill="1" applyBorder="1"/>
    <xf numFmtId="0" fontId="0" fillId="12" borderId="1" xfId="0" applyFill="1" applyBorder="1"/>
    <xf numFmtId="0" fontId="0" fillId="13" borderId="1" xfId="0" applyFill="1" applyBorder="1"/>
    <xf numFmtId="0" fontId="6" fillId="8" borderId="1" xfId="3" applyBorder="1" applyAlignment="1">
      <alignment wrapText="1"/>
    </xf>
    <xf numFmtId="0" fontId="1" fillId="0" borderId="0" xfId="0" applyFont="1"/>
    <xf numFmtId="0" fontId="1" fillId="0" borderId="1" xfId="0" applyFont="1" applyBorder="1"/>
    <xf numFmtId="0" fontId="1" fillId="0" borderId="1" xfId="0" applyFont="1" applyBorder="1" applyAlignment="1">
      <alignment horizontal="center"/>
    </xf>
    <xf numFmtId="0" fontId="2" fillId="0" borderId="0" xfId="1" applyBorder="1"/>
    <xf numFmtId="0" fontId="1" fillId="6" borderId="1" xfId="0" applyFont="1" applyFill="1" applyBorder="1"/>
    <xf numFmtId="0" fontId="1" fillId="0" borderId="0" xfId="0" applyFont="1" applyAlignment="1">
      <alignment horizontal="center"/>
    </xf>
    <xf numFmtId="49" fontId="0" fillId="0" borderId="1" xfId="0" applyNumberFormat="1" applyBorder="1"/>
    <xf numFmtId="49" fontId="0" fillId="0" borderId="0" xfId="0" applyNumberFormat="1"/>
    <xf numFmtId="0" fontId="0" fillId="14" borderId="0" xfId="0" applyFill="1"/>
    <xf numFmtId="0" fontId="0" fillId="4" borderId="0" xfId="0" applyFill="1"/>
    <xf numFmtId="0" fontId="15" fillId="12" borderId="0" xfId="0" applyFont="1" applyFill="1"/>
    <xf numFmtId="0" fontId="2" fillId="0" borderId="1" xfId="1" applyBorder="1"/>
    <xf numFmtId="0" fontId="0" fillId="2" borderId="0" xfId="0" applyFill="1"/>
    <xf numFmtId="49" fontId="0" fillId="0" borderId="1" xfId="0" applyNumberFormat="1" applyBorder="1" applyAlignment="1">
      <alignment wrapText="1"/>
    </xf>
    <xf numFmtId="49" fontId="3" fillId="0" borderId="1" xfId="0" applyNumberFormat="1" applyFont="1" applyBorder="1"/>
    <xf numFmtId="0" fontId="2" fillId="0" borderId="0" xfId="1"/>
    <xf numFmtId="0" fontId="2" fillId="3" borderId="1" xfId="1" applyFill="1" applyBorder="1" applyAlignment="1">
      <alignment wrapText="1"/>
    </xf>
    <xf numFmtId="49" fontId="0" fillId="3" borderId="1" xfId="0" applyNumberFormat="1" applyFill="1" applyBorder="1"/>
    <xf numFmtId="0" fontId="0" fillId="15" borderId="4" xfId="0" applyFill="1" applyBorder="1" applyAlignment="1">
      <alignment wrapText="1"/>
    </xf>
    <xf numFmtId="0" fontId="2" fillId="15" borderId="0" xfId="1" applyFill="1"/>
    <xf numFmtId="0" fontId="0" fillId="15" borderId="0" xfId="0" applyFill="1"/>
    <xf numFmtId="49" fontId="0" fillId="16" borderId="1" xfId="0" applyNumberFormat="1" applyFill="1" applyBorder="1"/>
    <xf numFmtId="0" fontId="9" fillId="0" borderId="20" xfId="0" applyFont="1" applyBorder="1" applyAlignment="1">
      <alignment horizontal="left" vertical="center" wrapText="1"/>
    </xf>
    <xf numFmtId="0" fontId="9" fillId="0" borderId="22" xfId="0" applyFont="1" applyBorder="1" applyAlignment="1">
      <alignment horizontal="left" vertical="center" wrapText="1"/>
    </xf>
    <xf numFmtId="0" fontId="9" fillId="0" borderId="21" xfId="0" applyFont="1" applyBorder="1" applyAlignment="1">
      <alignment horizontal="left" vertical="center" wrapText="1"/>
    </xf>
    <xf numFmtId="0" fontId="9" fillId="0" borderId="20" xfId="0" applyFont="1" applyBorder="1" applyAlignment="1">
      <alignment horizontal="center" vertical="center" wrapText="1"/>
    </xf>
    <xf numFmtId="0" fontId="9" fillId="0" borderId="21" xfId="0" applyFont="1" applyBorder="1" applyAlignment="1">
      <alignment horizontal="center" vertical="center" wrapText="1"/>
    </xf>
    <xf numFmtId="0" fontId="9" fillId="0" borderId="20" xfId="0" applyFont="1" applyBorder="1" applyAlignment="1">
      <alignment horizontal="justify" vertical="center" wrapText="1"/>
    </xf>
    <xf numFmtId="0" fontId="9" fillId="0" borderId="22" xfId="0" applyFont="1" applyBorder="1" applyAlignment="1">
      <alignment horizontal="justify" vertical="center" wrapText="1"/>
    </xf>
    <xf numFmtId="0" fontId="9" fillId="0" borderId="21" xfId="0" applyFont="1" applyBorder="1" applyAlignment="1">
      <alignment horizontal="justify" vertical="center" wrapText="1"/>
    </xf>
    <xf numFmtId="0" fontId="10" fillId="0" borderId="24" xfId="0" applyFont="1" applyBorder="1" applyAlignment="1">
      <alignment horizontal="justify" vertical="center" wrapText="1"/>
    </xf>
    <xf numFmtId="0" fontId="10" fillId="0" borderId="25" xfId="0" applyFont="1" applyBorder="1" applyAlignment="1">
      <alignment horizontal="justify" vertical="center" wrapText="1"/>
    </xf>
    <xf numFmtId="0" fontId="10" fillId="0" borderId="23" xfId="0" applyFont="1" applyBorder="1" applyAlignment="1">
      <alignment horizontal="justify" vertical="center" wrapText="1"/>
    </xf>
    <xf numFmtId="0" fontId="10" fillId="0" borderId="24" xfId="0" applyFont="1" applyBorder="1" applyAlignment="1">
      <alignment horizontal="left" vertical="center" wrapText="1"/>
    </xf>
    <xf numFmtId="0" fontId="10" fillId="0" borderId="25" xfId="0" applyFont="1" applyBorder="1" applyAlignment="1">
      <alignment horizontal="left" vertical="center" wrapText="1"/>
    </xf>
    <xf numFmtId="0" fontId="10" fillId="0" borderId="23" xfId="0" applyFont="1" applyBorder="1" applyAlignment="1">
      <alignment horizontal="left" vertical="center" wrapText="1"/>
    </xf>
    <xf numFmtId="0" fontId="2" fillId="0" borderId="20" xfId="1" applyBorder="1" applyAlignment="1">
      <alignment horizontal="justify" vertical="center" wrapText="1"/>
    </xf>
    <xf numFmtId="0" fontId="2" fillId="0" borderId="22" xfId="1" applyBorder="1" applyAlignment="1">
      <alignment horizontal="justify" vertical="center" wrapText="1"/>
    </xf>
    <xf numFmtId="0" fontId="2" fillId="0" borderId="21" xfId="1" applyBorder="1" applyAlignment="1">
      <alignment horizontal="justify" vertical="center" wrapText="1"/>
    </xf>
    <xf numFmtId="0" fontId="2" fillId="0" borderId="20" xfId="1" applyBorder="1" applyAlignment="1">
      <alignment horizontal="left" vertical="center" wrapText="1"/>
    </xf>
    <xf numFmtId="0" fontId="2" fillId="0" borderId="22" xfId="1" applyBorder="1" applyAlignment="1">
      <alignment horizontal="left" vertical="center" wrapText="1"/>
    </xf>
    <xf numFmtId="0" fontId="2" fillId="0" borderId="21" xfId="1" applyBorder="1" applyAlignment="1">
      <alignment horizontal="left" vertical="center" wrapText="1"/>
    </xf>
    <xf numFmtId="0" fontId="0" fillId="0" borderId="0" xfId="0"/>
    <xf numFmtId="0" fontId="2" fillId="0" borderId="0" xfId="1"/>
  </cellXfs>
  <cellStyles count="5">
    <cellStyle name="Collegamento ipertestuale" xfId="1" builtinId="8"/>
    <cellStyle name="Colore 1" xfId="2" builtinId="29"/>
    <cellStyle name="Colore 2" xfId="3" builtinId="33"/>
    <cellStyle name="Neutrale" xfId="4" builtinId="28"/>
    <cellStyle name="Normale"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worksheet" Target="worksheets/sheet50.xml"/><Relationship Id="rId55" Type="http://schemas.openxmlformats.org/officeDocument/2006/relationships/worksheet" Target="worksheets/sheet55.xml"/><Relationship Id="rId63" Type="http://schemas.openxmlformats.org/officeDocument/2006/relationships/sheetMetadata" Target="metadata.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worksheet" Target="worksheets/sheet58.xml"/><Relationship Id="rId66" Type="http://schemas.openxmlformats.org/officeDocument/2006/relationships/customXml" Target="../customXml/item1.xml"/><Relationship Id="rId5" Type="http://schemas.openxmlformats.org/officeDocument/2006/relationships/worksheet" Target="worksheets/sheet5.xml"/><Relationship Id="rId61" Type="http://schemas.openxmlformats.org/officeDocument/2006/relationships/styles" Target="styles.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microsoft.com/office/2017/10/relationships/person" Target="persons/person.xml"/><Relationship Id="rId8" Type="http://schemas.openxmlformats.org/officeDocument/2006/relationships/worksheet" Target="worksheets/sheet8.xml"/><Relationship Id="rId51" Type="http://schemas.openxmlformats.org/officeDocument/2006/relationships/worksheet" Target="worksheets/sheet5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externalLink" Target="externalLinks/externalLink1.xml"/><Relationship Id="rId67" Type="http://schemas.microsoft.com/office/2006/relationships/vbaProject" Target="vbaProject.bin"/><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theme" Target="theme/theme1.xml"/><Relationship Id="rId65"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86</xdr:row>
          <xdr:rowOff>171450</xdr:rowOff>
        </xdr:from>
        <xdr:to>
          <xdr:col>2</xdr:col>
          <xdr:colOff>1117600</xdr:colOff>
          <xdr:row>88</xdr:row>
          <xdr:rowOff>88900</xdr:rowOff>
        </xdr:to>
        <xdr:sp macro="" textlink="">
          <xdr:nvSpPr>
            <xdr:cNvPr id="25602" name="Button 2" hidden="1">
              <a:extLst>
                <a:ext uri="{63B3BB69-23CF-44E3-9099-C40C66FF867C}">
                  <a14:compatExt spid="_x0000_s25602"/>
                </a:ext>
                <a:ext uri="{FF2B5EF4-FFF2-40B4-BE49-F238E27FC236}">
                  <a16:creationId xmlns:a16="http://schemas.microsoft.com/office/drawing/2014/main" id="{00000000-0008-0000-0500-00000264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25603" name="Button 3" hidden="1">
              <a:extLst>
                <a:ext uri="{63B3BB69-23CF-44E3-9099-C40C66FF867C}">
                  <a14:compatExt spid="_x0000_s25603"/>
                </a:ext>
                <a:ext uri="{FF2B5EF4-FFF2-40B4-BE49-F238E27FC236}">
                  <a16:creationId xmlns:a16="http://schemas.microsoft.com/office/drawing/2014/main" id="{00000000-0008-0000-0500-00000364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161793" name="Button 1" hidden="1">
              <a:extLst>
                <a:ext uri="{63B3BB69-23CF-44E3-9099-C40C66FF867C}">
                  <a14:compatExt spid="_x0000_s161793"/>
                </a:ext>
                <a:ext uri="{FF2B5EF4-FFF2-40B4-BE49-F238E27FC236}">
                  <a16:creationId xmlns:a16="http://schemas.microsoft.com/office/drawing/2014/main" id="{00000000-0008-0000-0800-0000017802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20482" name="Button 2" hidden="1">
              <a:extLst>
                <a:ext uri="{63B3BB69-23CF-44E3-9099-C40C66FF867C}">
                  <a14:compatExt spid="_x0000_s20482"/>
                </a:ext>
                <a:ext uri="{FF2B5EF4-FFF2-40B4-BE49-F238E27FC236}">
                  <a16:creationId xmlns:a16="http://schemas.microsoft.com/office/drawing/2014/main" id="{00000000-0008-0000-0B00-00000250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175105" name="Button 1" hidden="1">
              <a:extLst>
                <a:ext uri="{63B3BB69-23CF-44E3-9099-C40C66FF867C}">
                  <a14:compatExt spid="_x0000_s175105"/>
                </a:ext>
                <a:ext uri="{FF2B5EF4-FFF2-40B4-BE49-F238E27FC236}">
                  <a16:creationId xmlns:a16="http://schemas.microsoft.com/office/drawing/2014/main" id="{00000000-0008-0000-0D00-000001AC02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222250</xdr:colOff>
          <xdr:row>0</xdr:row>
          <xdr:rowOff>171450</xdr:rowOff>
        </xdr:from>
        <xdr:to>
          <xdr:col>5</xdr:col>
          <xdr:colOff>558800</xdr:colOff>
          <xdr:row>2</xdr:row>
          <xdr:rowOff>44450</xdr:rowOff>
        </xdr:to>
        <xdr:sp macro="" textlink="">
          <xdr:nvSpPr>
            <xdr:cNvPr id="48129" name="Button 1" hidden="1">
              <a:extLst>
                <a:ext uri="{63B3BB69-23CF-44E3-9099-C40C66FF867C}">
                  <a14:compatExt spid="_x0000_s48129"/>
                </a:ext>
                <a:ext uri="{FF2B5EF4-FFF2-40B4-BE49-F238E27FC236}">
                  <a16:creationId xmlns:a16="http://schemas.microsoft.com/office/drawing/2014/main" id="{00000000-0008-0000-1000-000001BC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186369" name="Button 1" hidden="1">
              <a:extLst>
                <a:ext uri="{63B3BB69-23CF-44E3-9099-C40C66FF867C}">
                  <a14:compatExt spid="_x0000_s186369"/>
                </a:ext>
                <a:ext uri="{FF2B5EF4-FFF2-40B4-BE49-F238E27FC236}">
                  <a16:creationId xmlns:a16="http://schemas.microsoft.com/office/drawing/2014/main" id="{00000000-0008-0000-1200-000001D802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222250</xdr:colOff>
          <xdr:row>0</xdr:row>
          <xdr:rowOff>171450</xdr:rowOff>
        </xdr:from>
        <xdr:to>
          <xdr:col>5</xdr:col>
          <xdr:colOff>558800</xdr:colOff>
          <xdr:row>2</xdr:row>
          <xdr:rowOff>44450</xdr:rowOff>
        </xdr:to>
        <xdr:sp macro="" textlink="">
          <xdr:nvSpPr>
            <xdr:cNvPr id="50177" name="Button 1" hidden="1">
              <a:extLst>
                <a:ext uri="{63B3BB69-23CF-44E3-9099-C40C66FF867C}">
                  <a14:compatExt spid="_x0000_s50177"/>
                </a:ext>
                <a:ext uri="{FF2B5EF4-FFF2-40B4-BE49-F238E27FC236}">
                  <a16:creationId xmlns:a16="http://schemas.microsoft.com/office/drawing/2014/main" id="{00000000-0008-0000-1500-000001C4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195585" name="Button 1" hidden="1">
              <a:extLst>
                <a:ext uri="{63B3BB69-23CF-44E3-9099-C40C66FF867C}">
                  <a14:compatExt spid="_x0000_s195585"/>
                </a:ext>
                <a:ext uri="{FF2B5EF4-FFF2-40B4-BE49-F238E27FC236}">
                  <a16:creationId xmlns:a16="http://schemas.microsoft.com/office/drawing/2014/main" id="{00000000-0008-0000-1700-000001FC02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222250</xdr:colOff>
          <xdr:row>0</xdr:row>
          <xdr:rowOff>171450</xdr:rowOff>
        </xdr:from>
        <xdr:to>
          <xdr:col>5</xdr:col>
          <xdr:colOff>558800</xdr:colOff>
          <xdr:row>2</xdr:row>
          <xdr:rowOff>44450</xdr:rowOff>
        </xdr:to>
        <xdr:sp macro="" textlink="">
          <xdr:nvSpPr>
            <xdr:cNvPr id="84993" name="Button 1" hidden="1">
              <a:extLst>
                <a:ext uri="{63B3BB69-23CF-44E3-9099-C40C66FF867C}">
                  <a14:compatExt spid="_x0000_s84993"/>
                </a:ext>
                <a:ext uri="{FF2B5EF4-FFF2-40B4-BE49-F238E27FC236}">
                  <a16:creationId xmlns:a16="http://schemas.microsoft.com/office/drawing/2014/main" id="{00000000-0008-0000-1A00-0000014C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18113" name="Button 1" hidden="1">
              <a:extLst>
                <a:ext uri="{63B3BB69-23CF-44E3-9099-C40C66FF867C}">
                  <a14:compatExt spid="_x0000_s218113"/>
                </a:ext>
                <a:ext uri="{FF2B5EF4-FFF2-40B4-BE49-F238E27FC236}">
                  <a16:creationId xmlns:a16="http://schemas.microsoft.com/office/drawing/2014/main" id="{00000000-0008-0000-1E00-0000015403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222250</xdr:colOff>
          <xdr:row>0</xdr:row>
          <xdr:rowOff>171450</xdr:rowOff>
        </xdr:from>
        <xdr:to>
          <xdr:col>5</xdr:col>
          <xdr:colOff>558800</xdr:colOff>
          <xdr:row>2</xdr:row>
          <xdr:rowOff>44450</xdr:rowOff>
        </xdr:to>
        <xdr:sp macro="" textlink="">
          <xdr:nvSpPr>
            <xdr:cNvPr id="66561" name="Button 1" hidden="1">
              <a:extLst>
                <a:ext uri="{63B3BB69-23CF-44E3-9099-C40C66FF867C}">
                  <a14:compatExt spid="_x0000_s66561"/>
                </a:ext>
                <a:ext uri="{FF2B5EF4-FFF2-40B4-BE49-F238E27FC236}">
                  <a16:creationId xmlns:a16="http://schemas.microsoft.com/office/drawing/2014/main" id="{00000000-0008-0000-2100-00000104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11969" name="Button 1" hidden="1">
              <a:extLst>
                <a:ext uri="{63B3BB69-23CF-44E3-9099-C40C66FF867C}">
                  <a14:compatExt spid="_x0000_s211969"/>
                </a:ext>
                <a:ext uri="{FF2B5EF4-FFF2-40B4-BE49-F238E27FC236}">
                  <a16:creationId xmlns:a16="http://schemas.microsoft.com/office/drawing/2014/main" id="{00000000-0008-0000-2300-0000013C03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222250</xdr:colOff>
          <xdr:row>0</xdr:row>
          <xdr:rowOff>171450</xdr:rowOff>
        </xdr:from>
        <xdr:to>
          <xdr:col>5</xdr:col>
          <xdr:colOff>558800</xdr:colOff>
          <xdr:row>2</xdr:row>
          <xdr:rowOff>44450</xdr:rowOff>
        </xdr:to>
        <xdr:sp macro="" textlink="">
          <xdr:nvSpPr>
            <xdr:cNvPr id="64513" name="Button 1" hidden="1">
              <a:extLst>
                <a:ext uri="{63B3BB69-23CF-44E3-9099-C40C66FF867C}">
                  <a14:compatExt spid="_x0000_s64513"/>
                </a:ext>
                <a:ext uri="{FF2B5EF4-FFF2-40B4-BE49-F238E27FC236}">
                  <a16:creationId xmlns:a16="http://schemas.microsoft.com/office/drawing/2014/main" id="{00000000-0008-0000-2600-000001FC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59073" name="Button 1" hidden="1">
              <a:extLst>
                <a:ext uri="{63B3BB69-23CF-44E3-9099-C40C66FF867C}">
                  <a14:compatExt spid="_x0000_s259073"/>
                </a:ext>
                <a:ext uri="{FF2B5EF4-FFF2-40B4-BE49-F238E27FC236}">
                  <a16:creationId xmlns:a16="http://schemas.microsoft.com/office/drawing/2014/main" id="{00000000-0008-0000-2800-000001F403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222250</xdr:colOff>
          <xdr:row>0</xdr:row>
          <xdr:rowOff>171450</xdr:rowOff>
        </xdr:from>
        <xdr:to>
          <xdr:col>5</xdr:col>
          <xdr:colOff>558800</xdr:colOff>
          <xdr:row>2</xdr:row>
          <xdr:rowOff>44450</xdr:rowOff>
        </xdr:to>
        <xdr:sp macro="" textlink="">
          <xdr:nvSpPr>
            <xdr:cNvPr id="89089" name="Button 1" hidden="1">
              <a:extLst>
                <a:ext uri="{63B3BB69-23CF-44E3-9099-C40C66FF867C}">
                  <a14:compatExt spid="_x0000_s89089"/>
                </a:ext>
                <a:ext uri="{FF2B5EF4-FFF2-40B4-BE49-F238E27FC236}">
                  <a16:creationId xmlns:a16="http://schemas.microsoft.com/office/drawing/2014/main" id="{00000000-0008-0000-2B00-0000015C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65217" name="Button 1" hidden="1">
              <a:extLst>
                <a:ext uri="{63B3BB69-23CF-44E3-9099-C40C66FF867C}">
                  <a14:compatExt spid="_x0000_s265217"/>
                </a:ext>
                <a:ext uri="{FF2B5EF4-FFF2-40B4-BE49-F238E27FC236}">
                  <a16:creationId xmlns:a16="http://schemas.microsoft.com/office/drawing/2014/main" id="{00000000-0008-0000-2D00-0000010C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222250</xdr:colOff>
          <xdr:row>0</xdr:row>
          <xdr:rowOff>171450</xdr:rowOff>
        </xdr:from>
        <xdr:to>
          <xdr:col>5</xdr:col>
          <xdr:colOff>558800</xdr:colOff>
          <xdr:row>2</xdr:row>
          <xdr:rowOff>44450</xdr:rowOff>
        </xdr:to>
        <xdr:sp macro="" textlink="">
          <xdr:nvSpPr>
            <xdr:cNvPr id="91137" name="Button 1" hidden="1">
              <a:extLst>
                <a:ext uri="{63B3BB69-23CF-44E3-9099-C40C66FF867C}">
                  <a14:compatExt spid="_x0000_s91137"/>
                </a:ext>
                <a:ext uri="{FF2B5EF4-FFF2-40B4-BE49-F238E27FC236}">
                  <a16:creationId xmlns:a16="http://schemas.microsoft.com/office/drawing/2014/main" id="{00000000-0008-0000-3000-00000164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69313" name="Button 1" hidden="1">
              <a:extLst>
                <a:ext uri="{63B3BB69-23CF-44E3-9099-C40C66FF867C}">
                  <a14:compatExt spid="_x0000_s269313"/>
                </a:ext>
                <a:ext uri="{FF2B5EF4-FFF2-40B4-BE49-F238E27FC236}">
                  <a16:creationId xmlns:a16="http://schemas.microsoft.com/office/drawing/2014/main" id="{00000000-0008-0000-3200-0000011C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222250</xdr:colOff>
          <xdr:row>0</xdr:row>
          <xdr:rowOff>171450</xdr:rowOff>
        </xdr:from>
        <xdr:to>
          <xdr:col>5</xdr:col>
          <xdr:colOff>558800</xdr:colOff>
          <xdr:row>2</xdr:row>
          <xdr:rowOff>44450</xdr:rowOff>
        </xdr:to>
        <xdr:sp macro="" textlink="">
          <xdr:nvSpPr>
            <xdr:cNvPr id="115713" name="Button 1" hidden="1">
              <a:extLst>
                <a:ext uri="{63B3BB69-23CF-44E3-9099-C40C66FF867C}">
                  <a14:compatExt spid="_x0000_s115713"/>
                </a:ext>
                <a:ext uri="{FF2B5EF4-FFF2-40B4-BE49-F238E27FC236}">
                  <a16:creationId xmlns:a16="http://schemas.microsoft.com/office/drawing/2014/main" id="{00000000-0008-0000-3500-000001C4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74433" name="Button 1" hidden="1">
              <a:extLst>
                <a:ext uri="{63B3BB69-23CF-44E3-9099-C40C66FF867C}">
                  <a14:compatExt spid="_x0000_s274433"/>
                </a:ext>
                <a:ext uri="{FF2B5EF4-FFF2-40B4-BE49-F238E27FC236}">
                  <a16:creationId xmlns:a16="http://schemas.microsoft.com/office/drawing/2014/main" id="{00000000-0008-0000-3900-00000130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workspace\xpandh-hdr\src-models\xpandh-hdr-model-maps.xlsm" TargetMode="External"/><Relationship Id="rId1" Type="http://schemas.openxmlformats.org/officeDocument/2006/relationships/externalLinkPath" Target="/workspace/xpandh-hdr/src-models/xpandh-hdr-model-map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Hospital Discharge Report "/>
      <sheetName val="HospitalDischargeReport"/>
      <sheetName val="HospitalDischargeReport-Map-1"/>
      <sheetName val="HospitalDischargeReport-fsh"/>
      <sheetName val="HospitalDischargeRep-ConceptMap"/>
      <sheetName val="HospitalDischargeReport-CM-fsh"/>
      <sheetName val="HDR-SK"/>
      <sheetName val="HospitalDischargeReportSK"/>
      <sheetName val="HospitalDischargeReportSK-Map"/>
      <sheetName val="HospitalDischargeReportSK-fsh"/>
      <sheetName val="Subject"/>
      <sheetName val="Subject-Map-1"/>
      <sheetName val="Subject-fsh"/>
      <sheetName val="Subject-ConceptMap"/>
      <sheetName val="Subject-CM-fsh"/>
      <sheetName val="Staging"/>
      <sheetName val="Staging-Map-1"/>
      <sheetName val="Staging-fsh"/>
      <sheetName val="Staging-ConceptMap"/>
      <sheetName val="Staging-CM-fsh"/>
      <sheetName val="Treatment"/>
      <sheetName val="Treatment-Map-1"/>
      <sheetName val="Treatment-fsh"/>
      <sheetName val="Treatment-ConceptMap"/>
      <sheetName val="Treatment-CM-fsh"/>
      <sheetName val="ConvertOsiris"/>
      <sheetName val="Osiris"/>
      <sheetName val="Osiris-Map"/>
      <sheetName val="Osiris-fsh-noMap"/>
      <sheetName val="Osiris-fsh"/>
      <sheetName val="Osiris-ConceptMap"/>
      <sheetName val="Osiris-CM-fsh"/>
      <sheetName val="Foglio2"/>
      <sheetName val="xpandh-hdr-model-maps"/>
    </sheetNames>
    <sheetDataSet>
      <sheetData sheetId="0"/>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Set>
  </externalBook>
</externalLink>
</file>

<file path=xl/persons/person.xml><?xml version="1.0" encoding="utf-8"?>
<personList xmlns="http://schemas.microsoft.com/office/spreadsheetml/2018/threadedcomments" xmlns:x="http://schemas.openxmlformats.org/spreadsheetml/2006/main">
  <person displayName="Giorgio Cangioli" id="{3C83DDFD-8948-4013-AE43-43EFF8DD498C}" userId="44ab1370a64b2221" providerId="Windows Live"/>
</personList>
</file>

<file path=xl/theme/theme1.xml><?xml version="1.0" encoding="utf-8"?>
<a:theme xmlns:a="http://schemas.openxmlformats.org/drawingml/2006/main" name="Tema di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D9" dT="2022-11-18T13:48:38.82" personId="{3C83DDFD-8948-4013-AE43-43EFF8DD498C}" id="{6DE5AA82-640F-4653-90AA-A807E1102ADA}">
    <text>Consider to add a order group id ( or make this explicit in the model)</text>
  </threadedComment>
</ThreadedComment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7.xml.rels><?xml version="1.0" encoding="UTF-8" standalone="yes"?>
<Relationships xmlns="http://schemas.openxmlformats.org/package/2006/relationships"><Relationship Id="rId1" Type="http://schemas.openxmlformats.org/officeDocument/2006/relationships/hyperlink" Target="http://hl7.eu/fhir/laboratory/StructureDefinition/LabReport" TargetMode="External"/></Relationships>
</file>

<file path=xl/worksheets/_rels/sheet8.xml.rels><?xml version="1.0" encoding="UTF-8" standalone="yes"?>
<Relationships xmlns="http://schemas.openxmlformats.org/package/2006/relationships"><Relationship Id="rId1" Type="http://schemas.openxmlformats.org/officeDocument/2006/relationships/hyperlink" Target="http://hl7.eu/fhir/laboratory/StructureDefinition/LabReport" TargetMode="Externa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trlProp" Target="../ctrlProps/ctrlProp3.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2.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_rels/sheet13.xml.rels><?xml version="1.0" encoding="UTF-8" standalone="yes"?>
<Relationships xmlns="http://schemas.openxmlformats.org/package/2006/relationships"><Relationship Id="rId1" Type="http://schemas.openxmlformats.org/officeDocument/2006/relationships/hyperlink" Target="http://hl7.eu/fhir/laboratory/StructureDefinition/LabReport" TargetMode="Externa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trlProp" Target="../ctrlProps/ctrlProp5.xml"/></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7.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5.vml"/><Relationship Id="rId1" Type="http://schemas.openxmlformats.org/officeDocument/2006/relationships/drawing" Target="../drawings/drawing5.xml"/></Relationships>
</file>

<file path=xl/worksheets/_rels/sheet18.xml.rels><?xml version="1.0" encoding="UTF-8" standalone="yes"?>
<Relationships xmlns="http://schemas.openxmlformats.org/package/2006/relationships"><Relationship Id="rId3" Type="http://schemas.openxmlformats.org/officeDocument/2006/relationships/hyperlink" Target="http://hl7.eu/fhir/laboratory/StructureDefinition/ServiceRequest-eu-lab" TargetMode="External"/><Relationship Id="rId2" Type="http://schemas.openxmlformats.org/officeDocument/2006/relationships/hyperlink" Target="http://hl7.eu/fhir/laboratory/StructureDefinition/ServiceRequest-eu-lab" TargetMode="External"/><Relationship Id="rId1" Type="http://schemas.openxmlformats.org/officeDocument/2006/relationships/hyperlink" Target="http://hl7.eu/fhir/laboratory/StructureDefinition/LabReport" TargetMode="External"/><Relationship Id="rId5" Type="http://schemas.openxmlformats.org/officeDocument/2006/relationships/hyperlink" Target="http://hl7.eu/fhir/laboratory/StructureDefinition/Payer" TargetMode="External"/><Relationship Id="rId4" Type="http://schemas.openxmlformats.org/officeDocument/2006/relationships/hyperlink" Target="http://hl7.eu/fhir/laboratory/StructureDefinition/Payer" TargetMode="Externa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7.bin"/><Relationship Id="rId4" Type="http://schemas.openxmlformats.org/officeDocument/2006/relationships/ctrlProp" Target="../ctrlProps/ctrlProp7.xml"/></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22.xml.rels><?xml version="1.0" encoding="UTF-8" standalone="yes"?>
<Relationships xmlns="http://schemas.openxmlformats.org/package/2006/relationships"><Relationship Id="rId3" Type="http://schemas.openxmlformats.org/officeDocument/2006/relationships/ctrlProp" Target="../ctrlProps/ctrlProp8.xml"/><Relationship Id="rId2" Type="http://schemas.openxmlformats.org/officeDocument/2006/relationships/vmlDrawing" Target="../drawings/vmlDrawing7.vml"/><Relationship Id="rId1" Type="http://schemas.openxmlformats.org/officeDocument/2006/relationships/drawing" Target="../drawings/drawing7.xml"/></Relationships>
</file>

<file path=xl/worksheets/_rels/sheet23.xml.rels><?xml version="1.0" encoding="UTF-8" standalone="yes"?>
<Relationships xmlns="http://schemas.openxmlformats.org/package/2006/relationships"><Relationship Id="rId3" Type="http://schemas.openxmlformats.org/officeDocument/2006/relationships/hyperlink" Target="http://hl7.eu/fhir/laboratory/StructureDefinition/Recipient" TargetMode="External"/><Relationship Id="rId2" Type="http://schemas.openxmlformats.org/officeDocument/2006/relationships/hyperlink" Target="http://hl7.eu/fhir/StructureDefinition/information-recipient" TargetMode="External"/><Relationship Id="rId1" Type="http://schemas.openxmlformats.org/officeDocument/2006/relationships/hyperlink" Target="http://hl7.eu/fhir/laboratory/StructureDefinition/Recipient" TargetMode="External"/><Relationship Id="rId6" Type="http://schemas.openxmlformats.org/officeDocument/2006/relationships/hyperlink" Target="http://hl7.eu/fhir/StructureDefinition/information-recipient.resolve()" TargetMode="External"/><Relationship Id="rId5" Type="http://schemas.openxmlformats.org/officeDocument/2006/relationships/hyperlink" Target="http://hl7.eu/fhir/StructureDefinition/information-recipient" TargetMode="External"/><Relationship Id="rId4" Type="http://schemas.openxmlformats.org/officeDocument/2006/relationships/hyperlink" Target="http://hl7.eu/fhir/laboratory/StructureDefinition/Recipient" TargetMode="External"/></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9.bin"/><Relationship Id="rId4" Type="http://schemas.openxmlformats.org/officeDocument/2006/relationships/ctrlProp" Target="../ctrlProps/ctrlProp9.xml"/></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27.xml.rels><?xml version="1.0" encoding="UTF-8" standalone="yes"?>
<Relationships xmlns="http://schemas.openxmlformats.org/package/2006/relationships"><Relationship Id="rId3" Type="http://schemas.openxmlformats.org/officeDocument/2006/relationships/ctrlProp" Target="../ctrlProps/ctrlProp10.xml"/><Relationship Id="rId2" Type="http://schemas.openxmlformats.org/officeDocument/2006/relationships/vmlDrawing" Target="../drawings/vmlDrawing9.vml"/><Relationship Id="rId1" Type="http://schemas.openxmlformats.org/officeDocument/2006/relationships/drawing" Target="../drawings/drawing9.xml"/></Relationships>
</file>

<file path=xl/worksheets/_rels/sheet28.xml.rels><?xml version="1.0" encoding="UTF-8" standalone="yes"?>
<Relationships xmlns="http://schemas.openxmlformats.org/package/2006/relationships"><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s>
</file>

<file path=xl/worksheets/_rels/sheet29.xml.rels><?xml version="1.0" encoding="UTF-8" standalone="yes"?>
<Relationships xmlns="http://schemas.openxmlformats.org/package/2006/relationships"><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s>
</file>

<file path=xl/worksheets/_rels/sheet30.xml.rels><?xml version="1.0" encoding="UTF-8" standalone="yes"?>
<Relationships xmlns="http://schemas.openxmlformats.org/package/2006/relationships"><Relationship Id="rId3" Type="http://schemas.openxmlformats.org/officeDocument/2006/relationships/hyperlink" Target="http://hl7.eu/fhir/laboratory/StructureDefinition/Composition-eu-lab"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s>
</file>

<file path=xl/worksheets/_rels/sheet31.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0.xml"/><Relationship Id="rId1" Type="http://schemas.openxmlformats.org/officeDocument/2006/relationships/printerSettings" Target="../printerSettings/printerSettings11.bin"/><Relationship Id="rId4" Type="http://schemas.openxmlformats.org/officeDocument/2006/relationships/ctrlProp" Target="../ctrlProps/ctrlProp11.xml"/></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34.xml.rels><?xml version="1.0" encoding="UTF-8" standalone="yes"?>
<Relationships xmlns="http://schemas.openxmlformats.org/package/2006/relationships"><Relationship Id="rId3" Type="http://schemas.openxmlformats.org/officeDocument/2006/relationships/ctrlProp" Target="../ctrlProps/ctrlProp12.xml"/><Relationship Id="rId2" Type="http://schemas.openxmlformats.org/officeDocument/2006/relationships/vmlDrawing" Target="../drawings/vmlDrawing11.vml"/><Relationship Id="rId1" Type="http://schemas.openxmlformats.org/officeDocument/2006/relationships/drawing" Target="../drawings/drawing11.xml"/></Relationships>
</file>

<file path=xl/worksheets/_rels/sheet35.xml.rels><?xml version="1.0" encoding="UTF-8" standalone="yes"?>
<Relationships xmlns="http://schemas.openxmlformats.org/package/2006/relationships"><Relationship Id="rId3" Type="http://schemas.openxmlformats.org/officeDocument/2006/relationships/hyperlink" Target="http://hl7.eu/fhir/StructureDefinition/information-recipient" TargetMode="External"/><Relationship Id="rId2" Type="http://schemas.openxmlformats.org/officeDocument/2006/relationships/hyperlink" Target="http://hl7.eu/fhir/laboratory/StructureDefinition/Recipient" TargetMode="External"/><Relationship Id="rId1" Type="http://schemas.openxmlformats.org/officeDocument/2006/relationships/hyperlink" Target="http://hl7.eu/fhir/laboratory/StructureDefinition/LeaglAu" TargetMode="External"/><Relationship Id="rId4" Type="http://schemas.openxmlformats.org/officeDocument/2006/relationships/hyperlink" Target="http://hl7.eu/fhir/laboratory/StructureDefinition/Composition-eu-lab" TargetMode="External"/></Relationships>
</file>

<file path=xl/worksheets/_rels/sheet36.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2.xml"/><Relationship Id="rId1" Type="http://schemas.openxmlformats.org/officeDocument/2006/relationships/printerSettings" Target="../printerSettings/printerSettings13.bin"/><Relationship Id="rId4" Type="http://schemas.openxmlformats.org/officeDocument/2006/relationships/ctrlProp" Target="../ctrlProps/ctrlProp13.xml"/></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39.xml.rels><?xml version="1.0" encoding="UTF-8" standalone="yes"?>
<Relationships xmlns="http://schemas.openxmlformats.org/package/2006/relationships"><Relationship Id="rId3" Type="http://schemas.openxmlformats.org/officeDocument/2006/relationships/ctrlProp" Target="../ctrlProps/ctrlProp14.xml"/><Relationship Id="rId2" Type="http://schemas.openxmlformats.org/officeDocument/2006/relationships/vmlDrawing" Target="../drawings/vmlDrawing13.vml"/><Relationship Id="rId1" Type="http://schemas.openxmlformats.org/officeDocument/2006/relationships/drawing" Target="../drawings/drawing13.xml"/></Relationships>
</file>

<file path=xl/worksheets/_rels/sheet40.xml.rels><?xml version="1.0" encoding="UTF-8" standalone="yes"?>
<Relationships xmlns="http://schemas.openxmlformats.org/package/2006/relationships"><Relationship Id="rId3" Type="http://schemas.openxmlformats.org/officeDocument/2006/relationships/hyperlink" Target="http://hl7.eu/fhir/StructureDefinition/information-recipient" TargetMode="External"/><Relationship Id="rId2" Type="http://schemas.openxmlformats.org/officeDocument/2006/relationships/hyperlink" Target="http://hl7.eu/fhir/laboratory/StructureDefinition/Recipient" TargetMode="External"/><Relationship Id="rId1" Type="http://schemas.openxmlformats.org/officeDocument/2006/relationships/hyperlink" Target="http://hl7.eu/fhir/laboratory/StructureDefinition/LeaglAu" TargetMode="External"/><Relationship Id="rId4" Type="http://schemas.openxmlformats.org/officeDocument/2006/relationships/hyperlink" Target="http://hl7.eu/fhir/laboratory/StructureDefinition/Composition-eu-lab" TargetMode="External"/></Relationships>
</file>

<file path=xl/worksheets/_rels/sheet41.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4.xml"/><Relationship Id="rId1" Type="http://schemas.openxmlformats.org/officeDocument/2006/relationships/printerSettings" Target="../printerSettings/printerSettings15.bin"/><Relationship Id="rId4" Type="http://schemas.openxmlformats.org/officeDocument/2006/relationships/ctrlProp" Target="../ctrlProps/ctrlProp15.xml"/></Relationships>
</file>

<file path=xl/worksheets/_rels/sheet4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5.vml"/><Relationship Id="rId1" Type="http://schemas.openxmlformats.org/officeDocument/2006/relationships/printerSettings" Target="../printerSettings/printerSettings16.bin"/><Relationship Id="rId4" Type="http://schemas.microsoft.com/office/2017/10/relationships/threadedComment" Target="../threadedComments/threadedComment1.xml"/></Relationships>
</file>

<file path=xl/worksheets/_rels/sheet44.xml.rels><?xml version="1.0" encoding="UTF-8" standalone="yes"?>
<Relationships xmlns="http://schemas.openxmlformats.org/package/2006/relationships"><Relationship Id="rId3" Type="http://schemas.openxmlformats.org/officeDocument/2006/relationships/ctrlProp" Target="../ctrlProps/ctrlProp16.xml"/><Relationship Id="rId2" Type="http://schemas.openxmlformats.org/officeDocument/2006/relationships/vmlDrawing" Target="../drawings/vmlDrawing16.vml"/><Relationship Id="rId1" Type="http://schemas.openxmlformats.org/officeDocument/2006/relationships/drawing" Target="../drawings/drawing15.xml"/></Relationships>
</file>

<file path=xl/worksheets/_rels/sheet45.xml.rels><?xml version="1.0" encoding="UTF-8" standalone="yes"?>
<Relationships xmlns="http://schemas.openxmlformats.org/package/2006/relationships"><Relationship Id="rId1" Type="http://schemas.openxmlformats.org/officeDocument/2006/relationships/hyperlink" Target="http://hl7.eu/fhir/laboratory/StructureDefinition/LabReport" TargetMode="External"/></Relationships>
</file>

<file path=xl/worksheets/_rels/sheet46.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6.xml"/><Relationship Id="rId1" Type="http://schemas.openxmlformats.org/officeDocument/2006/relationships/printerSettings" Target="../printerSettings/printerSettings17.bin"/><Relationship Id="rId4" Type="http://schemas.openxmlformats.org/officeDocument/2006/relationships/ctrlProp" Target="../ctrlProps/ctrlProp17.xml"/></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49.xml.rels><?xml version="1.0" encoding="UTF-8" standalone="yes"?>
<Relationships xmlns="http://schemas.openxmlformats.org/package/2006/relationships"><Relationship Id="rId3" Type="http://schemas.openxmlformats.org/officeDocument/2006/relationships/ctrlProp" Target="../ctrlProps/ctrlProp18.xml"/><Relationship Id="rId2" Type="http://schemas.openxmlformats.org/officeDocument/2006/relationships/vmlDrawing" Target="../drawings/vmlDrawing18.vml"/><Relationship Id="rId1" Type="http://schemas.openxmlformats.org/officeDocument/2006/relationships/drawing" Target="../drawings/drawing17.xml"/></Relationships>
</file>

<file path=xl/worksheets/_rels/sheet50.xml.rels><?xml version="1.0" encoding="UTF-8" standalone="yes"?>
<Relationships xmlns="http://schemas.openxmlformats.org/package/2006/relationships"><Relationship Id="rId3" Type="http://schemas.openxmlformats.org/officeDocument/2006/relationships/hyperlink" Target="http://hl7.eu/fhir/laboratory/StructureDefinition/Specimen-eu-lab"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s>
</file>

<file path=xl/worksheets/_rels/sheet51.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18.xml"/><Relationship Id="rId1" Type="http://schemas.openxmlformats.org/officeDocument/2006/relationships/printerSettings" Target="../printerSettings/printerSettings19.bin"/><Relationship Id="rId4" Type="http://schemas.openxmlformats.org/officeDocument/2006/relationships/ctrlProp" Target="../ctrlProps/ctrlProp19.xml"/></Relationships>
</file>

<file path=xl/worksheets/_rels/sheet52.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54.xml.rels><?xml version="1.0" encoding="UTF-8" standalone="yes"?>
<Relationships xmlns="http://schemas.openxmlformats.org/package/2006/relationships"><Relationship Id="rId3" Type="http://schemas.openxmlformats.org/officeDocument/2006/relationships/ctrlProp" Target="../ctrlProps/ctrlProp20.xml"/><Relationship Id="rId2" Type="http://schemas.openxmlformats.org/officeDocument/2006/relationships/vmlDrawing" Target="../drawings/vmlDrawing20.vml"/><Relationship Id="rId1" Type="http://schemas.openxmlformats.org/officeDocument/2006/relationships/drawing" Target="../drawings/drawing19.xml"/></Relationships>
</file>

<file path=xl/worksheets/_rels/sheet55.xml.rels><?xml version="1.0" encoding="UTF-8" standalone="yes"?>
<Relationships xmlns="http://schemas.openxmlformats.org/package/2006/relationships"><Relationship Id="rId3" Type="http://schemas.openxmlformats.org/officeDocument/2006/relationships/hyperlink" Target="http://hl7.eu/fhir/laboratory/StructureDefinition/DiagnosticReport-eu-lab"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s>
</file>

<file path=xl/worksheets/_rels/sheet56.xml.rels><?xml version="1.0" encoding="UTF-8" standalone="yes"?>
<Relationships xmlns="http://schemas.openxmlformats.org/package/2006/relationships"><Relationship Id="rId2" Type="http://schemas.openxmlformats.org/officeDocument/2006/relationships/hyperlink" Target="http://hl7.eu/fhir/laboratory/StructureDefinition/Composition-eu-lab" TargetMode="External"/><Relationship Id="rId1" Type="http://schemas.openxmlformats.org/officeDocument/2006/relationships/hyperlink" Target="http://hl7.eu/fhir/laboratory/StructureDefinition/Author" TargetMode="External"/></Relationships>
</file>

<file path=xl/worksheets/_rels/sheet57.xml.rels><?xml version="1.0" encoding="UTF-8" standalone="yes"?>
<Relationships xmlns="http://schemas.openxmlformats.org/package/2006/relationships"><Relationship Id="rId2" Type="http://schemas.openxmlformats.org/officeDocument/2006/relationships/hyperlink" Target="http://hl7.eu/fhir/laboratory/StructureDefinition/Observation-resultslab-eu-lab" TargetMode="External"/><Relationship Id="rId1" Type="http://schemas.openxmlformats.org/officeDocument/2006/relationships/hyperlink" Target="http://hl7.eu/fhir/laboratory/StructureDefinition/Author" TargetMode="External"/></Relationships>
</file>

<file path=xl/worksheets/_rels/sheet58.xml.rels><?xml version="1.0" encoding="UTF-8" standalone="yes"?>
<Relationships xmlns="http://schemas.openxmlformats.org/package/2006/relationships"><Relationship Id="rId3" Type="http://schemas.openxmlformats.org/officeDocument/2006/relationships/vmlDrawing" Target="../drawings/vmlDrawing21.vml"/><Relationship Id="rId2" Type="http://schemas.openxmlformats.org/officeDocument/2006/relationships/drawing" Target="../drawings/drawing20.xml"/><Relationship Id="rId1" Type="http://schemas.openxmlformats.org/officeDocument/2006/relationships/printerSettings" Target="../printerSettings/printerSettings21.bin"/><Relationship Id="rId4" Type="http://schemas.openxmlformats.org/officeDocument/2006/relationships/ctrlProp" Target="../ctrlProps/ctrlProp2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972BFC-804B-40AB-9813-9E12017091FD}">
  <sheetPr codeName="Sheet1">
    <tabColor theme="9" tint="0.39997558519241921"/>
  </sheetPr>
  <dimension ref="B2:E44"/>
  <sheetViews>
    <sheetView workbookViewId="0"/>
  </sheetViews>
  <sheetFormatPr defaultRowHeight="14.75" x14ac:dyDescent="0.75"/>
  <cols>
    <col min="2" max="2" width="7.5" bestFit="1" customWidth="1"/>
    <col min="3" max="3" width="27.86328125" customWidth="1"/>
    <col min="4" max="4" width="57.953125" customWidth="1"/>
    <col min="5" max="5" width="24.6328125" customWidth="1"/>
  </cols>
  <sheetData>
    <row r="2" spans="2:5" ht="15.5" thickBot="1" x14ac:dyDescent="0.9"/>
    <row r="3" spans="2:5" ht="16.75" thickBot="1" x14ac:dyDescent="0.9">
      <c r="B3" s="94" t="s">
        <v>39</v>
      </c>
      <c r="C3" s="95"/>
      <c r="D3" s="35" t="s">
        <v>40</v>
      </c>
      <c r="E3" s="35" t="s">
        <v>41</v>
      </c>
    </row>
    <row r="4" spans="2:5" ht="16.75" thickBot="1" x14ac:dyDescent="0.9">
      <c r="B4" s="96" t="s">
        <v>42</v>
      </c>
      <c r="C4" s="97"/>
      <c r="D4" s="97"/>
      <c r="E4" s="98"/>
    </row>
    <row r="5" spans="2:5" ht="16.75" thickBot="1" x14ac:dyDescent="0.9">
      <c r="B5" s="96" t="s">
        <v>43</v>
      </c>
      <c r="C5" s="97"/>
      <c r="D5" s="97"/>
      <c r="E5" s="98"/>
    </row>
    <row r="6" spans="2:5" ht="48.75" thickBot="1" x14ac:dyDescent="0.9">
      <c r="B6" s="36" t="s">
        <v>44</v>
      </c>
      <c r="C6" s="37" t="s">
        <v>45</v>
      </c>
      <c r="D6" s="37" t="s">
        <v>46</v>
      </c>
      <c r="E6" s="38"/>
    </row>
    <row r="7" spans="2:5" ht="48.75" thickBot="1" x14ac:dyDescent="0.9">
      <c r="B7" s="36" t="s">
        <v>47</v>
      </c>
      <c r="C7" s="37" t="s">
        <v>48</v>
      </c>
      <c r="D7" s="37" t="s">
        <v>49</v>
      </c>
      <c r="E7" s="38"/>
    </row>
    <row r="8" spans="2:5" ht="48.75" thickBot="1" x14ac:dyDescent="0.9">
      <c r="B8" s="36" t="s">
        <v>50</v>
      </c>
      <c r="C8" s="37" t="s">
        <v>51</v>
      </c>
      <c r="D8" s="37" t="s">
        <v>52</v>
      </c>
      <c r="E8" s="39" t="s">
        <v>53</v>
      </c>
    </row>
    <row r="9" spans="2:5" ht="48.75" thickBot="1" x14ac:dyDescent="0.9">
      <c r="B9" s="36" t="s">
        <v>54</v>
      </c>
      <c r="C9" s="37" t="s">
        <v>55</v>
      </c>
      <c r="D9" s="37" t="s">
        <v>56</v>
      </c>
      <c r="E9" s="38"/>
    </row>
    <row r="10" spans="2:5" ht="32" x14ac:dyDescent="0.75">
      <c r="B10" s="99" t="s">
        <v>57</v>
      </c>
      <c r="C10" s="99" t="s">
        <v>58</v>
      </c>
      <c r="D10" s="40" t="s">
        <v>59</v>
      </c>
      <c r="E10" s="102" t="s">
        <v>60</v>
      </c>
    </row>
    <row r="11" spans="2:5" x14ac:dyDescent="0.75">
      <c r="B11" s="100"/>
      <c r="C11" s="100"/>
      <c r="D11" s="41"/>
      <c r="E11" s="103"/>
    </row>
    <row r="12" spans="2:5" ht="32.75" thickBot="1" x14ac:dyDescent="0.9">
      <c r="B12" s="101"/>
      <c r="C12" s="101"/>
      <c r="D12" s="37" t="s">
        <v>61</v>
      </c>
      <c r="E12" s="104"/>
    </row>
    <row r="13" spans="2:5" ht="16.75" thickBot="1" x14ac:dyDescent="0.9">
      <c r="B13" s="91" t="s">
        <v>62</v>
      </c>
      <c r="C13" s="92"/>
      <c r="D13" s="92"/>
      <c r="E13" s="93"/>
    </row>
    <row r="14" spans="2:5" ht="96.75" thickBot="1" x14ac:dyDescent="0.9">
      <c r="B14" s="36" t="s">
        <v>63</v>
      </c>
      <c r="C14" s="37" t="s">
        <v>64</v>
      </c>
      <c r="D14" s="37" t="s">
        <v>65</v>
      </c>
      <c r="E14" s="39" t="s">
        <v>66</v>
      </c>
    </row>
    <row r="15" spans="2:5" ht="48.75" thickBot="1" x14ac:dyDescent="0.9">
      <c r="B15" s="36" t="s">
        <v>67</v>
      </c>
      <c r="C15" s="37" t="s">
        <v>68</v>
      </c>
      <c r="D15" s="37" t="s">
        <v>69</v>
      </c>
      <c r="E15" s="42"/>
    </row>
    <row r="16" spans="2:5" ht="16.75" thickBot="1" x14ac:dyDescent="0.9">
      <c r="B16" s="91" t="s">
        <v>70</v>
      </c>
      <c r="C16" s="92"/>
      <c r="D16" s="92"/>
      <c r="E16" s="93"/>
    </row>
    <row r="17" spans="2:5" ht="64.75" thickBot="1" x14ac:dyDescent="0.9">
      <c r="B17" s="36" t="s">
        <v>71</v>
      </c>
      <c r="C17" s="39" t="s">
        <v>72</v>
      </c>
      <c r="D17" s="37" t="s">
        <v>73</v>
      </c>
      <c r="E17" s="42"/>
    </row>
    <row r="18" spans="2:5" ht="32.75" thickBot="1" x14ac:dyDescent="0.9">
      <c r="B18" s="36" t="s">
        <v>74</v>
      </c>
      <c r="C18" s="39" t="s">
        <v>75</v>
      </c>
      <c r="D18" s="37" t="s">
        <v>76</v>
      </c>
      <c r="E18" s="42"/>
    </row>
    <row r="19" spans="2:5" ht="32.75" thickBot="1" x14ac:dyDescent="0.9">
      <c r="B19" s="36" t="s">
        <v>77</v>
      </c>
      <c r="C19" s="39" t="s">
        <v>78</v>
      </c>
      <c r="D19" s="37" t="s">
        <v>79</v>
      </c>
      <c r="E19" s="42"/>
    </row>
    <row r="20" spans="2:5" ht="32.75" thickBot="1" x14ac:dyDescent="0.9">
      <c r="B20" s="36" t="s">
        <v>80</v>
      </c>
      <c r="C20" s="39" t="s">
        <v>81</v>
      </c>
      <c r="D20" s="37" t="s">
        <v>82</v>
      </c>
      <c r="E20" s="42"/>
    </row>
    <row r="21" spans="2:5" ht="16.75" thickBot="1" x14ac:dyDescent="0.9">
      <c r="B21" s="91" t="s">
        <v>83</v>
      </c>
      <c r="C21" s="92"/>
      <c r="D21" s="92"/>
      <c r="E21" s="93"/>
    </row>
    <row r="22" spans="2:5" ht="96.75" thickBot="1" x14ac:dyDescent="0.9">
      <c r="B22" s="36" t="s">
        <v>84</v>
      </c>
      <c r="C22" s="37" t="s">
        <v>85</v>
      </c>
      <c r="D22" s="37" t="s">
        <v>86</v>
      </c>
      <c r="E22" s="42"/>
    </row>
    <row r="23" spans="2:5" ht="16.75" thickBot="1" x14ac:dyDescent="0.9">
      <c r="B23" s="36" t="s">
        <v>87</v>
      </c>
      <c r="C23" s="37" t="s">
        <v>88</v>
      </c>
      <c r="D23" s="37" t="s">
        <v>89</v>
      </c>
      <c r="E23" s="42"/>
    </row>
    <row r="24" spans="2:5" ht="16.75" thickBot="1" x14ac:dyDescent="0.9">
      <c r="B24" s="36" t="s">
        <v>90</v>
      </c>
      <c r="C24" s="37" t="s">
        <v>91</v>
      </c>
      <c r="D24" s="37" t="s">
        <v>92</v>
      </c>
      <c r="E24" s="42"/>
    </row>
    <row r="25" spans="2:5" ht="16.75" thickBot="1" x14ac:dyDescent="0.9">
      <c r="B25" s="91" t="s">
        <v>93</v>
      </c>
      <c r="C25" s="92"/>
      <c r="D25" s="92"/>
      <c r="E25" s="93"/>
    </row>
    <row r="26" spans="2:5" ht="80.75" thickBot="1" x14ac:dyDescent="0.9">
      <c r="B26" s="36" t="s">
        <v>94</v>
      </c>
      <c r="C26" s="37" t="s">
        <v>95</v>
      </c>
      <c r="D26" s="37" t="s">
        <v>96</v>
      </c>
      <c r="E26" s="42"/>
    </row>
    <row r="27" spans="2:5" ht="16.75" thickBot="1" x14ac:dyDescent="0.9">
      <c r="B27" s="36" t="s">
        <v>97</v>
      </c>
      <c r="C27" s="37" t="s">
        <v>98</v>
      </c>
      <c r="D27" s="37" t="s">
        <v>99</v>
      </c>
      <c r="E27" s="42"/>
    </row>
    <row r="28" spans="2:5" ht="16.75" thickBot="1" x14ac:dyDescent="0.9">
      <c r="B28" s="36" t="s">
        <v>100</v>
      </c>
      <c r="C28" s="37" t="s">
        <v>101</v>
      </c>
      <c r="D28" s="37" t="s">
        <v>92</v>
      </c>
      <c r="E28" s="42"/>
    </row>
    <row r="29" spans="2:5" ht="16.75" thickBot="1" x14ac:dyDescent="0.9">
      <c r="B29" s="91" t="s">
        <v>102</v>
      </c>
      <c r="C29" s="92"/>
      <c r="D29" s="92"/>
      <c r="E29" s="93"/>
    </row>
    <row r="30" spans="2:5" ht="64.75" thickBot="1" x14ac:dyDescent="0.9">
      <c r="B30" s="36" t="s">
        <v>103</v>
      </c>
      <c r="C30" s="39" t="s">
        <v>104</v>
      </c>
      <c r="D30" s="37" t="s">
        <v>105</v>
      </c>
      <c r="E30" s="42"/>
    </row>
    <row r="31" spans="2:5" ht="16.75" thickBot="1" x14ac:dyDescent="0.9">
      <c r="B31" s="36" t="s">
        <v>106</v>
      </c>
      <c r="C31" s="39" t="s">
        <v>107</v>
      </c>
      <c r="D31" s="37" t="s">
        <v>89</v>
      </c>
      <c r="E31" s="42"/>
    </row>
    <row r="32" spans="2:5" ht="32.75" thickBot="1" x14ac:dyDescent="0.9">
      <c r="B32" s="36" t="s">
        <v>108</v>
      </c>
      <c r="C32" s="39" t="s">
        <v>109</v>
      </c>
      <c r="D32" s="37" t="s">
        <v>92</v>
      </c>
      <c r="E32" s="42"/>
    </row>
    <row r="33" spans="2:5" ht="32.75" thickBot="1" x14ac:dyDescent="0.9">
      <c r="B33" s="36" t="s">
        <v>110</v>
      </c>
      <c r="C33" s="39" t="s">
        <v>111</v>
      </c>
      <c r="D33" s="37" t="s">
        <v>112</v>
      </c>
      <c r="E33" s="39" t="s">
        <v>113</v>
      </c>
    </row>
    <row r="34" spans="2:5" ht="16.75" thickBot="1" x14ac:dyDescent="0.9">
      <c r="B34" s="91" t="s">
        <v>114</v>
      </c>
      <c r="C34" s="92"/>
      <c r="D34" s="92"/>
      <c r="E34" s="93"/>
    </row>
    <row r="35" spans="2:5" ht="64.75" thickBot="1" x14ac:dyDescent="0.9">
      <c r="B35" s="36" t="s">
        <v>115</v>
      </c>
      <c r="C35" s="39" t="s">
        <v>116</v>
      </c>
      <c r="D35" s="37" t="s">
        <v>117</v>
      </c>
      <c r="E35" s="42"/>
    </row>
    <row r="36" spans="2:5" ht="16.75" thickBot="1" x14ac:dyDescent="0.9">
      <c r="B36" s="36" t="s">
        <v>118</v>
      </c>
      <c r="C36" s="39" t="s">
        <v>119</v>
      </c>
      <c r="D36" s="37" t="s">
        <v>89</v>
      </c>
      <c r="E36" s="42"/>
    </row>
    <row r="37" spans="2:5" ht="32.75" thickBot="1" x14ac:dyDescent="0.9">
      <c r="B37" s="36" t="s">
        <v>120</v>
      </c>
      <c r="C37" s="39" t="s">
        <v>121</v>
      </c>
      <c r="D37" s="37" t="s">
        <v>122</v>
      </c>
      <c r="E37" s="42"/>
    </row>
    <row r="38" spans="2:5" ht="16.75" thickBot="1" x14ac:dyDescent="0.9">
      <c r="B38" s="36" t="s">
        <v>123</v>
      </c>
      <c r="C38" s="39" t="s">
        <v>124</v>
      </c>
      <c r="D38" s="37" t="s">
        <v>125</v>
      </c>
      <c r="E38" s="39" t="s">
        <v>113</v>
      </c>
    </row>
    <row r="39" spans="2:5" ht="16.75" thickBot="1" x14ac:dyDescent="0.9">
      <c r="B39" s="91" t="s">
        <v>126</v>
      </c>
      <c r="C39" s="92"/>
      <c r="D39" s="92"/>
      <c r="E39" s="93"/>
    </row>
    <row r="40" spans="2:5" ht="32.75" thickBot="1" x14ac:dyDescent="0.9">
      <c r="B40" s="36" t="s">
        <v>127</v>
      </c>
      <c r="C40" s="37" t="s">
        <v>128</v>
      </c>
      <c r="D40" s="37" t="s">
        <v>129</v>
      </c>
      <c r="E40" s="39" t="s">
        <v>130</v>
      </c>
    </row>
    <row r="41" spans="2:5" ht="32.75" thickBot="1" x14ac:dyDescent="0.9">
      <c r="B41" s="36" t="s">
        <v>131</v>
      </c>
      <c r="C41" s="37" t="s">
        <v>132</v>
      </c>
      <c r="D41" s="37" t="s">
        <v>133</v>
      </c>
      <c r="E41" s="39" t="s">
        <v>134</v>
      </c>
    </row>
    <row r="42" spans="2:5" ht="16.75" thickBot="1" x14ac:dyDescent="0.9">
      <c r="B42" s="36" t="s">
        <v>135</v>
      </c>
      <c r="C42" s="37" t="s">
        <v>136</v>
      </c>
      <c r="D42" s="37" t="s">
        <v>137</v>
      </c>
      <c r="E42" s="39" t="s">
        <v>113</v>
      </c>
    </row>
    <row r="43" spans="2:5" ht="16.75" thickBot="1" x14ac:dyDescent="0.9">
      <c r="B43" s="36" t="s">
        <v>138</v>
      </c>
      <c r="C43" s="37" t="s">
        <v>139</v>
      </c>
      <c r="D43" s="37" t="s">
        <v>140</v>
      </c>
      <c r="E43" s="38"/>
    </row>
    <row r="44" spans="2:5" ht="32.75" thickBot="1" x14ac:dyDescent="0.9">
      <c r="B44" s="36" t="s">
        <v>141</v>
      </c>
      <c r="C44" s="37" t="s">
        <v>142</v>
      </c>
      <c r="D44" s="37" t="s">
        <v>143</v>
      </c>
      <c r="E44" s="42"/>
    </row>
  </sheetData>
  <mergeCells count="13">
    <mergeCell ref="B3:C3"/>
    <mergeCell ref="B4:E4"/>
    <mergeCell ref="B5:E5"/>
    <mergeCell ref="B10:B12"/>
    <mergeCell ref="C10:C12"/>
    <mergeCell ref="E10:E12"/>
    <mergeCell ref="B39:E39"/>
    <mergeCell ref="B13:E13"/>
    <mergeCell ref="B16:E16"/>
    <mergeCell ref="B21:E21"/>
    <mergeCell ref="B25:E25"/>
    <mergeCell ref="B29:E29"/>
    <mergeCell ref="B34:E34"/>
  </mergeCell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9C3DC1-0D5E-4AC4-A993-37D602704244}">
  <sheetPr codeName="Sheet2">
    <tabColor theme="9" tint="0.39997558519241921"/>
  </sheetPr>
  <dimension ref="B2:E53"/>
  <sheetViews>
    <sheetView workbookViewId="0"/>
  </sheetViews>
  <sheetFormatPr defaultRowHeight="14.75" x14ac:dyDescent="0.75"/>
  <cols>
    <col min="2" max="2" width="8.40625" bestFit="1" customWidth="1"/>
    <col min="3" max="3" width="24.26953125" bestFit="1" customWidth="1"/>
    <col min="4" max="4" width="101.58984375" bestFit="1" customWidth="1"/>
    <col min="5" max="5" width="21.76953125" customWidth="1"/>
  </cols>
  <sheetData>
    <row r="2" spans="2:5" ht="15.5" thickBot="1" x14ac:dyDescent="0.9"/>
    <row r="3" spans="2:5" ht="32.75" thickBot="1" x14ac:dyDescent="0.9">
      <c r="B3" s="94" t="s">
        <v>39</v>
      </c>
      <c r="C3" s="95"/>
      <c r="D3" s="35" t="s">
        <v>40</v>
      </c>
      <c r="E3" s="35" t="s">
        <v>41</v>
      </c>
    </row>
    <row r="4" spans="2:5" ht="15.5" thickBot="1" x14ac:dyDescent="0.9">
      <c r="B4" s="105" t="s">
        <v>144</v>
      </c>
      <c r="C4" s="106"/>
      <c r="D4" s="106"/>
      <c r="E4" s="107"/>
    </row>
    <row r="5" spans="2:5" ht="16.75" thickBot="1" x14ac:dyDescent="0.9">
      <c r="B5" s="36" t="s">
        <v>145</v>
      </c>
      <c r="C5" s="39" t="s">
        <v>146</v>
      </c>
      <c r="D5" s="37" t="s">
        <v>147</v>
      </c>
      <c r="E5" s="42"/>
    </row>
    <row r="6" spans="2:5" ht="16.75" thickBot="1" x14ac:dyDescent="0.9">
      <c r="B6" s="36" t="s">
        <v>148</v>
      </c>
      <c r="C6" s="39" t="s">
        <v>149</v>
      </c>
      <c r="D6" s="37" t="s">
        <v>150</v>
      </c>
      <c r="E6" s="39" t="s">
        <v>113</v>
      </c>
    </row>
    <row r="7" spans="2:5" ht="64.75" thickBot="1" x14ac:dyDescent="0.9">
      <c r="B7" s="36" t="s">
        <v>151</v>
      </c>
      <c r="C7" s="39" t="s">
        <v>152</v>
      </c>
      <c r="D7" s="37" t="s">
        <v>153</v>
      </c>
      <c r="E7" s="42"/>
    </row>
    <row r="8" spans="2:5" ht="16.75" thickBot="1" x14ac:dyDescent="0.9">
      <c r="B8" s="36" t="s">
        <v>154</v>
      </c>
      <c r="C8" s="39" t="s">
        <v>155</v>
      </c>
      <c r="D8" s="37" t="s">
        <v>89</v>
      </c>
      <c r="E8" s="42"/>
    </row>
    <row r="9" spans="2:5" ht="32.75" thickBot="1" x14ac:dyDescent="0.9">
      <c r="B9" s="36" t="s">
        <v>156</v>
      </c>
      <c r="C9" s="39" t="s">
        <v>157</v>
      </c>
      <c r="D9" s="37" t="s">
        <v>158</v>
      </c>
      <c r="E9" s="38"/>
    </row>
    <row r="10" spans="2:5" ht="32.75" thickBot="1" x14ac:dyDescent="0.9">
      <c r="B10" s="36" t="s">
        <v>159</v>
      </c>
      <c r="C10" s="39" t="s">
        <v>160</v>
      </c>
      <c r="D10" s="37" t="s">
        <v>161</v>
      </c>
      <c r="E10" s="42"/>
    </row>
    <row r="11" spans="2:5" ht="15.5" thickBot="1" x14ac:dyDescent="0.9">
      <c r="B11" s="108" t="s">
        <v>162</v>
      </c>
      <c r="C11" s="109"/>
      <c r="D11" s="109"/>
      <c r="E11" s="110"/>
    </row>
    <row r="12" spans="2:5" ht="32" x14ac:dyDescent="0.75">
      <c r="B12" s="99" t="s">
        <v>163</v>
      </c>
      <c r="C12" s="99" t="s">
        <v>164</v>
      </c>
      <c r="D12" s="99" t="s">
        <v>165</v>
      </c>
      <c r="E12" s="43" t="s">
        <v>166</v>
      </c>
    </row>
    <row r="13" spans="2:5" ht="16" x14ac:dyDescent="0.75">
      <c r="B13" s="100"/>
      <c r="C13" s="100"/>
      <c r="D13" s="100"/>
      <c r="E13" s="43" t="s">
        <v>167</v>
      </c>
    </row>
    <row r="14" spans="2:5" ht="16.75" thickBot="1" x14ac:dyDescent="0.9">
      <c r="B14" s="101"/>
      <c r="C14" s="101"/>
      <c r="D14" s="101"/>
      <c r="E14" s="39" t="s">
        <v>168</v>
      </c>
    </row>
    <row r="15" spans="2:5" ht="15.5" thickBot="1" x14ac:dyDescent="0.9">
      <c r="B15" s="108" t="s">
        <v>169</v>
      </c>
      <c r="C15" s="109"/>
      <c r="D15" s="109"/>
      <c r="E15" s="110"/>
    </row>
    <row r="16" spans="2:5" ht="32.75" thickBot="1" x14ac:dyDescent="0.9">
      <c r="B16" s="36" t="s">
        <v>170</v>
      </c>
      <c r="C16" s="39" t="s">
        <v>171</v>
      </c>
      <c r="D16" s="37" t="s">
        <v>172</v>
      </c>
      <c r="E16" s="42"/>
    </row>
    <row r="17" spans="2:5" ht="16.75" thickBot="1" x14ac:dyDescent="0.9">
      <c r="B17" s="36" t="s">
        <v>173</v>
      </c>
      <c r="C17" s="39" t="s">
        <v>174</v>
      </c>
      <c r="D17" s="37" t="s">
        <v>175</v>
      </c>
      <c r="E17" s="39" t="s">
        <v>167</v>
      </c>
    </row>
    <row r="18" spans="2:5" ht="16.75" thickBot="1" x14ac:dyDescent="0.9">
      <c r="B18" s="36" t="s">
        <v>176</v>
      </c>
      <c r="C18" s="39" t="s">
        <v>177</v>
      </c>
      <c r="D18" s="37" t="s">
        <v>178</v>
      </c>
      <c r="E18" s="39" t="s">
        <v>167</v>
      </c>
    </row>
    <row r="19" spans="2:5" ht="16.75" thickBot="1" x14ac:dyDescent="0.9">
      <c r="B19" s="36" t="s">
        <v>179</v>
      </c>
      <c r="C19" s="39" t="s">
        <v>180</v>
      </c>
      <c r="D19" s="37" t="s">
        <v>181</v>
      </c>
      <c r="E19" s="39" t="s">
        <v>113</v>
      </c>
    </row>
    <row r="20" spans="2:5" ht="16.75" thickBot="1" x14ac:dyDescent="0.9">
      <c r="B20" s="36" t="s">
        <v>182</v>
      </c>
      <c r="C20" s="39" t="s">
        <v>183</v>
      </c>
      <c r="D20" s="37" t="s">
        <v>184</v>
      </c>
      <c r="E20" s="39" t="s">
        <v>167</v>
      </c>
    </row>
    <row r="21" spans="2:5" ht="32.75" thickBot="1" x14ac:dyDescent="0.9">
      <c r="B21" s="36" t="s">
        <v>185</v>
      </c>
      <c r="C21" s="39" t="s">
        <v>186</v>
      </c>
      <c r="D21" s="37" t="s">
        <v>187</v>
      </c>
      <c r="E21" s="39" t="s">
        <v>167</v>
      </c>
    </row>
    <row r="22" spans="2:5" ht="16" x14ac:dyDescent="0.75">
      <c r="B22" s="99" t="s">
        <v>188</v>
      </c>
      <c r="C22" s="102" t="s">
        <v>189</v>
      </c>
      <c r="D22" s="99" t="s">
        <v>190</v>
      </c>
      <c r="E22" s="43" t="s">
        <v>167</v>
      </c>
    </row>
    <row r="23" spans="2:5" x14ac:dyDescent="0.75">
      <c r="B23" s="100"/>
      <c r="C23" s="103"/>
      <c r="D23" s="100"/>
      <c r="E23" s="41"/>
    </row>
    <row r="24" spans="2:5" ht="16.75" thickBot="1" x14ac:dyDescent="0.9">
      <c r="B24" s="101"/>
      <c r="C24" s="104"/>
      <c r="D24" s="101"/>
      <c r="E24" s="39" t="s">
        <v>191</v>
      </c>
    </row>
    <row r="25" spans="2:5" ht="32.75" thickBot="1" x14ac:dyDescent="0.9">
      <c r="B25" s="36" t="s">
        <v>192</v>
      </c>
      <c r="C25" s="39" t="s">
        <v>193</v>
      </c>
      <c r="D25" s="37" t="s">
        <v>194</v>
      </c>
      <c r="E25" s="39" t="s">
        <v>167</v>
      </c>
    </row>
    <row r="26" spans="2:5" ht="16.75" thickBot="1" x14ac:dyDescent="0.9">
      <c r="B26" s="36" t="s">
        <v>195</v>
      </c>
      <c r="C26" s="39" t="s">
        <v>196</v>
      </c>
      <c r="D26" s="37" t="s">
        <v>197</v>
      </c>
      <c r="E26" s="39" t="s">
        <v>113</v>
      </c>
    </row>
    <row r="27" spans="2:5" ht="16.75" thickBot="1" x14ac:dyDescent="0.9">
      <c r="B27" s="91" t="s">
        <v>198</v>
      </c>
      <c r="C27" s="92"/>
      <c r="D27" s="92"/>
      <c r="E27" s="93"/>
    </row>
    <row r="28" spans="2:5" ht="16.75" thickBot="1" x14ac:dyDescent="0.9">
      <c r="B28" s="91" t="s">
        <v>199</v>
      </c>
      <c r="C28" s="92"/>
      <c r="D28" s="92"/>
      <c r="E28" s="93"/>
    </row>
    <row r="29" spans="2:5" ht="16.75" thickBot="1" x14ac:dyDescent="0.9">
      <c r="B29" s="36" t="s">
        <v>200</v>
      </c>
      <c r="C29" s="39" t="s">
        <v>201</v>
      </c>
      <c r="D29" s="37" t="s">
        <v>202</v>
      </c>
      <c r="E29" s="42"/>
    </row>
    <row r="30" spans="2:5" ht="48.75" thickBot="1" x14ac:dyDescent="0.9">
      <c r="B30" s="36" t="s">
        <v>203</v>
      </c>
      <c r="C30" s="39" t="s">
        <v>204</v>
      </c>
      <c r="D30" s="37" t="s">
        <v>205</v>
      </c>
      <c r="E30" s="42"/>
    </row>
    <row r="31" spans="2:5" ht="16.75" thickBot="1" x14ac:dyDescent="0.9">
      <c r="B31" s="91" t="s">
        <v>206</v>
      </c>
      <c r="C31" s="92"/>
      <c r="D31" s="92"/>
      <c r="E31" s="93"/>
    </row>
    <row r="32" spans="2:5" ht="16.75" thickBot="1" x14ac:dyDescent="0.9">
      <c r="B32" s="36" t="s">
        <v>207</v>
      </c>
      <c r="C32" s="39" t="s">
        <v>208</v>
      </c>
      <c r="D32" s="37" t="s">
        <v>209</v>
      </c>
      <c r="E32" s="39" t="s">
        <v>113</v>
      </c>
    </row>
    <row r="33" spans="2:5" ht="16" x14ac:dyDescent="0.75">
      <c r="B33" s="99" t="s">
        <v>210</v>
      </c>
      <c r="C33" s="102" t="s">
        <v>211</v>
      </c>
      <c r="D33" s="99" t="s">
        <v>212</v>
      </c>
      <c r="E33" s="43" t="s">
        <v>130</v>
      </c>
    </row>
    <row r="34" spans="2:5" ht="16" x14ac:dyDescent="0.75">
      <c r="B34" s="100"/>
      <c r="C34" s="103"/>
      <c r="D34" s="100"/>
      <c r="E34" s="43" t="s">
        <v>213</v>
      </c>
    </row>
    <row r="35" spans="2:5" ht="16.75" thickBot="1" x14ac:dyDescent="0.9">
      <c r="B35" s="101"/>
      <c r="C35" s="104"/>
      <c r="D35" s="101"/>
      <c r="E35" s="39" t="s">
        <v>167</v>
      </c>
    </row>
    <row r="36" spans="2:5" ht="32.75" thickBot="1" x14ac:dyDescent="0.9">
      <c r="B36" s="36" t="s">
        <v>214</v>
      </c>
      <c r="C36" s="39" t="s">
        <v>215</v>
      </c>
      <c r="D36" s="37" t="s">
        <v>216</v>
      </c>
      <c r="E36" s="38"/>
    </row>
    <row r="37" spans="2:5" ht="32.75" thickBot="1" x14ac:dyDescent="0.9">
      <c r="B37" s="36" t="s">
        <v>217</v>
      </c>
      <c r="C37" s="39" t="s">
        <v>218</v>
      </c>
      <c r="D37" s="37" t="s">
        <v>219</v>
      </c>
      <c r="E37" s="38"/>
    </row>
    <row r="38" spans="2:5" ht="32.75" thickBot="1" x14ac:dyDescent="0.9">
      <c r="B38" s="36" t="s">
        <v>220</v>
      </c>
      <c r="C38" s="39" t="s">
        <v>221</v>
      </c>
      <c r="D38" s="37" t="s">
        <v>222</v>
      </c>
      <c r="E38" s="38"/>
    </row>
    <row r="39" spans="2:5" ht="16.75" thickBot="1" x14ac:dyDescent="0.9">
      <c r="B39" s="36" t="s">
        <v>223</v>
      </c>
      <c r="C39" s="39" t="s">
        <v>224</v>
      </c>
      <c r="D39" s="37" t="s">
        <v>225</v>
      </c>
      <c r="E39" s="39" t="s">
        <v>167</v>
      </c>
    </row>
    <row r="40" spans="2:5" ht="16" x14ac:dyDescent="0.75">
      <c r="B40" s="99" t="s">
        <v>226</v>
      </c>
      <c r="C40" s="102" t="s">
        <v>227</v>
      </c>
      <c r="D40" s="99" t="s">
        <v>228</v>
      </c>
      <c r="E40" s="43" t="s">
        <v>167</v>
      </c>
    </row>
    <row r="41" spans="2:5" x14ac:dyDescent="0.75">
      <c r="B41" s="100"/>
      <c r="C41" s="103"/>
      <c r="D41" s="100"/>
      <c r="E41" s="41"/>
    </row>
    <row r="42" spans="2:5" ht="16.75" thickBot="1" x14ac:dyDescent="0.9">
      <c r="B42" s="101"/>
      <c r="C42" s="104"/>
      <c r="D42" s="101"/>
      <c r="E42" s="39" t="s">
        <v>191</v>
      </c>
    </row>
    <row r="43" spans="2:5" ht="16.75" thickBot="1" x14ac:dyDescent="0.9">
      <c r="B43" s="36" t="s">
        <v>229</v>
      </c>
      <c r="C43" s="39" t="s">
        <v>230</v>
      </c>
      <c r="D43" s="37" t="s">
        <v>231</v>
      </c>
      <c r="E43" s="38"/>
    </row>
    <row r="44" spans="2:5" ht="32.75" thickBot="1" x14ac:dyDescent="0.9">
      <c r="B44" s="36" t="s">
        <v>232</v>
      </c>
      <c r="C44" s="39" t="s">
        <v>233</v>
      </c>
      <c r="D44" s="37" t="s">
        <v>234</v>
      </c>
      <c r="E44" s="38"/>
    </row>
    <row r="45" spans="2:5" ht="32.75" thickBot="1" x14ac:dyDescent="0.9">
      <c r="B45" s="36" t="s">
        <v>235</v>
      </c>
      <c r="C45" s="39" t="s">
        <v>236</v>
      </c>
      <c r="D45" s="37" t="s">
        <v>237</v>
      </c>
      <c r="E45" s="38"/>
    </row>
    <row r="46" spans="2:5" ht="64" x14ac:dyDescent="0.75">
      <c r="B46" s="99" t="s">
        <v>238</v>
      </c>
      <c r="C46" s="102" t="s">
        <v>239</v>
      </c>
      <c r="D46" s="99" t="s">
        <v>240</v>
      </c>
      <c r="E46" s="43" t="s">
        <v>241</v>
      </c>
    </row>
    <row r="47" spans="2:5" x14ac:dyDescent="0.75">
      <c r="B47" s="100"/>
      <c r="C47" s="103"/>
      <c r="D47" s="100"/>
      <c r="E47" s="44"/>
    </row>
    <row r="48" spans="2:5" ht="16.75" thickBot="1" x14ac:dyDescent="0.9">
      <c r="B48" s="101"/>
      <c r="C48" s="104"/>
      <c r="D48" s="101"/>
      <c r="E48" s="39" t="s">
        <v>242</v>
      </c>
    </row>
    <row r="49" spans="2:5" ht="16" x14ac:dyDescent="0.75">
      <c r="B49" s="99" t="s">
        <v>243</v>
      </c>
      <c r="C49" s="102" t="s">
        <v>244</v>
      </c>
      <c r="D49" s="99" t="s">
        <v>245</v>
      </c>
      <c r="E49" s="43" t="s">
        <v>167</v>
      </c>
    </row>
    <row r="50" spans="2:5" x14ac:dyDescent="0.75">
      <c r="B50" s="100"/>
      <c r="C50" s="103"/>
      <c r="D50" s="100"/>
      <c r="E50" s="41"/>
    </row>
    <row r="51" spans="2:5" ht="48.75" thickBot="1" x14ac:dyDescent="0.9">
      <c r="B51" s="101"/>
      <c r="C51" s="104"/>
      <c r="D51" s="101"/>
      <c r="E51" s="39" t="s">
        <v>246</v>
      </c>
    </row>
    <row r="52" spans="2:5" ht="16.75" thickBot="1" x14ac:dyDescent="0.9">
      <c r="B52" s="36" t="s">
        <v>247</v>
      </c>
      <c r="C52" s="39" t="s">
        <v>248</v>
      </c>
      <c r="D52" s="37" t="s">
        <v>249</v>
      </c>
      <c r="E52" s="38"/>
    </row>
    <row r="53" spans="2:5" ht="16.75" thickBot="1" x14ac:dyDescent="0.9">
      <c r="B53" s="36" t="s">
        <v>250</v>
      </c>
      <c r="C53" s="39" t="s">
        <v>251</v>
      </c>
      <c r="D53" s="37" t="s">
        <v>252</v>
      </c>
      <c r="E53" s="38"/>
    </row>
  </sheetData>
  <mergeCells count="25">
    <mergeCell ref="B28:E28"/>
    <mergeCell ref="B3:C3"/>
    <mergeCell ref="B4:E4"/>
    <mergeCell ref="B11:E11"/>
    <mergeCell ref="B12:B14"/>
    <mergeCell ref="C12:C14"/>
    <mergeCell ref="D12:D14"/>
    <mergeCell ref="B15:E15"/>
    <mergeCell ref="B22:B24"/>
    <mergeCell ref="C22:C24"/>
    <mergeCell ref="D22:D24"/>
    <mergeCell ref="B27:E27"/>
    <mergeCell ref="B31:E31"/>
    <mergeCell ref="B33:B35"/>
    <mergeCell ref="C33:C35"/>
    <mergeCell ref="D33:D35"/>
    <mergeCell ref="B40:B42"/>
    <mergeCell ref="C40:C42"/>
    <mergeCell ref="D40:D42"/>
    <mergeCell ref="B46:B48"/>
    <mergeCell ref="C46:C48"/>
    <mergeCell ref="D46:D48"/>
    <mergeCell ref="B49:B51"/>
    <mergeCell ref="C49:C51"/>
    <mergeCell ref="D49:D51"/>
  </mergeCells>
  <hyperlinks>
    <hyperlink ref="B4:E4" location="Order!A1" display="A.2 Order information (Laboratory Result Report could respond to multiple test orders)" xr:uid="{A6CE0A3E-44BB-4DCB-9E5B-1475B556818A}"/>
    <hyperlink ref="B11:E11" location="Order!A1" display="A.3 Order reason (Laboratory Result Report could respond to multiple reasons)" xr:uid="{85B04399-775D-4C56-83BD-FB93CE752FD2}"/>
    <hyperlink ref="B15:E15" location="'Specimen-fsh'!A1" display="A.4 Specimen information" xr:uid="{EBDE2E24-ECA6-40B2-A8EA-12E322CB903D}"/>
  </hyperlink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F3137A-BB7B-4B5C-B50C-8D48AD88F26A}">
  <sheetPr codeName="Foglio1"/>
  <dimension ref="A1"/>
  <sheetViews>
    <sheetView workbookViewId="0"/>
  </sheetViews>
  <sheetFormatPr defaultRowHeight="14.75" x14ac:dyDescent="0.75"/>
  <cols>
    <col min="4" max="4" width="19.36328125" customWidth="1"/>
  </cols>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19A8D5-FCA9-4D98-B177-3721AA02B75D}">
  <sheetPr codeName="Foglio26">
    <tabColor theme="7" tint="0.39997558519241921"/>
  </sheetPr>
  <dimension ref="A1:N31"/>
  <sheetViews>
    <sheetView topLeftCell="A10" workbookViewId="0"/>
  </sheetViews>
  <sheetFormatPr defaultRowHeight="14.75" x14ac:dyDescent="0.75"/>
  <cols>
    <col min="1" max="1" width="16.54296875" customWidth="1"/>
    <col min="2" max="2" width="59.5" customWidth="1"/>
    <col min="3" max="3" width="44.6328125" customWidth="1"/>
    <col min="4" max="4" width="71.58984375" bestFit="1" customWidth="1"/>
    <col min="5" max="5" width="10.81640625" customWidth="1"/>
    <col min="6" max="6" width="9" customWidth="1"/>
    <col min="7" max="7" width="56.58984375" customWidth="1"/>
    <col min="8" max="8" width="56.58984375" style="1" customWidth="1"/>
    <col min="9" max="9" width="21.76953125" customWidth="1"/>
    <col min="10" max="10" width="67.1796875" style="1" customWidth="1"/>
    <col min="11" max="11" width="19.31640625" customWidth="1"/>
    <col min="12" max="12" width="55.7265625" customWidth="1"/>
    <col min="14" max="14" width="45.81640625" style="1" customWidth="1"/>
    <col min="15" max="15" width="8.7265625" customWidth="1"/>
  </cols>
  <sheetData>
    <row r="1" spans="1:12" x14ac:dyDescent="0.75">
      <c r="J1" s="32" t="s">
        <v>37</v>
      </c>
      <c r="L1" s="32" t="s">
        <v>37</v>
      </c>
    </row>
    <row r="2" spans="1:12" x14ac:dyDescent="0.75">
      <c r="J2" s="33" t="s">
        <v>36</v>
      </c>
      <c r="L2" s="33" t="s">
        <v>645</v>
      </c>
    </row>
    <row r="3" spans="1:12" ht="15.5" thickBot="1" x14ac:dyDescent="0.9">
      <c r="J3" s="33" t="str">
        <f>J1</f>
        <v>// -------------------------------------------------------------------------------</v>
      </c>
      <c r="L3" s="33" t="str">
        <f>L1</f>
        <v>// -------------------------------------------------------------------------------</v>
      </c>
    </row>
    <row r="4" spans="1:12" x14ac:dyDescent="0.75">
      <c r="A4" s="6" t="s">
        <v>14</v>
      </c>
      <c r="B4" s="17" t="s">
        <v>253</v>
      </c>
      <c r="J4" s="25" t="str">
        <f>CONCATENATE("Logical: ",B4)</f>
        <v>Logical: LabReportEhn</v>
      </c>
    </row>
    <row r="5" spans="1:12" x14ac:dyDescent="0.75">
      <c r="A5" s="18" t="s">
        <v>19</v>
      </c>
      <c r="B5" s="34" t="s">
        <v>254</v>
      </c>
      <c r="J5" s="25" t="str">
        <f>CONCATENATE("Id: ",B5)</f>
        <v>Id: LabReport</v>
      </c>
    </row>
    <row r="6" spans="1:12" x14ac:dyDescent="0.75">
      <c r="A6" s="18" t="s">
        <v>13</v>
      </c>
      <c r="B6" s="19" t="s">
        <v>709</v>
      </c>
      <c r="J6" s="26" t="str">
        <f>CONCATENATE("Title: ##34#",B6,"##34#")</f>
        <v>Title: ##34#A - Laboratory Report##34#</v>
      </c>
    </row>
    <row r="7" spans="1:12" x14ac:dyDescent="0.75">
      <c r="A7" s="46" t="s">
        <v>5</v>
      </c>
      <c r="B7" s="47" t="s">
        <v>255</v>
      </c>
      <c r="C7" s="12" t="s">
        <v>6</v>
      </c>
      <c r="D7" s="2" t="s">
        <v>7</v>
      </c>
      <c r="E7" s="3" t="s">
        <v>8</v>
      </c>
      <c r="F7" s="3" t="s">
        <v>9</v>
      </c>
      <c r="G7" s="3" t="s">
        <v>10</v>
      </c>
      <c r="H7" s="68" t="s">
        <v>644</v>
      </c>
      <c r="J7" s="26" t="str">
        <f>CONCATENATE("Description: "," ##334#",B7,"##334#",)</f>
        <v>Description:  ##334#Laboratory Report##334#</v>
      </c>
    </row>
    <row r="8" spans="1:12" ht="29.5" x14ac:dyDescent="0.75">
      <c r="A8" s="9">
        <v>1</v>
      </c>
      <c r="B8" s="9" t="s">
        <v>256</v>
      </c>
      <c r="C8" s="9" t="s">
        <v>42</v>
      </c>
      <c r="D8" s="14" t="s">
        <v>42</v>
      </c>
      <c r="E8" s="9">
        <v>1</v>
      </c>
      <c r="F8" s="9">
        <v>1</v>
      </c>
      <c r="G8" s="9" t="s">
        <v>4</v>
      </c>
      <c r="H8" s="14"/>
      <c r="I8" s="45"/>
      <c r="J8" s="14" t="str">
        <f t="shared" ref="J8:J26" si="0">CONCATENATE("* ",B8, " ",E8,"..",F8," ",G8," ##34#",C8,"##34# ##334#",D8,"##334#")</f>
        <v>* header 1..1 BackboneElement ##34#A.1 Report header data elements##34# ##334#A.1 Report header data elements##334#</v>
      </c>
      <c r="L8" s="14" t="str">
        <f>IF(H8="",IF(J8="*  ..  ##34###34# ##334###334#",J8,""),IF(J8="*  ..  ##34###34# ##334###334#",J8,CONCATENATE("* ",B8," ^comment = ##334#",H8,"##334#")))</f>
        <v/>
      </c>
    </row>
    <row r="9" spans="1:12" ht="44.25" x14ac:dyDescent="0.75">
      <c r="A9" s="9">
        <v>2</v>
      </c>
      <c r="B9" s="9" t="s">
        <v>257</v>
      </c>
      <c r="C9" s="9" t="s">
        <v>333</v>
      </c>
      <c r="D9" s="9" t="s">
        <v>330</v>
      </c>
      <c r="E9" s="9">
        <v>1</v>
      </c>
      <c r="F9" s="9">
        <v>1</v>
      </c>
      <c r="G9" s="9" t="s">
        <v>329</v>
      </c>
      <c r="H9" s="14"/>
      <c r="I9" s="45"/>
      <c r="J9" s="14" t="str">
        <f t="shared" si="0"/>
        <v>* header.subject 1..1 http://hl7.eu/fhir/ig/xeh/StructureDefinition/Subject ##34#A.1.1 - A1.2 Patient/subject##34# ##334#A.1.1 Identification of the patient/subject and A.1.2 Patient/subject related contact information  ##334#</v>
      </c>
      <c r="L9" s="14" t="str">
        <f t="shared" ref="L9:L31" si="1">IF(H9="",IF(J9="*  ..  ##34###34# ##334###334#",J9,""),IF(J9="*  ..  ##34###34# ##334###334#",J9,CONCATENATE("* ",B9," ^comment = ##334#",H9,"##334#")))</f>
        <v/>
      </c>
    </row>
    <row r="10" spans="1:12" ht="44.25" x14ac:dyDescent="0.75">
      <c r="A10" s="9">
        <v>3</v>
      </c>
      <c r="B10" s="9" t="s">
        <v>353</v>
      </c>
      <c r="C10" s="9" t="s">
        <v>331</v>
      </c>
      <c r="D10" s="9" t="s">
        <v>331</v>
      </c>
      <c r="E10" s="9">
        <v>0</v>
      </c>
      <c r="F10" s="9">
        <v>1</v>
      </c>
      <c r="G10" s="9" t="s">
        <v>363</v>
      </c>
      <c r="H10" s="14"/>
      <c r="I10" s="45"/>
      <c r="J10" s="14" t="str">
        <f t="shared" si="0"/>
        <v>* header.payer 0..1 http://hl7.eu/fhir/ig/xeh/StructureDefinition/Payer ##34#A.1.3 Health insurance and payment information##34# ##334#A.1.3 Health insurance and payment information##334#</v>
      </c>
      <c r="L10" s="14" t="str">
        <f t="shared" si="1"/>
        <v/>
      </c>
    </row>
    <row r="11" spans="1:12" ht="73.75" x14ac:dyDescent="0.75">
      <c r="A11" s="9">
        <v>4</v>
      </c>
      <c r="B11" s="9" t="s">
        <v>269</v>
      </c>
      <c r="C11" s="14" t="s">
        <v>258</v>
      </c>
      <c r="D11" s="14" t="s">
        <v>332</v>
      </c>
      <c r="E11" s="9">
        <v>0</v>
      </c>
      <c r="F11" s="9">
        <v>1</v>
      </c>
      <c r="G11" s="9" t="s">
        <v>394</v>
      </c>
      <c r="H11" s="14"/>
      <c r="I11" s="45"/>
      <c r="J11" s="14" t="str">
        <f t="shared" si="0"/>
        <v>* header.informationRecipient 0..1 http://hl7.eu/fhir/ig/xeh/StructureDefinition/Recipient ##34#A.1.4 Information recipient##34# ##334#A.1.4 Information recipient (intended recipient or recipients of the report, additional recipients might be identified by the ordering party, e.g. GP, other specialist), if applicable##334#</v>
      </c>
      <c r="L11" s="14" t="str">
        <f t="shared" si="1"/>
        <v/>
      </c>
    </row>
    <row r="12" spans="1:12" ht="44.25" x14ac:dyDescent="0.75">
      <c r="A12" s="9">
        <v>5</v>
      </c>
      <c r="B12" s="9" t="s">
        <v>397</v>
      </c>
      <c r="C12" s="14" t="s">
        <v>396</v>
      </c>
      <c r="D12" s="14" t="s">
        <v>93</v>
      </c>
      <c r="E12" s="9">
        <v>0</v>
      </c>
      <c r="F12" s="9" t="s">
        <v>11</v>
      </c>
      <c r="G12" s="9" t="s">
        <v>402</v>
      </c>
      <c r="H12" s="14"/>
      <c r="I12" s="45"/>
      <c r="J12" s="14" t="str">
        <f t="shared" si="0"/>
        <v>* header.author 0..* http://hl7.eu/fhir/ig/xeh/StructureDefinition/Author ##34#A.1.5 Author##34# ##334#A.1.5 Author (by whom the Laboratory result report or a subset of its results was authored)##334#</v>
      </c>
      <c r="L12" s="14" t="str">
        <f t="shared" si="1"/>
        <v/>
      </c>
    </row>
    <row r="13" spans="1:12" ht="59" x14ac:dyDescent="0.75">
      <c r="A13" s="9">
        <v>6</v>
      </c>
      <c r="B13" s="9" t="s">
        <v>398</v>
      </c>
      <c r="C13" s="14" t="s">
        <v>561</v>
      </c>
      <c r="D13" s="14" t="s">
        <v>102</v>
      </c>
      <c r="E13" s="9">
        <v>0</v>
      </c>
      <c r="F13" s="9" t="s">
        <v>11</v>
      </c>
      <c r="G13" s="9" t="s">
        <v>401</v>
      </c>
      <c r="H13" s="14"/>
      <c r="I13" s="45"/>
      <c r="J13" s="14" t="str">
        <f t="shared" si="0"/>
        <v>* header.legalAuthenticator 0..* http://hl7.eu/fhir/ig/xeh/StructureDefinition/LegalAuthenticator ##34#A.1.6 Legal authenticator##34# ##334#A.1.6 Legal authenticator (The person taking responsibility for the medical content of the document)##334#</v>
      </c>
      <c r="L13" s="14" t="str">
        <f t="shared" si="1"/>
        <v/>
      </c>
    </row>
    <row r="14" spans="1:12" ht="29.5" x14ac:dyDescent="0.75">
      <c r="A14" s="9">
        <v>7</v>
      </c>
      <c r="B14" s="9" t="s">
        <v>270</v>
      </c>
      <c r="C14" s="14" t="s">
        <v>114</v>
      </c>
      <c r="D14" s="14" t="s">
        <v>114</v>
      </c>
      <c r="E14" s="9">
        <v>0</v>
      </c>
      <c r="F14" s="9" t="s">
        <v>11</v>
      </c>
      <c r="G14" s="53" t="s">
        <v>395</v>
      </c>
      <c r="H14" s="14"/>
      <c r="I14" s="45"/>
      <c r="J14" s="14" t="str">
        <f t="shared" si="0"/>
        <v>* header.validator 0..* http://hl7.eu/fhir/ig/xeh/StructureDefinition/Validator ##34#A.1.7 Result validator##34# ##334#A.1.7 Result validator##334#</v>
      </c>
      <c r="L14" s="14" t="str">
        <f t="shared" si="1"/>
        <v/>
      </c>
    </row>
    <row r="15" spans="1:12" ht="29.5" x14ac:dyDescent="0.75">
      <c r="A15" s="9">
        <v>8</v>
      </c>
      <c r="B15" s="9" t="s">
        <v>271</v>
      </c>
      <c r="C15" s="9" t="s">
        <v>126</v>
      </c>
      <c r="D15" s="9" t="s">
        <v>126</v>
      </c>
      <c r="E15" s="9">
        <v>1</v>
      </c>
      <c r="F15" s="9">
        <v>1</v>
      </c>
      <c r="G15" s="9" t="s">
        <v>4</v>
      </c>
      <c r="H15" s="14"/>
      <c r="I15" s="45"/>
      <c r="J15" s="14" t="str">
        <f t="shared" si="0"/>
        <v>* header.metadata 1..1 BackboneElement ##34#A.1.8 Laboratory report metadata##34# ##334#A.1.8 Laboratory report metadata##334#</v>
      </c>
      <c r="L15" s="14" t="str">
        <f t="shared" si="1"/>
        <v/>
      </c>
    </row>
    <row r="16" spans="1:12" ht="44.25" x14ac:dyDescent="0.75">
      <c r="A16" s="9">
        <v>9</v>
      </c>
      <c r="B16" s="9" t="s">
        <v>272</v>
      </c>
      <c r="C16" s="9" t="s">
        <v>259</v>
      </c>
      <c r="D16" s="14" t="s">
        <v>264</v>
      </c>
      <c r="E16" s="9">
        <v>1</v>
      </c>
      <c r="F16" s="9">
        <v>1</v>
      </c>
      <c r="G16" s="9" t="s">
        <v>1</v>
      </c>
      <c r="H16" s="14"/>
      <c r="I16" s="45"/>
      <c r="J16" s="14" t="str">
        <f t="shared" si="0"/>
        <v>* header.metadata.type 1..1 CodeableConcept ##34#A.1.8.1 Document type##34# ##334#A coded type of the document. Fixed value "Laboratory report" - Preferred system(s): LOINC##334#</v>
      </c>
      <c r="L16" s="14" t="str">
        <f t="shared" si="1"/>
        <v/>
      </c>
    </row>
    <row r="17" spans="1:13" ht="44.25" x14ac:dyDescent="0.75">
      <c r="A17" s="9">
        <v>10</v>
      </c>
      <c r="B17" s="9" t="s">
        <v>273</v>
      </c>
      <c r="C17" s="9" t="s">
        <v>260</v>
      </c>
      <c r="D17" s="14" t="s">
        <v>265</v>
      </c>
      <c r="E17" s="9">
        <v>1</v>
      </c>
      <c r="F17" s="9">
        <v>1</v>
      </c>
      <c r="G17" s="9" t="s">
        <v>1</v>
      </c>
      <c r="H17" s="14"/>
      <c r="I17" s="45"/>
      <c r="J17" s="14" t="str">
        <f t="shared" si="0"/>
        <v>* header.metadata.status 1..1 CodeableConcept ##34#A.1.8.2 Document status##34# ##334#The status of the laboratory test result report. E.g., preliminary, final. - Preferred system(s): hl7:DiagnosticReportStatus##334#</v>
      </c>
      <c r="K17" s="16"/>
      <c r="L17" s="14" t="str">
        <f t="shared" si="1"/>
        <v/>
      </c>
      <c r="M17" s="9"/>
    </row>
    <row r="18" spans="1:13" ht="44.25" x14ac:dyDescent="0.75">
      <c r="A18" s="9">
        <v>11</v>
      </c>
      <c r="B18" s="9" t="s">
        <v>274</v>
      </c>
      <c r="C18" s="9" t="s">
        <v>261</v>
      </c>
      <c r="D18" s="14" t="s">
        <v>266</v>
      </c>
      <c r="E18" s="9">
        <v>1</v>
      </c>
      <c r="F18" s="9">
        <v>1</v>
      </c>
      <c r="G18" s="9" t="s">
        <v>2</v>
      </c>
      <c r="H18" s="14"/>
      <c r="J18" s="14" t="str">
        <f t="shared" si="0"/>
        <v>* header.metadata.dateTime 1..1 dateTime ##34#A.1.8.3 Report date and time##34# ##334#Date and time of the result report creation. - Preferred system(s): ISO 8601##334#</v>
      </c>
      <c r="L18" s="14" t="str">
        <f t="shared" si="1"/>
        <v/>
      </c>
    </row>
    <row r="19" spans="1:13" ht="44.25" x14ac:dyDescent="0.75">
      <c r="A19" s="9">
        <v>12</v>
      </c>
      <c r="B19" s="9" t="s">
        <v>275</v>
      </c>
      <c r="C19" s="9" t="s">
        <v>262</v>
      </c>
      <c r="D19" s="14" t="s">
        <v>267</v>
      </c>
      <c r="E19" s="9">
        <v>0</v>
      </c>
      <c r="F19" s="9">
        <v>1</v>
      </c>
      <c r="G19" s="9" t="s">
        <v>3</v>
      </c>
      <c r="H19" s="14"/>
      <c r="J19" s="14" t="str">
        <f t="shared" si="0"/>
        <v>* header.metadata.title 0..1 string ##34#A.1.8.4 Document title##34# ##334#Document title, e.g. "Laboratory Result report" - Preferred system(s): ##334#</v>
      </c>
      <c r="L19" s="14" t="str">
        <f t="shared" si="1"/>
        <v/>
      </c>
    </row>
    <row r="20" spans="1:13" ht="44.25" x14ac:dyDescent="0.75">
      <c r="A20" s="9">
        <v>13</v>
      </c>
      <c r="B20" s="9" t="s">
        <v>276</v>
      </c>
      <c r="C20" s="9" t="s">
        <v>263</v>
      </c>
      <c r="D20" s="14" t="s">
        <v>268</v>
      </c>
      <c r="E20" s="9">
        <v>0</v>
      </c>
      <c r="F20" s="9">
        <v>1</v>
      </c>
      <c r="G20" s="9" t="s">
        <v>4</v>
      </c>
      <c r="H20" s="14"/>
      <c r="J20" s="14" t="str">
        <f t="shared" si="0"/>
        <v>* header.metadata.custodian 0..1 BackboneElement ##34#A.1.8.5 Report custodian##34# ##334#Organisation that is in charge of maintaining the laboratory report - Preferred system(s): ##334#</v>
      </c>
      <c r="L20" s="14" t="str">
        <f t="shared" si="1"/>
        <v/>
      </c>
    </row>
    <row r="21" spans="1:13" ht="73.75" x14ac:dyDescent="0.75">
      <c r="A21" s="9">
        <v>14</v>
      </c>
      <c r="B21" s="9" t="s">
        <v>334</v>
      </c>
      <c r="C21" s="9" t="s">
        <v>335</v>
      </c>
      <c r="D21" s="4" t="s">
        <v>336</v>
      </c>
      <c r="E21" s="9">
        <v>0</v>
      </c>
      <c r="F21" s="9" t="s">
        <v>11</v>
      </c>
      <c r="G21" s="9" t="s">
        <v>447</v>
      </c>
      <c r="H21" s="14"/>
      <c r="J21" s="14" t="str">
        <f t="shared" si="0"/>
        <v>* order 0..* http://hl7.eu/fhir/ig/xeh/StructureDefinition/Order ##34#A.2-A.3 Order##34# ##334#A.2 Order information (Laboratory Result Report could respond to multiple test orders)
A.3 Order reason (Laboratory Result Report could respond to multiple reasons)
##334#</v>
      </c>
      <c r="L21" s="14" t="str">
        <f t="shared" si="1"/>
        <v/>
      </c>
    </row>
    <row r="22" spans="1:13" ht="44.25" x14ac:dyDescent="0.75">
      <c r="A22" s="9">
        <v>15</v>
      </c>
      <c r="B22" s="9" t="s">
        <v>337</v>
      </c>
      <c r="C22" s="9" t="s">
        <v>169</v>
      </c>
      <c r="D22" s="9" t="s">
        <v>169</v>
      </c>
      <c r="E22" s="9">
        <v>0</v>
      </c>
      <c r="F22" s="9" t="s">
        <v>11</v>
      </c>
      <c r="G22" s="9" t="s">
        <v>563</v>
      </c>
      <c r="H22" s="14"/>
      <c r="J22" s="14" t="str">
        <f t="shared" si="0"/>
        <v>* specimen 0..* http://hl7.eu/fhir/ig/xeh/StructureDefinition/SpecimenLab ##34#A.4 Specimen information##34# ##334#A.4 Specimen information##334#</v>
      </c>
      <c r="L22" s="14" t="str">
        <f t="shared" si="1"/>
        <v/>
      </c>
    </row>
    <row r="23" spans="1:13" ht="29.5" x14ac:dyDescent="0.75">
      <c r="A23" s="9">
        <v>16</v>
      </c>
      <c r="B23" s="9" t="s">
        <v>338</v>
      </c>
      <c r="C23" s="9" t="s">
        <v>198</v>
      </c>
      <c r="D23" s="9" t="s">
        <v>198</v>
      </c>
      <c r="E23" s="9">
        <v>0</v>
      </c>
      <c r="F23" s="9" t="s">
        <v>11</v>
      </c>
      <c r="G23" s="9" t="s">
        <v>525</v>
      </c>
      <c r="H23" s="14"/>
      <c r="J23" s="14" t="str">
        <f t="shared" si="0"/>
        <v>* result 0..* http://hl7.eu/fhir/ig/xeh/StructureDefinition/Result ##34#A.5 Results data elements##34# ##334#A.5 Results data elements##334#</v>
      </c>
      <c r="L23" s="14" t="str">
        <f t="shared" si="1"/>
        <v/>
      </c>
    </row>
    <row r="24" spans="1:13" x14ac:dyDescent="0.75">
      <c r="H24" s="14"/>
      <c r="J24" s="14" t="str">
        <f t="shared" si="0"/>
        <v>*  ..  ##34###34# ##334###334#</v>
      </c>
      <c r="L24" s="14" t="str">
        <f t="shared" si="1"/>
        <v>*  ..  ##34###34# ##334###334#</v>
      </c>
    </row>
    <row r="25" spans="1:13" x14ac:dyDescent="0.75">
      <c r="H25" s="14"/>
      <c r="J25" s="14" t="str">
        <f t="shared" si="0"/>
        <v>*  ..  ##34###34# ##334###334#</v>
      </c>
      <c r="L25" s="14" t="str">
        <f t="shared" si="1"/>
        <v>*  ..  ##34###34# ##334###334#</v>
      </c>
    </row>
    <row r="26" spans="1:13" x14ac:dyDescent="0.75">
      <c r="B26" s="10"/>
      <c r="F26" s="10"/>
      <c r="H26" s="14"/>
      <c r="J26" s="14" t="str">
        <f t="shared" si="0"/>
        <v>*  ..  ##34###34# ##334###334#</v>
      </c>
      <c r="L26" s="14" t="str">
        <f t="shared" si="1"/>
        <v>*  ..  ##34###34# ##334###334#</v>
      </c>
    </row>
    <row r="27" spans="1:13" x14ac:dyDescent="0.75">
      <c r="J27" s="14"/>
      <c r="L27" s="14" t="str">
        <f t="shared" si="1"/>
        <v/>
      </c>
    </row>
    <row r="28" spans="1:13" x14ac:dyDescent="0.75">
      <c r="L28" s="14" t="str">
        <f t="shared" si="1"/>
        <v/>
      </c>
    </row>
    <row r="29" spans="1:13" x14ac:dyDescent="0.75">
      <c r="L29" s="14" t="str">
        <f t="shared" si="1"/>
        <v/>
      </c>
    </row>
    <row r="30" spans="1:13" x14ac:dyDescent="0.75">
      <c r="C30" s="10"/>
      <c r="L30" s="14" t="str">
        <f t="shared" si="1"/>
        <v/>
      </c>
    </row>
    <row r="31" spans="1:13" x14ac:dyDescent="0.75">
      <c r="L31" s="14" t="str">
        <f t="shared" si="1"/>
        <v/>
      </c>
    </row>
  </sheetData>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991FB4-4CA7-4343-9026-8B0D932F6E21}">
  <sheetPr codeName="Foglio40"/>
  <dimension ref="A1:O47"/>
  <sheetViews>
    <sheetView workbookViewId="0"/>
  </sheetViews>
  <sheetFormatPr defaultRowHeight="14.75" x14ac:dyDescent="0.75"/>
  <cols>
    <col min="2" max="2" width="31.6796875" bestFit="1" customWidth="1"/>
    <col min="3" max="3" width="76.40625" style="1" customWidth="1"/>
    <col min="4" max="4" width="8.04296875" customWidth="1"/>
    <col min="5" max="5" width="101.2265625" style="1" customWidth="1"/>
    <col min="6" max="6" width="10.76953125" customWidth="1"/>
    <col min="7" max="7" width="45.26953125" customWidth="1"/>
  </cols>
  <sheetData>
    <row r="1" spans="1:15" x14ac:dyDescent="0.75">
      <c r="E1" s="24" t="s">
        <v>37</v>
      </c>
      <c r="H1" s="10"/>
      <c r="I1" s="10"/>
      <c r="J1" s="10"/>
      <c r="K1" s="10"/>
      <c r="L1" s="10"/>
      <c r="M1" s="10"/>
      <c r="N1" s="10"/>
      <c r="O1" s="10"/>
    </row>
    <row r="2" spans="1:15" x14ac:dyDescent="0.75">
      <c r="E2" s="31" t="s">
        <v>38</v>
      </c>
      <c r="H2" s="10"/>
      <c r="I2" s="10"/>
      <c r="J2" s="10"/>
      <c r="K2" s="10"/>
      <c r="L2" s="10"/>
      <c r="M2" s="10"/>
      <c r="N2" s="10"/>
      <c r="O2" s="10"/>
    </row>
    <row r="3" spans="1:15" ht="15.5" thickBot="1" x14ac:dyDescent="0.9">
      <c r="E3" s="31" t="str">
        <f>E1</f>
        <v>// -------------------------------------------------------------------------------</v>
      </c>
      <c r="H3" s="10"/>
      <c r="I3" s="10"/>
      <c r="J3" s="10"/>
      <c r="K3" s="10"/>
      <c r="L3" s="10"/>
      <c r="M3" s="10"/>
      <c r="N3" s="10"/>
      <c r="O3" s="10"/>
    </row>
    <row r="4" spans="1:15" ht="15.5" thickBot="1" x14ac:dyDescent="0.9">
      <c r="B4" s="13" t="s">
        <v>34</v>
      </c>
      <c r="C4" s="54" t="s">
        <v>328</v>
      </c>
      <c r="E4" s="28" t="str">
        <f>CONCATENATE("Mapping: ",C4)</f>
        <v>Mapping: eHNLab2Fhir</v>
      </c>
      <c r="H4" s="10"/>
      <c r="I4" s="10"/>
      <c r="J4" s="10"/>
      <c r="K4" s="10"/>
      <c r="L4" s="10"/>
      <c r="M4" s="10"/>
      <c r="N4" s="10"/>
      <c r="O4" s="10"/>
    </row>
    <row r="5" spans="1:15" ht="15.5" thickBot="1" x14ac:dyDescent="0.9">
      <c r="B5" s="13" t="s">
        <v>19</v>
      </c>
      <c r="C5" s="15" t="s">
        <v>16</v>
      </c>
      <c r="E5" s="29" t="str">
        <f>CONCATENATE("Id: ",C5)</f>
        <v>Id: fhir</v>
      </c>
      <c r="H5" s="10"/>
      <c r="I5" s="10"/>
      <c r="J5" s="10"/>
      <c r="K5" s="10"/>
      <c r="L5" s="10"/>
      <c r="M5" s="10"/>
      <c r="N5" s="10"/>
      <c r="O5" s="10"/>
    </row>
    <row r="6" spans="1:15" ht="15.5" thickBot="1" x14ac:dyDescent="0.9">
      <c r="B6" s="13" t="s">
        <v>13</v>
      </c>
      <c r="C6" s="22" t="s">
        <v>326</v>
      </c>
      <c r="E6" s="29" t="str">
        <f>CONCATENATE("Title: ##34#",C6,"##34#")</f>
        <v>Title: ##34#eHN Lab model to FHIR R4 Map##34#</v>
      </c>
      <c r="H6" s="10"/>
      <c r="I6" s="10"/>
      <c r="J6" s="10"/>
      <c r="K6" s="10"/>
      <c r="L6" s="10"/>
      <c r="M6" s="10"/>
      <c r="N6" s="10"/>
      <c r="O6" s="10"/>
    </row>
    <row r="7" spans="1:15" ht="15.5" thickBot="1" x14ac:dyDescent="0.9">
      <c r="B7" s="13" t="s">
        <v>35</v>
      </c>
      <c r="C7" s="55" t="str">
        <f>B9</f>
        <v>LabReport</v>
      </c>
      <c r="E7" s="29" t="str">
        <f>CONCATENATE("Source: ",C7)</f>
        <v>Source: LabReport</v>
      </c>
      <c r="H7" s="10"/>
      <c r="I7" s="10"/>
      <c r="J7" s="10"/>
      <c r="K7" s="10"/>
      <c r="L7" s="10"/>
      <c r="M7" s="10"/>
      <c r="N7" s="10"/>
      <c r="O7" s="10"/>
    </row>
    <row r="8" spans="1:15" ht="15.5" thickBot="1" x14ac:dyDescent="0.9">
      <c r="B8" s="27" t="s">
        <v>18</v>
      </c>
      <c r="C8" s="1" t="s">
        <v>15</v>
      </c>
      <c r="E8" s="30" t="str">
        <f>CONCATENATE("Target: ##34#",C8,"##34#")</f>
        <v>Target: ##34#hl7.org/fhir/r4##34#</v>
      </c>
      <c r="H8" s="10"/>
      <c r="I8" s="10"/>
      <c r="J8" s="10"/>
      <c r="K8" s="10"/>
      <c r="L8" s="10"/>
      <c r="M8" s="10"/>
      <c r="N8" s="10"/>
      <c r="O8" s="10"/>
    </row>
    <row r="9" spans="1:15" x14ac:dyDescent="0.75">
      <c r="A9" s="9"/>
      <c r="B9" s="8" t="str">
        <f>Report!B5</f>
        <v>LabReport</v>
      </c>
      <c r="C9" s="4" t="s">
        <v>278</v>
      </c>
      <c r="E9" s="48" t="str">
        <f>CONCATENATE("* -&gt; ##34#",C9,"##34#")</f>
        <v>* -&gt; ##34#Bundle.conformsTo('http://hl7.eu/fhir/ig/xeh/StructureDefinition/Bundle-lab-xeh')##34#</v>
      </c>
      <c r="H9" s="10"/>
      <c r="I9" s="10"/>
      <c r="J9" s="10"/>
      <c r="K9" s="10"/>
      <c r="L9" s="10"/>
      <c r="M9" s="10"/>
      <c r="N9" s="10"/>
      <c r="O9" s="10"/>
    </row>
    <row r="10" spans="1:15" ht="29.5" x14ac:dyDescent="0.75">
      <c r="A10" s="9"/>
      <c r="B10" s="9" t="str">
        <f>Report!B8</f>
        <v>header</v>
      </c>
      <c r="C10" s="14" t="s">
        <v>277</v>
      </c>
      <c r="E10" s="14" t="str">
        <f t="shared" ref="E10:E35" si="0">IF(B10=0,"*  -&gt; ##34###34#",CONCATENATE("* ",B10," -&gt; ##34#",C10,"##34#"))</f>
        <v>* header -&gt; ##34#Composition.conformsTo('http://hl7.eu/fhir/ig/xeh/StructureDefinition/Composition-lab-xeh')##34#</v>
      </c>
      <c r="H10" s="10"/>
      <c r="I10" s="10"/>
      <c r="J10" s="10"/>
      <c r="K10" s="10"/>
      <c r="L10" s="10"/>
      <c r="M10" s="10"/>
      <c r="N10" s="10"/>
      <c r="O10" s="10"/>
    </row>
    <row r="11" spans="1:15" x14ac:dyDescent="0.75">
      <c r="A11" s="9"/>
      <c r="B11" s="9" t="str">
        <f>Report!B9</f>
        <v>header.subject</v>
      </c>
      <c r="C11" s="14" t="s">
        <v>279</v>
      </c>
      <c r="E11" s="14" t="str">
        <f t="shared" si="0"/>
        <v>* header.subject -&gt; ##34#Composition.subject##34#</v>
      </c>
      <c r="H11" s="10"/>
      <c r="I11" s="10"/>
      <c r="J11" s="10"/>
      <c r="K11" s="10"/>
      <c r="L11" s="10"/>
      <c r="M11" s="10"/>
      <c r="N11" s="10"/>
      <c r="O11" s="10"/>
    </row>
    <row r="12" spans="1:15" ht="29.5" x14ac:dyDescent="0.75">
      <c r="A12" s="9"/>
      <c r="B12" s="9" t="str">
        <f>Report!B10</f>
        <v>header.payer</v>
      </c>
      <c r="C12" s="14" t="s">
        <v>633</v>
      </c>
      <c r="E12" s="14" t="str">
        <f t="shared" si="0"/>
        <v>* header.payer -&gt; ##34#ServiceRequest.conformsTo('http://hl7.eu/fhir/ig/xeh/StructureDefinition/ServiceRequest-lab-xeh').insurance.resolve()##34#</v>
      </c>
      <c r="H12" s="10"/>
      <c r="I12" s="10"/>
      <c r="J12" s="10"/>
      <c r="K12" s="10"/>
      <c r="L12" s="10"/>
      <c r="M12" s="10"/>
      <c r="N12" s="10"/>
      <c r="O12" s="10"/>
    </row>
    <row r="13" spans="1:15" ht="29.5" x14ac:dyDescent="0.75">
      <c r="A13" s="9"/>
      <c r="B13" s="9" t="str">
        <f>Report!B11</f>
        <v>header.informationRecipient</v>
      </c>
      <c r="C13" s="14" t="s">
        <v>666</v>
      </c>
      <c r="E13" s="14" t="str">
        <f t="shared" si="0"/>
        <v>* header.informationRecipient -&gt; ##34#.extension('http://hl7.org/fhir/StructureDefinition/cqf-receivingOrganization') [TBD]##34#</v>
      </c>
      <c r="H13" s="10"/>
      <c r="I13" s="10"/>
      <c r="J13" s="10"/>
      <c r="K13" s="10"/>
      <c r="L13" s="10"/>
      <c r="M13" s="10"/>
      <c r="N13" s="10"/>
      <c r="O13" s="10"/>
    </row>
    <row r="14" spans="1:15" x14ac:dyDescent="0.75">
      <c r="A14" s="9"/>
      <c r="B14" s="9" t="str">
        <f>Report!B12</f>
        <v>header.author</v>
      </c>
      <c r="C14" s="14" t="s">
        <v>407</v>
      </c>
      <c r="E14" s="14" t="str">
        <f t="shared" si="0"/>
        <v>* header.author -&gt; ##34#Composition.author##34#</v>
      </c>
      <c r="H14" s="10"/>
      <c r="I14" s="10"/>
      <c r="J14" s="10"/>
      <c r="K14" s="10"/>
      <c r="L14" s="10"/>
      <c r="M14" s="10"/>
      <c r="N14" s="10"/>
      <c r="O14" s="10"/>
    </row>
    <row r="15" spans="1:15" ht="29.5" x14ac:dyDescent="0.75">
      <c r="A15" s="9"/>
      <c r="B15" s="9" t="str">
        <f>Report!B13</f>
        <v>header.legalAuthenticator</v>
      </c>
      <c r="C15" s="14" t="s">
        <v>408</v>
      </c>
      <c r="E15" s="14" t="str">
        <f t="shared" si="0"/>
        <v>* header.legalAuthenticator -&gt; ##34#Composition.attester.where(mode=http://hl7.org/fhir/composition-attestation-mode#legal)##34#</v>
      </c>
      <c r="H15" s="10"/>
      <c r="I15" s="10"/>
      <c r="J15" s="10"/>
      <c r="K15" s="10"/>
      <c r="L15" s="10"/>
      <c r="M15" s="10"/>
      <c r="N15" s="10"/>
      <c r="O15" s="10"/>
    </row>
    <row r="16" spans="1:15" ht="29.5" x14ac:dyDescent="0.75">
      <c r="A16" s="9"/>
      <c r="B16" s="9" t="str">
        <f>Report!B14</f>
        <v>header.validator</v>
      </c>
      <c r="C16" s="14" t="s">
        <v>409</v>
      </c>
      <c r="E16" s="14" t="str">
        <f t="shared" si="0"/>
        <v>* header.validator -&gt; ##34#Composition.attester.where(mode=http://hl7.org/fhir/composition-attestation-mode#professional)##34#</v>
      </c>
      <c r="H16" s="10"/>
      <c r="I16" s="10"/>
      <c r="J16" s="10"/>
      <c r="K16" s="10"/>
      <c r="L16" s="10"/>
      <c r="M16" s="10"/>
      <c r="N16" s="10"/>
      <c r="O16" s="10"/>
    </row>
    <row r="17" spans="1:5" x14ac:dyDescent="0.75">
      <c r="A17" s="9"/>
      <c r="B17" s="9" t="str">
        <f>Report!B15</f>
        <v>header.metadata</v>
      </c>
      <c r="C17" s="14" t="s">
        <v>285</v>
      </c>
      <c r="E17" s="14" t="str">
        <f t="shared" si="0"/>
        <v>* header.metadata -&gt; ##34#Composition##34#</v>
      </c>
    </row>
    <row r="18" spans="1:5" x14ac:dyDescent="0.75">
      <c r="A18" s="9"/>
      <c r="B18" s="9" t="str">
        <f>Report!B16</f>
        <v>header.metadata.type</v>
      </c>
      <c r="C18" s="14" t="s">
        <v>284</v>
      </c>
      <c r="E18" s="14" t="str">
        <f t="shared" si="0"/>
        <v>* header.metadata.type -&gt; ##34#Composition.type##34#</v>
      </c>
    </row>
    <row r="19" spans="1:5" x14ac:dyDescent="0.75">
      <c r="A19" s="9"/>
      <c r="B19" s="9" t="str">
        <f>Report!B17</f>
        <v>header.metadata.status</v>
      </c>
      <c r="C19" s="14" t="s">
        <v>281</v>
      </c>
      <c r="E19" s="14" t="str">
        <f t="shared" si="0"/>
        <v>* header.metadata.status -&gt; ##34#Composition.status##34#</v>
      </c>
    </row>
    <row r="20" spans="1:5" x14ac:dyDescent="0.75">
      <c r="A20" s="9"/>
      <c r="B20" s="9" t="str">
        <f>Report!B18</f>
        <v>header.metadata.dateTime</v>
      </c>
      <c r="C20" s="14" t="s">
        <v>280</v>
      </c>
      <c r="E20" s="14" t="str">
        <f t="shared" si="0"/>
        <v>* header.metadata.dateTime -&gt; ##34#Bundle.timestamp##34#</v>
      </c>
    </row>
    <row r="21" spans="1:5" x14ac:dyDescent="0.75">
      <c r="B21" s="9" t="str">
        <f>Report!B19</f>
        <v>header.metadata.title</v>
      </c>
      <c r="C21" s="14" t="s">
        <v>282</v>
      </c>
      <c r="E21" s="14" t="str">
        <f t="shared" si="0"/>
        <v>* header.metadata.title -&gt; ##34#Composition.title##34#</v>
      </c>
    </row>
    <row r="22" spans="1:5" x14ac:dyDescent="0.75">
      <c r="B22" s="9" t="str">
        <f>Report!B20</f>
        <v>header.metadata.custodian</v>
      </c>
      <c r="C22" s="14" t="s">
        <v>283</v>
      </c>
      <c r="E22" s="14" t="str">
        <f t="shared" si="0"/>
        <v>* header.metadata.custodian -&gt; ##34#Composition.custodian##34#</v>
      </c>
    </row>
    <row r="23" spans="1:5" ht="29.5" x14ac:dyDescent="0.75">
      <c r="B23" s="62" t="str">
        <f>Report!B21</f>
        <v>order</v>
      </c>
      <c r="C23" s="14" t="s">
        <v>339</v>
      </c>
      <c r="E23" s="14" t="str">
        <f t="shared" si="0"/>
        <v>* order -&gt; ##34#Composition.extension('http://hl7.eu/fhir/ig/xeh/StructureDefinition/composition-basedOn-order-or-requisition').valueReference.resolve()##34#</v>
      </c>
    </row>
    <row r="24" spans="1:5" ht="29.5" x14ac:dyDescent="0.75">
      <c r="B24" s="62" t="str">
        <f>Report!B21</f>
        <v>order</v>
      </c>
      <c r="C24" s="14" t="s">
        <v>634</v>
      </c>
      <c r="E24" s="14" t="str">
        <f t="shared" si="0"/>
        <v>* order -&gt; ##34#Composition.extension('http://hl7.eu/fhir/ig/xeh/StructureDefinition/composition-basedOn-order-or-requisition').valueIdentifier##34#</v>
      </c>
    </row>
    <row r="25" spans="1:5" ht="59" x14ac:dyDescent="0.75">
      <c r="B25" s="62" t="str">
        <f>Report!B21</f>
        <v>order</v>
      </c>
      <c r="C25" s="14" t="s">
        <v>643</v>
      </c>
      <c r="E25" s="14" t="str">
        <f t="shared" si="0"/>
        <v>* order -&gt; ##34#DiagnosticReport.conformsTo('http://hl7.eu/fhir/ig/xeh/StructureDefinition/DiagnosticReport-lab-xeh').basedOn.extension('http://hl7.eu/fhir/ig/xeh/StructureDefinition/diagnostic-report-basedOn-requisition').valueIdentifier##34#</v>
      </c>
    </row>
    <row r="26" spans="1:5" ht="29.5" x14ac:dyDescent="0.75">
      <c r="B26" s="62" t="str">
        <f>Report!B21</f>
        <v>order</v>
      </c>
      <c r="C26" s="14" t="s">
        <v>642</v>
      </c>
      <c r="E26" s="14" t="str">
        <f t="shared" si="0"/>
        <v>* order -&gt; ##34#DiagnosticReport.conformsTo('http://hl7.eu/fhir/ig/xeh/StructureDefinition/DiagnosticReport-lab-xeh').basedOn.resolve()##34#</v>
      </c>
    </row>
    <row r="27" spans="1:5" ht="29.5" x14ac:dyDescent="0.75">
      <c r="B27" s="9" t="str">
        <f>Report!B22</f>
        <v>specimen</v>
      </c>
      <c r="C27" s="14" t="s">
        <v>340</v>
      </c>
      <c r="E27" s="14" t="str">
        <f t="shared" si="0"/>
        <v>* specimen -&gt; ##34#Observation.conformsTo('http://hl7.eu/fhir/ig/xeh/StructureDefinition/Observation-results-laboratory-eu-xeh').specimen.resolve()##34#</v>
      </c>
    </row>
    <row r="28" spans="1:5" ht="29.5" x14ac:dyDescent="0.75">
      <c r="B28" s="9" t="str">
        <f>Report!B22</f>
        <v>specimen</v>
      </c>
      <c r="C28" s="14" t="s">
        <v>640</v>
      </c>
      <c r="E28" s="14" t="str">
        <f t="shared" si="0"/>
        <v>* specimen -&gt; ##34#DiagnosticReport.conformsTo('http://hl7.eu/fhir/ig/xeh/StructureDefinition/DiagnosticReport-lab-xeh').specimen.resolve()##34#</v>
      </c>
    </row>
    <row r="29" spans="1:5" x14ac:dyDescent="0.75">
      <c r="B29" s="62" t="str">
        <f>Report!$B$23</f>
        <v>result</v>
      </c>
      <c r="C29" s="14" t="s">
        <v>592</v>
      </c>
      <c r="E29" s="14" t="str">
        <f t="shared" si="0"/>
        <v>* result -&gt; ##34#Composition.section:no-subsections.entry.resolve()##34#</v>
      </c>
    </row>
    <row r="30" spans="1:5" x14ac:dyDescent="0.75">
      <c r="B30" s="62" t="str">
        <f>Report!$B$23</f>
        <v>result</v>
      </c>
      <c r="C30" s="14" t="s">
        <v>593</v>
      </c>
      <c r="E30" s="14" t="str">
        <f t="shared" si="0"/>
        <v>* result -&gt; ##34#Composition.section:subsections.section.entry.resolve()##34#</v>
      </c>
    </row>
    <row r="31" spans="1:5" ht="29.5" x14ac:dyDescent="0.75">
      <c r="B31" s="62" t="str">
        <f>Report!$B$23</f>
        <v>result</v>
      </c>
      <c r="C31" s="14" t="s">
        <v>641</v>
      </c>
      <c r="E31" s="14" t="str">
        <f t="shared" si="0"/>
        <v>* result -&gt; ##34#DiagnosticReport.conformsTo('http://hl7.eu/fhir/ig/xeh/StructureDefinition/DiagnosticReport-lab-xeh').result.resolve()##34#</v>
      </c>
    </row>
    <row r="32" spans="1:5" x14ac:dyDescent="0.75">
      <c r="B32" s="9">
        <f>Report!B26</f>
        <v>0</v>
      </c>
      <c r="C32" s="14"/>
      <c r="E32" s="14" t="str">
        <f t="shared" si="0"/>
        <v>*  -&gt; ##34###34#</v>
      </c>
    </row>
    <row r="33" spans="2:5" x14ac:dyDescent="0.75">
      <c r="B33" s="9">
        <f>Report!B27</f>
        <v>0</v>
      </c>
      <c r="E33" s="14" t="str">
        <f t="shared" si="0"/>
        <v>*  -&gt; ##34###34#</v>
      </c>
    </row>
    <row r="34" spans="2:5" x14ac:dyDescent="0.75">
      <c r="B34" s="9">
        <f>Report!B28</f>
        <v>0</v>
      </c>
      <c r="E34" s="14" t="str">
        <f t="shared" si="0"/>
        <v>*  -&gt; ##34###34#</v>
      </c>
    </row>
    <row r="35" spans="2:5" x14ac:dyDescent="0.75">
      <c r="B35" s="9">
        <f>Report!B29</f>
        <v>0</v>
      </c>
      <c r="E35" s="14" t="str">
        <f t="shared" si="0"/>
        <v>*  -&gt; ##34###34#</v>
      </c>
    </row>
    <row r="36" spans="2:5" x14ac:dyDescent="0.75">
      <c r="B36" s="9">
        <f>Report!B30</f>
        <v>0</v>
      </c>
    </row>
    <row r="37" spans="2:5" x14ac:dyDescent="0.75">
      <c r="B37" s="9">
        <f>Report!B31</f>
        <v>0</v>
      </c>
    </row>
    <row r="38" spans="2:5" x14ac:dyDescent="0.75">
      <c r="B38" s="9">
        <f>Report!B32</f>
        <v>0</v>
      </c>
    </row>
    <row r="39" spans="2:5" x14ac:dyDescent="0.75">
      <c r="B39" s="9">
        <f>Report!B35</f>
        <v>0</v>
      </c>
    </row>
    <row r="40" spans="2:5" x14ac:dyDescent="0.75">
      <c r="B40" s="9">
        <f>Report!B36</f>
        <v>0</v>
      </c>
    </row>
    <row r="41" spans="2:5" x14ac:dyDescent="0.75">
      <c r="B41" s="9">
        <f>Report!B37</f>
        <v>0</v>
      </c>
      <c r="E41" s="1" t="s">
        <v>341</v>
      </c>
    </row>
    <row r="42" spans="2:5" x14ac:dyDescent="0.75">
      <c r="B42" s="9">
        <f>Report!B38</f>
        <v>0</v>
      </c>
    </row>
    <row r="43" spans="2:5" x14ac:dyDescent="0.75">
      <c r="B43" s="9">
        <f>Report!B35</f>
        <v>0</v>
      </c>
    </row>
    <row r="44" spans="2:5" x14ac:dyDescent="0.75">
      <c r="B44" s="9">
        <f>Report!B38</f>
        <v>0</v>
      </c>
    </row>
    <row r="45" spans="2:5" x14ac:dyDescent="0.75">
      <c r="B45" s="9">
        <f>Report!B39</f>
        <v>0</v>
      </c>
    </row>
    <row r="46" spans="2:5" x14ac:dyDescent="0.75">
      <c r="B46" s="9">
        <f>Report!B40</f>
        <v>0</v>
      </c>
    </row>
    <row r="47" spans="2:5" x14ac:dyDescent="0.75">
      <c r="B47" s="9">
        <f>Report!B41</f>
        <v>0</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2C0F41-1152-4DFF-9CD8-BC89965887DB}">
  <sheetPr codeName="Foglio16">
    <tabColor theme="8" tint="-0.249977111117893"/>
  </sheetPr>
  <dimension ref="C1:G112"/>
  <sheetViews>
    <sheetView workbookViewId="0"/>
  </sheetViews>
  <sheetFormatPr defaultRowHeight="14.75" x14ac:dyDescent="0.75"/>
  <cols>
    <col min="3" max="3" width="108.2265625" style="14" customWidth="1"/>
    <col min="7" max="7" width="29.54296875" customWidth="1"/>
  </cols>
  <sheetData>
    <row r="1" spans="3:7" ht="15.5" thickBot="1" x14ac:dyDescent="0.9">
      <c r="C1" s="32" t="str">
        <f>Report!J1</f>
        <v>// -------------------------------------------------------------------------------</v>
      </c>
    </row>
    <row r="2" spans="3:7" ht="16.75" thickBot="1" x14ac:dyDescent="0.9">
      <c r="C2" s="33" t="str">
        <f>Report!J2</f>
        <v>//  Logical Model</v>
      </c>
      <c r="G2" s="56" t="s">
        <v>362</v>
      </c>
    </row>
    <row r="3" spans="3:7" x14ac:dyDescent="0.75">
      <c r="C3" s="33" t="str">
        <f>Report!J3</f>
        <v>// -------------------------------------------------------------------------------</v>
      </c>
    </row>
    <row r="4" spans="3:7" x14ac:dyDescent="0.75">
      <c r="C4" s="25" t="str">
        <f>Report!J4</f>
        <v>Logical: LabReportEhn</v>
      </c>
    </row>
    <row r="5" spans="3:7" x14ac:dyDescent="0.75">
      <c r="C5" s="25" t="str">
        <f>Report!J5</f>
        <v>Id: LabReport</v>
      </c>
    </row>
    <row r="6" spans="3:7" x14ac:dyDescent="0.75">
      <c r="C6" s="25" t="str">
        <f>Report!J6</f>
        <v>Title: ##34#A - Laboratory Report##34#</v>
      </c>
    </row>
    <row r="7" spans="3:7" x14ac:dyDescent="0.75">
      <c r="C7" s="25" t="str">
        <f>Report!J7</f>
        <v>Description:  ##334#Laboratory Report##334#</v>
      </c>
    </row>
    <row r="8" spans="3:7" x14ac:dyDescent="0.75">
      <c r="C8" s="14" t="str">
        <f>IF(Report!J8="*  ..  ##34###34# ##334###334#","//--- END",Report!J8)</f>
        <v>* header 1..1 BackboneElement ##34#A.1 Report header data elements##34# ##334#A.1 Report header data elements##334#</v>
      </c>
    </row>
    <row r="9" spans="3:7" ht="29.5" x14ac:dyDescent="0.75">
      <c r="C9" s="14" t="str">
        <f>IF(Report!J9="*  ..  ##34###34# ##334###334#","//--- END",Report!J9)</f>
        <v>* header.subject 1..1 http://hl7.eu/fhir/ig/xeh/StructureDefinition/Subject ##34#A.1.1 - A1.2 Patient/subject##34# ##334#A.1.1 Identification of the patient/subject and A.1.2 Patient/subject related contact information  ##334#</v>
      </c>
    </row>
    <row r="10" spans="3:7" ht="29.5" x14ac:dyDescent="0.75">
      <c r="C10" s="14" t="str">
        <f>IF(Report!J10="*  ..  ##34###34# ##334###334#","//--- END",Report!J10)</f>
        <v>* header.payer 0..1 http://hl7.eu/fhir/ig/xeh/StructureDefinition/Payer ##34#A.1.3 Health insurance and payment information##34# ##334#A.1.3 Health insurance and payment information##334#</v>
      </c>
    </row>
    <row r="11" spans="3:7" ht="44.25" x14ac:dyDescent="0.75">
      <c r="C11" s="14" t="str">
        <f>IF(Report!J11="*  ..  ##34###34# ##334###334#","//--- END",Report!J11)</f>
        <v>* header.informationRecipient 0..1 http://hl7.eu/fhir/ig/xeh/StructureDefinition/Recipient ##34#A.1.4 Information recipient##34# ##334#A.1.4 Information recipient (intended recipient or recipients of the report, additional recipients might be identified by the ordering party, e.g. GP, other specialist), if applicable##334#</v>
      </c>
    </row>
    <row r="12" spans="3:7" ht="29.5" x14ac:dyDescent="0.75">
      <c r="C12" s="14" t="str">
        <f>IF(Report!J12="*  ..  ##34###34# ##334###334#","//--- END",Report!J12)</f>
        <v>* header.author 0..* http://hl7.eu/fhir/ig/xeh/StructureDefinition/Author ##34#A.1.5 Author##34# ##334#A.1.5 Author (by whom the Laboratory result report or a subset of its results was authored)##334#</v>
      </c>
    </row>
    <row r="13" spans="3:7" ht="44.25" x14ac:dyDescent="0.75">
      <c r="C13" s="14" t="str">
        <f>IF(Report!J13="*  ..  ##34###34# ##334###334#","//--- END",Report!J13)</f>
        <v>* header.legalAuthenticator 0..* http://hl7.eu/fhir/ig/xeh/StructureDefinition/LegalAuthenticator ##34#A.1.6 Legal authenticator##34# ##334#A.1.6 Legal authenticator (The person taking responsibility for the medical content of the document)##334#</v>
      </c>
    </row>
    <row r="14" spans="3:7" ht="29.5" x14ac:dyDescent="0.75">
      <c r="C14" s="14" t="str">
        <f>IF(Report!J14="*  ..  ##34###34# ##334###334#","//--- END",Report!J14)</f>
        <v>* header.validator 0..* http://hl7.eu/fhir/ig/xeh/StructureDefinition/Validator ##34#A.1.7 Result validator##34# ##334#A.1.7 Result validator##334#</v>
      </c>
    </row>
    <row r="15" spans="3:7" ht="29.5" x14ac:dyDescent="0.75">
      <c r="C15" s="14" t="str">
        <f>IF(Report!J15="*  ..  ##34###34# ##334###334#","//--- END",Report!J15)</f>
        <v>* header.metadata 1..1 BackboneElement ##34#A.1.8 Laboratory report metadata##34# ##334#A.1.8 Laboratory report metadata##334#</v>
      </c>
    </row>
    <row r="16" spans="3:7" ht="29.5" x14ac:dyDescent="0.75">
      <c r="C16" s="14" t="str">
        <f>IF(Report!J16="*  ..  ##34###34# ##334###334#","//--- END",Report!J16)</f>
        <v>* header.metadata.type 1..1 CodeableConcept ##34#A.1.8.1 Document type##34# ##334#A coded type of the document. Fixed value "Laboratory report" - Preferred system(s): LOINC##334#</v>
      </c>
    </row>
    <row r="17" spans="3:3" ht="29.5" x14ac:dyDescent="0.75">
      <c r="C17" s="14" t="str">
        <f>IF(Report!J17="*  ..  ##34###34# ##334###334#","//--- END",Report!J17)</f>
        <v>* header.metadata.status 1..1 CodeableConcept ##34#A.1.8.2 Document status##34# ##334#The status of the laboratory test result report. E.g., preliminary, final. - Preferred system(s): hl7:DiagnosticReportStatus##334#</v>
      </c>
    </row>
    <row r="18" spans="3:3" ht="29.5" x14ac:dyDescent="0.75">
      <c r="C18" s="14" t="str">
        <f>IF(Report!J18="*  ..  ##34###34# ##334###334#","//--- END",Report!J18)</f>
        <v>* header.metadata.dateTime 1..1 dateTime ##34#A.1.8.3 Report date and time##34# ##334#Date and time of the result report creation. - Preferred system(s): ISO 8601##334#</v>
      </c>
    </row>
    <row r="19" spans="3:3" ht="29.5" x14ac:dyDescent="0.75">
      <c r="C19" s="14" t="str">
        <f>IF(Report!J19="*  ..  ##34###34# ##334###334#","//--- END",Report!J19)</f>
        <v>* header.metadata.title 0..1 string ##34#A.1.8.4 Document title##34# ##334#Document title, e.g. "Laboratory Result report" - Preferred system(s): ##334#</v>
      </c>
    </row>
    <row r="20" spans="3:3" ht="29.5" x14ac:dyDescent="0.75">
      <c r="C20" s="14" t="str">
        <f>IF(Report!J20="*  ..  ##34###34# ##334###334#","//--- END",Report!J20)</f>
        <v>* header.metadata.custodian 0..1 BackboneElement ##34#A.1.8.5 Report custodian##34# ##334#Organisation that is in charge of maintaining the laboratory report - Preferred system(s): ##334#</v>
      </c>
    </row>
    <row r="21" spans="3:3" ht="59" x14ac:dyDescent="0.75">
      <c r="C21" s="14" t="str">
        <f>IF(Report!J21="*  ..  ##34###34# ##334###334#","//--- END",Report!J21)</f>
        <v>* order 0..* http://hl7.eu/fhir/ig/xeh/StructureDefinition/Order ##34#A.2-A.3 Order##34# ##334#A.2 Order information (Laboratory Result Report could respond to multiple test orders)
A.3 Order reason (Laboratory Result Report could respond to multiple reasons)
##334#</v>
      </c>
    </row>
    <row r="22" spans="3:3" ht="29.5" x14ac:dyDescent="0.75">
      <c r="C22" s="14" t="str">
        <f>IF(Report!J22="*  ..  ##34###34# ##334###334#","//--- END",Report!J22)</f>
        <v>* specimen 0..* http://hl7.eu/fhir/ig/xeh/StructureDefinition/SpecimenLab ##34#A.4 Specimen information##34# ##334#A.4 Specimen information##334#</v>
      </c>
    </row>
    <row r="23" spans="3:3" ht="29.5" x14ac:dyDescent="0.75">
      <c r="C23" s="14" t="str">
        <f>IF(Report!J23="*  ..  ##34###34# ##334###334#","//--- END",Report!J23)</f>
        <v>* result 0..* http://hl7.eu/fhir/ig/xeh/StructureDefinition/Result ##34#A.5 Results data elements##34# ##334#A.5 Results data elements##334#</v>
      </c>
    </row>
    <row r="24" spans="3:3" x14ac:dyDescent="0.75">
      <c r="C24" s="14" t="str">
        <f>IF(Report!J24="*  ..  ##34###34# ##334###334#","//--- END",Report!J24)</f>
        <v>//--- END</v>
      </c>
    </row>
    <row r="25" spans="3:3" x14ac:dyDescent="0.75">
      <c r="C25" s="14" t="str">
        <f>IF(Report!J25="*  ..  ##34###34# ##334###334#","//--- END",Report!J25)</f>
        <v>//--- END</v>
      </c>
    </row>
    <row r="26" spans="3:3" x14ac:dyDescent="0.75">
      <c r="C26" s="14" t="str">
        <f>IF(Report!J26="*  ..  ##34###34# ##334###334#","//--- END",Report!J26)</f>
        <v>//--- END</v>
      </c>
    </row>
    <row r="35" spans="3:3" x14ac:dyDescent="0.75">
      <c r="C35" s="32" t="s">
        <v>646</v>
      </c>
    </row>
    <row r="36" spans="3:3" x14ac:dyDescent="0.75">
      <c r="C36" s="33" t="s">
        <v>36</v>
      </c>
    </row>
    <row r="37" spans="3:3" x14ac:dyDescent="0.75">
      <c r="C37" s="33" t="s">
        <v>646</v>
      </c>
    </row>
    <row r="38" spans="3:3" x14ac:dyDescent="0.75">
      <c r="C38" s="14" t="str">
        <f>IF(Report!L8="*  ..  ##34###34# ##334###334#","//--- END",Report!L8)</f>
        <v/>
      </c>
    </row>
    <row r="39" spans="3:3" x14ac:dyDescent="0.75">
      <c r="C39" s="14" t="str">
        <f>IF(Report!L9="*  ..  ##34###34# ##334###334#","//--- END",Report!L9)</f>
        <v/>
      </c>
    </row>
    <row r="40" spans="3:3" x14ac:dyDescent="0.75">
      <c r="C40" s="14" t="str">
        <f>IF(Report!L10="*  ..  ##34###34# ##334###334#","//--- END",Report!L10)</f>
        <v/>
      </c>
    </row>
    <row r="41" spans="3:3" x14ac:dyDescent="0.75">
      <c r="C41" s="14" t="str">
        <f>IF(Report!L11="*  ..  ##34###34# ##334###334#","//--- END",Report!L11)</f>
        <v/>
      </c>
    </row>
    <row r="42" spans="3:3" x14ac:dyDescent="0.75">
      <c r="C42" s="14" t="str">
        <f>IF(Report!L12="*  ..  ##34###34# ##334###334#","//--- END",Report!L12)</f>
        <v/>
      </c>
    </row>
    <row r="43" spans="3:3" x14ac:dyDescent="0.75">
      <c r="C43" s="14" t="str">
        <f>IF(Report!L13="*  ..  ##34###34# ##334###334#","//--- END",Report!L13)</f>
        <v/>
      </c>
    </row>
    <row r="44" spans="3:3" x14ac:dyDescent="0.75">
      <c r="C44" s="14" t="str">
        <f>IF(Report!L14="*  ..  ##34###34# ##334###334#","//--- END",Report!L14)</f>
        <v/>
      </c>
    </row>
    <row r="45" spans="3:3" x14ac:dyDescent="0.75">
      <c r="C45" s="14" t="str">
        <f>IF(Report!L15="*  ..  ##34###34# ##334###334#","//--- END",Report!L15)</f>
        <v/>
      </c>
    </row>
    <row r="46" spans="3:3" x14ac:dyDescent="0.75">
      <c r="C46" s="14" t="str">
        <f>IF(Report!L16="*  ..  ##34###34# ##334###334#","//--- END",Report!L16)</f>
        <v/>
      </c>
    </row>
    <row r="47" spans="3:3" x14ac:dyDescent="0.75">
      <c r="C47" s="14" t="str">
        <f>IF(Report!L17="*  ..  ##34###34# ##334###334#","//--- END",Report!L17)</f>
        <v/>
      </c>
    </row>
    <row r="48" spans="3:3" x14ac:dyDescent="0.75">
      <c r="C48" s="14" t="str">
        <f>IF(Report!L18="*  ..  ##34###34# ##334###334#","//--- END",Report!L18)</f>
        <v/>
      </c>
    </row>
    <row r="49" spans="3:3" x14ac:dyDescent="0.75">
      <c r="C49" s="14" t="str">
        <f>IF(Report!L19="*  ..  ##34###34# ##334###334#","//--- END",Report!L19)</f>
        <v/>
      </c>
    </row>
    <row r="50" spans="3:3" x14ac:dyDescent="0.75">
      <c r="C50" s="14" t="str">
        <f>IF(Report!L20="*  ..  ##34###34# ##334###334#","//--- END",Report!L20)</f>
        <v/>
      </c>
    </row>
    <row r="51" spans="3:3" x14ac:dyDescent="0.75">
      <c r="C51" s="14" t="str">
        <f>IF(Report!L21="*  ..  ##34###34# ##334###334#","//--- END",Report!L21)</f>
        <v/>
      </c>
    </row>
    <row r="52" spans="3:3" x14ac:dyDescent="0.75">
      <c r="C52" s="14" t="str">
        <f>IF(Report!L22="*  ..  ##34###34# ##334###334#","//--- END",Report!L22)</f>
        <v/>
      </c>
    </row>
    <row r="53" spans="3:3" x14ac:dyDescent="0.75">
      <c r="C53" s="14" t="str">
        <f>IF(Report!L23="*  ..  ##34###34# ##334###334#","//--- END",Report!L23)</f>
        <v/>
      </c>
    </row>
    <row r="54" spans="3:3" x14ac:dyDescent="0.75">
      <c r="C54" s="14" t="str">
        <f>IF(Report!L24="*  ..  ##34###34# ##334###334#","//--- END",Report!L24)</f>
        <v>//--- END</v>
      </c>
    </row>
    <row r="55" spans="3:3" x14ac:dyDescent="0.75">
      <c r="C55" s="14" t="str">
        <f>IF(Report!L25="*  ..  ##34###34# ##334###334#","//--- END",Report!L25)</f>
        <v>//--- END</v>
      </c>
    </row>
    <row r="56" spans="3:3" x14ac:dyDescent="0.75">
      <c r="C56" s="14" t="str">
        <f>IF(Report!L26="*  ..  ##34###34# ##334###334#","//--- END",Report!L26)</f>
        <v>//--- END</v>
      </c>
    </row>
    <row r="57" spans="3:3" x14ac:dyDescent="0.75">
      <c r="C57" s="14" t="str">
        <f>IF(Report!L27="*  ..  ##34###34# ##334###334#","//--- END",Report!L27)</f>
        <v/>
      </c>
    </row>
    <row r="58" spans="3:3" x14ac:dyDescent="0.75">
      <c r="C58" s="14" t="str">
        <f>IF(Report!L28="*  ..  ##34###34# ##334###334#","//--- END",Report!L28)</f>
        <v/>
      </c>
    </row>
    <row r="59" spans="3:3" x14ac:dyDescent="0.75">
      <c r="C59" s="14" t="str">
        <f>IF(Report!L29="*  ..  ##34###34# ##334###334#","//--- END",Report!L29)</f>
        <v/>
      </c>
    </row>
    <row r="77" spans="3:3" x14ac:dyDescent="0.75">
      <c r="C77" s="32" t="str">
        <f>'Report-Map-1'!E1</f>
        <v>// -------------------------------------------------------------------------------</v>
      </c>
    </row>
    <row r="78" spans="3:3" x14ac:dyDescent="0.75">
      <c r="C78" s="33" t="str">
        <f>'Report-Map-1'!E2</f>
        <v>//  Map to FHIR R4</v>
      </c>
    </row>
    <row r="79" spans="3:3" x14ac:dyDescent="0.75">
      <c r="C79" s="33" t="str">
        <f>'Report-Map-1'!E3</f>
        <v>// -------------------------------------------------------------------------------</v>
      </c>
    </row>
    <row r="80" spans="3:3" x14ac:dyDescent="0.75">
      <c r="C80" s="14" t="str">
        <f>'Report-Map-1'!E4</f>
        <v>Mapping: eHNLab2Fhir</v>
      </c>
    </row>
    <row r="81" spans="3:3" x14ac:dyDescent="0.75">
      <c r="C81" s="14" t="str">
        <f>'Report-Map-1'!E5</f>
        <v>Id: fhir</v>
      </c>
    </row>
    <row r="82" spans="3:3" x14ac:dyDescent="0.75">
      <c r="C82" s="14" t="str">
        <f>'Report-Map-1'!E6</f>
        <v>Title: ##34#eHN Lab model to FHIR R4 Map##34#</v>
      </c>
    </row>
    <row r="83" spans="3:3" x14ac:dyDescent="0.75">
      <c r="C83" s="14" t="str">
        <f>'Report-Map-1'!E7</f>
        <v>Source: LabReport</v>
      </c>
    </row>
    <row r="84" spans="3:3" x14ac:dyDescent="0.75">
      <c r="C84" s="14" t="str">
        <f>'Report-Map-1'!E8</f>
        <v>Target: ##34#hl7.org/fhir/r4##34#</v>
      </c>
    </row>
    <row r="86" spans="3:3" x14ac:dyDescent="0.75">
      <c r="C86" s="4" t="str">
        <f>'Report-Map-1'!E9</f>
        <v>* -&gt; ##34#Bundle.conformsTo('http://hl7.eu/fhir/ig/xeh/StructureDefinition/Bundle-lab-xeh')##34#</v>
      </c>
    </row>
    <row r="87" spans="3:3" x14ac:dyDescent="0.75">
      <c r="C87" s="14" t="str">
        <f>IF('Report-Map-1'!E10="*  -&gt; ##34###34#","// --END",'Report-Map-1'!E10)</f>
        <v>* header -&gt; ##34#Composition.conformsTo('http://hl7.eu/fhir/ig/xeh/StructureDefinition/Composition-lab-xeh')##34#</v>
      </c>
    </row>
    <row r="88" spans="3:3" x14ac:dyDescent="0.75">
      <c r="C88" s="14" t="str">
        <f>IF('Report-Map-1'!E11="*  -&gt; ##34###34#","// --END",'Report-Map-1'!E11)</f>
        <v>* header.subject -&gt; ##34#Composition.subject##34#</v>
      </c>
    </row>
    <row r="89" spans="3:3" ht="29.5" x14ac:dyDescent="0.75">
      <c r="C89" s="14" t="str">
        <f>IF('Report-Map-1'!E12="*  -&gt; ##34###34#","// --END",'Report-Map-1'!E12)</f>
        <v>* header.payer -&gt; ##34#ServiceRequest.conformsTo('http://hl7.eu/fhir/ig/xeh/StructureDefinition/ServiceRequest-lab-xeh').insurance.resolve()##34#</v>
      </c>
    </row>
    <row r="90" spans="3:3" ht="29.5" x14ac:dyDescent="0.75">
      <c r="C90" s="14" t="str">
        <f>IF('Report-Map-1'!E13="*  -&gt; ##34###34#","// --END",'Report-Map-1'!E13)</f>
        <v>* header.informationRecipient -&gt; ##34#.extension('http://hl7.org/fhir/StructureDefinition/cqf-receivingOrganization') [TBD]##34#</v>
      </c>
    </row>
    <row r="91" spans="3:3" x14ac:dyDescent="0.75">
      <c r="C91" s="14" t="str">
        <f>IF('Report-Map-1'!E14="*  -&gt; ##34###34#","// --END",'Report-Map-1'!E14)</f>
        <v>* header.author -&gt; ##34#Composition.author##34#</v>
      </c>
    </row>
    <row r="92" spans="3:3" ht="29.5" x14ac:dyDescent="0.75">
      <c r="C92" s="14" t="str">
        <f>IF('Report-Map-1'!E15="*  -&gt; ##34###34#","// --END",'Report-Map-1'!E15)</f>
        <v>* header.legalAuthenticator -&gt; ##34#Composition.attester.where(mode=http://hl7.org/fhir/composition-attestation-mode#legal)##34#</v>
      </c>
    </row>
    <row r="93" spans="3:3" ht="29.5" x14ac:dyDescent="0.75">
      <c r="C93" s="14" t="str">
        <f>IF('Report-Map-1'!E16="*  -&gt; ##34###34#","// --END",'Report-Map-1'!E16)</f>
        <v>* header.validator -&gt; ##34#Composition.attester.where(mode=http://hl7.org/fhir/composition-attestation-mode#professional)##34#</v>
      </c>
    </row>
    <row r="94" spans="3:3" x14ac:dyDescent="0.75">
      <c r="C94" s="14" t="str">
        <f>IF('Report-Map-1'!E17="*  -&gt; ##34###34#","// --END",'Report-Map-1'!E17)</f>
        <v>* header.metadata -&gt; ##34#Composition##34#</v>
      </c>
    </row>
    <row r="95" spans="3:3" x14ac:dyDescent="0.75">
      <c r="C95" s="14" t="str">
        <f>IF('Report-Map-1'!E18="*  -&gt; ##34###34#","// --END",'Report-Map-1'!E18)</f>
        <v>* header.metadata.type -&gt; ##34#Composition.type##34#</v>
      </c>
    </row>
    <row r="96" spans="3:3" x14ac:dyDescent="0.75">
      <c r="C96" s="14" t="str">
        <f>IF('Report-Map-1'!E19="*  -&gt; ##34###34#","// --END",'Report-Map-1'!E19)</f>
        <v>* header.metadata.status -&gt; ##34#Composition.status##34#</v>
      </c>
    </row>
    <row r="97" spans="3:3" x14ac:dyDescent="0.75">
      <c r="C97" s="14" t="str">
        <f>IF('Report-Map-1'!E20="*  -&gt; ##34###34#","// --END",'Report-Map-1'!E20)</f>
        <v>* header.metadata.dateTime -&gt; ##34#Bundle.timestamp##34#</v>
      </c>
    </row>
    <row r="98" spans="3:3" x14ac:dyDescent="0.75">
      <c r="C98" s="14" t="str">
        <f>IF('Report-Map-1'!E21="*  -&gt; ##34###34#","// --END",'Report-Map-1'!E21)</f>
        <v>* header.metadata.title -&gt; ##34#Composition.title##34#</v>
      </c>
    </row>
    <row r="99" spans="3:3" x14ac:dyDescent="0.75">
      <c r="C99" s="14" t="str">
        <f>IF('Report-Map-1'!E22="*  -&gt; ##34###34#","// --END",'Report-Map-1'!E22)</f>
        <v>* header.metadata.custodian -&gt; ##34#Composition.custodian##34#</v>
      </c>
    </row>
    <row r="100" spans="3:3" ht="29.5" x14ac:dyDescent="0.75">
      <c r="C100" s="14" t="str">
        <f>IF('Report-Map-1'!E23="*  -&gt; ##34###34#","// --END",'Report-Map-1'!E23)</f>
        <v>* order -&gt; ##34#Composition.extension('http://hl7.eu/fhir/ig/xeh/StructureDefinition/composition-basedOn-order-or-requisition').valueReference.resolve()##34#</v>
      </c>
    </row>
    <row r="101" spans="3:3" ht="29.5" x14ac:dyDescent="0.75">
      <c r="C101" s="14" t="str">
        <f>IF('Report-Map-1'!E24="*  -&gt; ##34###34#","// --END",'Report-Map-1'!E24)</f>
        <v>* order -&gt; ##34#Composition.extension('http://hl7.eu/fhir/ig/xeh/StructureDefinition/composition-basedOn-order-or-requisition').valueIdentifier##34#</v>
      </c>
    </row>
    <row r="102" spans="3:3" ht="44.25" x14ac:dyDescent="0.75">
      <c r="C102" s="14" t="str">
        <f>IF('Report-Map-1'!E25="*  -&gt; ##34###34#","// --END",'Report-Map-1'!E25)</f>
        <v>* order -&gt; ##34#DiagnosticReport.conformsTo('http://hl7.eu/fhir/ig/xeh/StructureDefinition/DiagnosticReport-lab-xeh').basedOn.extension('http://hl7.eu/fhir/ig/xeh/StructureDefinition/diagnostic-report-basedOn-requisition').valueIdentifier##34#</v>
      </c>
    </row>
    <row r="103" spans="3:3" ht="29.5" x14ac:dyDescent="0.75">
      <c r="C103" s="14" t="str">
        <f>IF('Report-Map-1'!E26="*  -&gt; ##34###34#","// --END",'Report-Map-1'!E26)</f>
        <v>* order -&gt; ##34#DiagnosticReport.conformsTo('http://hl7.eu/fhir/ig/xeh/StructureDefinition/DiagnosticReport-lab-xeh').basedOn.resolve()##34#</v>
      </c>
    </row>
    <row r="104" spans="3:3" ht="29.5" x14ac:dyDescent="0.75">
      <c r="C104" s="14" t="str">
        <f>IF('Report-Map-1'!E27="*  -&gt; ##34###34#","// --END",'Report-Map-1'!E27)</f>
        <v>* specimen -&gt; ##34#Observation.conformsTo('http://hl7.eu/fhir/ig/xeh/StructureDefinition/Observation-results-laboratory-eu-xeh').specimen.resolve()##34#</v>
      </c>
    </row>
    <row r="105" spans="3:3" ht="29.5" x14ac:dyDescent="0.75">
      <c r="C105" s="14" t="str">
        <f>IF('Report-Map-1'!E28="*  -&gt; ##34###34#","// --END",'Report-Map-1'!E28)</f>
        <v>* specimen -&gt; ##34#DiagnosticReport.conformsTo('http://hl7.eu/fhir/ig/xeh/StructureDefinition/DiagnosticReport-lab-xeh').specimen.resolve()##34#</v>
      </c>
    </row>
    <row r="106" spans="3:3" x14ac:dyDescent="0.75">
      <c r="C106" s="14" t="str">
        <f>IF('Report-Map-1'!E29="*  -&gt; ##34###34#","// --END",'Report-Map-1'!E29)</f>
        <v>* result -&gt; ##34#Composition.section:no-subsections.entry.resolve()##34#</v>
      </c>
    </row>
    <row r="107" spans="3:3" x14ac:dyDescent="0.75">
      <c r="C107" s="14" t="str">
        <f>IF('Report-Map-1'!E30="*  -&gt; ##34###34#","// --END",'Report-Map-1'!E30)</f>
        <v>* result -&gt; ##34#Composition.section:subsections.section.entry.resolve()##34#</v>
      </c>
    </row>
    <row r="108" spans="3:3" ht="29.5" x14ac:dyDescent="0.75">
      <c r="C108" s="14" t="str">
        <f>IF('Report-Map-1'!E31="*  -&gt; ##34###34#","// --END",'Report-Map-1'!E31)</f>
        <v>* result -&gt; ##34#DiagnosticReport.conformsTo('http://hl7.eu/fhir/ig/xeh/StructureDefinition/DiagnosticReport-lab-xeh').result.resolve()##34#</v>
      </c>
    </row>
    <row r="109" spans="3:3" x14ac:dyDescent="0.75">
      <c r="C109" s="14" t="str">
        <f>IF('Report-Map-1'!E32="*  -&gt; ##34###34#","// --END",'Report-Map-1'!E32)</f>
        <v>// --END</v>
      </c>
    </row>
    <row r="110" spans="3:3" x14ac:dyDescent="0.75">
      <c r="C110" s="14" t="str">
        <f>IF('Report-Map-1'!E33="*  -&gt; ##34###34#","// --END",'Report-Map-1'!E33)</f>
        <v>// --END</v>
      </c>
    </row>
    <row r="111" spans="3:3" x14ac:dyDescent="0.75">
      <c r="C111" s="14" t="str">
        <f>IF('Report-Map-1'!E34="*  -&gt; ##34###34#","// --END",'Report-Map-1'!E34)</f>
        <v>// --END</v>
      </c>
    </row>
    <row r="112" spans="3:3" x14ac:dyDescent="0.75">
      <c r="C112" s="14" t="str">
        <f>IF('Report-Map-1'!E35="*  -&gt; ##34###34#","// --END",'Report-Map-1'!E35)</f>
        <v>// --END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5602" r:id="rId4" name="Button 2">
              <controlPr defaultSize="0" print="0" autoFill="0" autoPict="0" macro="[0]!export">
                <anchor moveWithCells="1">
                  <from>
                    <xdr:col>2</xdr:col>
                    <xdr:colOff>444500</xdr:colOff>
                    <xdr:row>86</xdr:row>
                    <xdr:rowOff>171450</xdr:rowOff>
                  </from>
                  <to>
                    <xdr:col>2</xdr:col>
                    <xdr:colOff>1117600</xdr:colOff>
                    <xdr:row>88</xdr:row>
                    <xdr:rowOff>88900</xdr:rowOff>
                  </to>
                </anchor>
              </controlPr>
            </control>
          </mc:Choice>
        </mc:AlternateContent>
        <mc:AlternateContent xmlns:mc="http://schemas.openxmlformats.org/markup-compatibility/2006">
          <mc:Choice Requires="x14">
            <control shapeId="25603" r:id="rId5" name="Button 3">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940F3B-399D-4989-8402-B6703206CF8F}">
  <sheetPr codeName="Foglio45">
    <tabColor theme="0" tint="-0.499984740745262"/>
  </sheetPr>
  <dimension ref="A2:S190"/>
  <sheetViews>
    <sheetView topLeftCell="J97" workbookViewId="0">
      <selection activeCell="I31" sqref="I31:N32"/>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73" t="s">
        <v>34</v>
      </c>
      <c r="C3" s="54" t="s">
        <v>781</v>
      </c>
      <c r="D3" s="73" t="s">
        <v>688</v>
      </c>
      <c r="E3" t="s">
        <v>678</v>
      </c>
    </row>
    <row r="4" spans="1:19" x14ac:dyDescent="0.75">
      <c r="B4" s="73" t="s">
        <v>19</v>
      </c>
      <c r="C4" s="54" t="s">
        <v>683</v>
      </c>
      <c r="D4" s="73" t="s">
        <v>689</v>
      </c>
      <c r="E4" t="s">
        <v>691</v>
      </c>
    </row>
    <row r="5" spans="1:19" x14ac:dyDescent="0.75">
      <c r="B5" s="73" t="s">
        <v>13</v>
      </c>
      <c r="C5" s="10" t="s">
        <v>684</v>
      </c>
      <c r="D5" s="73"/>
      <c r="E5" s="10"/>
    </row>
    <row r="6" spans="1:19" x14ac:dyDescent="0.75">
      <c r="B6" s="73" t="s">
        <v>35</v>
      </c>
      <c r="C6" s="72" t="s">
        <v>678</v>
      </c>
      <c r="D6" s="73" t="s">
        <v>685</v>
      </c>
      <c r="E6" s="111" t="s">
        <v>678</v>
      </c>
      <c r="F6" s="111"/>
      <c r="G6" s="111"/>
    </row>
    <row r="7" spans="1:19" x14ac:dyDescent="0.75">
      <c r="B7" s="73" t="s">
        <v>18</v>
      </c>
      <c r="C7" s="80" t="s">
        <v>681</v>
      </c>
      <c r="D7" s="73" t="s">
        <v>686</v>
      </c>
      <c r="E7" s="111" t="s">
        <v>687</v>
      </c>
      <c r="F7" s="111"/>
      <c r="G7" s="111"/>
    </row>
    <row r="8" spans="1:19" ht="44.25" x14ac:dyDescent="0.75">
      <c r="B8" s="73" t="s">
        <v>679</v>
      </c>
      <c r="C8" s="10" t="s">
        <v>684</v>
      </c>
      <c r="D8" s="73"/>
      <c r="E8" s="10"/>
      <c r="I8" s="14" t="s">
        <v>647</v>
      </c>
      <c r="J8" s="14" t="s">
        <v>648</v>
      </c>
      <c r="K8" s="14" t="s">
        <v>649</v>
      </c>
      <c r="L8" s="14" t="s">
        <v>650</v>
      </c>
      <c r="M8" s="9" t="s">
        <v>651</v>
      </c>
      <c r="P8" s="69" t="s">
        <v>652</v>
      </c>
      <c r="Q8" s="69">
        <v>6</v>
      </c>
    </row>
    <row r="9" spans="1:19" ht="29.5" x14ac:dyDescent="0.75">
      <c r="B9" s="73" t="s">
        <v>680</v>
      </c>
      <c r="C9" s="1" t="s">
        <v>682</v>
      </c>
      <c r="D9" s="73"/>
      <c r="E9"/>
      <c r="I9" s="14"/>
      <c r="J9" s="9"/>
      <c r="K9" s="9"/>
      <c r="L9" s="9"/>
      <c r="M9" s="9"/>
    </row>
    <row r="10" spans="1:19" x14ac:dyDescent="0.75">
      <c r="B10" s="73"/>
      <c r="D10" s="73"/>
      <c r="E10"/>
      <c r="I10" s="14"/>
      <c r="J10" s="9"/>
      <c r="K10" s="9"/>
      <c r="L10" s="9"/>
      <c r="M10" s="9"/>
    </row>
    <row r="11" spans="1:19" x14ac:dyDescent="0.75">
      <c r="E11" s="10"/>
      <c r="I11" s="25" t="s">
        <v>653</v>
      </c>
      <c r="J11" s="70" t="s">
        <v>654</v>
      </c>
      <c r="K11" s="25" t="s">
        <v>655</v>
      </c>
      <c r="L11" s="70" t="s">
        <v>656</v>
      </c>
      <c r="M11" s="71" t="s">
        <v>657</v>
      </c>
      <c r="N11" s="74" t="s">
        <v>644</v>
      </c>
    </row>
    <row r="12" spans="1:19" x14ac:dyDescent="0.75">
      <c r="E12" s="72"/>
      <c r="I12" s="14"/>
      <c r="J12" s="9"/>
      <c r="K12" s="9"/>
      <c r="L12" s="9"/>
      <c r="M12" s="9"/>
    </row>
    <row r="13" spans="1:19" x14ac:dyDescent="0.75">
      <c r="D13" s="14"/>
      <c r="E13" s="9"/>
      <c r="F13" s="71" t="s">
        <v>657</v>
      </c>
      <c r="G13" s="74" t="s">
        <v>644</v>
      </c>
      <c r="H13" s="74"/>
      <c r="I13" s="14"/>
      <c r="J13" s="9"/>
      <c r="K13" s="71"/>
      <c r="L13" s="71"/>
      <c r="M13" s="71"/>
      <c r="N13" s="74"/>
    </row>
    <row r="14" spans="1:19" x14ac:dyDescent="0.75">
      <c r="A14" s="23"/>
      <c r="B14" s="8" t="s">
        <v>254</v>
      </c>
      <c r="C14" s="9"/>
      <c r="D14" s="4" t="s">
        <v>667</v>
      </c>
      <c r="E14" s="8"/>
      <c r="F14" s="9"/>
      <c r="G14" s="9"/>
      <c r="I14" s="14"/>
      <c r="J14" s="9"/>
      <c r="K14" s="9"/>
      <c r="L14" s="9"/>
      <c r="M14" s="71"/>
      <c r="N14" s="74"/>
    </row>
    <row r="15" spans="1:19" ht="44.25" x14ac:dyDescent="0.75">
      <c r="A15" s="23"/>
      <c r="B15" s="8" t="str">
        <f>Report!B8</f>
        <v>header</v>
      </c>
      <c r="C15" s="8" t="str">
        <f>Report!C8</f>
        <v>A.1 Report header data elements</v>
      </c>
      <c r="D15" s="14"/>
      <c r="E15" s="62"/>
      <c r="F15" s="75" t="s">
        <v>659</v>
      </c>
      <c r="G15" s="75"/>
      <c r="H15" s="76"/>
      <c r="I15" s="14" t="str">
        <f>"* group[=].element[+].code = #"&amp;$B$14&amp;"."&amp;B15</f>
        <v>* group[=].element[+].code = #LabReport.header</v>
      </c>
      <c r="J15" s="14" t="str">
        <f t="shared" ref="J15" si="0">"* group[=].element[=].display = ##34#"&amp;C15&amp;"##34#"</f>
        <v>* group[=].element[=].display = ##34#A.1 Report header data elements##34#</v>
      </c>
      <c r="K15" s="14" t="str">
        <f>IF(F15="unmatched","//-- unmatched",IF(D15="","* group[=].element[=].target.code = #"&amp;$D$14,"* group[=].element[=].target.code = #"&amp;$D$14&amp;"."&amp;D15))</f>
        <v>* group[=].element[=].target.code = #DiagnosticReport</v>
      </c>
      <c r="L15" s="14" t="str">
        <f t="shared" ref="L15" si="1">IF(F15="unmatched","//-- unmatched","* group[=].element[=].target.display = ##34#"&amp;E15&amp;"##34#")</f>
        <v>* group[=].element[=].target.display = ##34###34#</v>
      </c>
      <c r="M15" s="14" t="str">
        <f t="shared" ref="M15" si="2">"* group[=].element[=].target.equivalence = #"&amp;F15</f>
        <v>* group[=].element[=].target.equivalence = #relatedto</v>
      </c>
      <c r="N15" s="4" t="str">
        <f t="shared" ref="N15:N31" si="3">IF(G15&lt;&gt;"",CONCATENATE("* group[=].element[=].target.comment = ","##34#",G15,"##34#"),"")</f>
        <v/>
      </c>
      <c r="P15" s="9">
        <v>1</v>
      </c>
      <c r="Q15" s="9">
        <f>IF(MOD(P15,$Q$8)=0,P15/$Q$8-1,INT(P15/$Q$8))</f>
        <v>0</v>
      </c>
      <c r="R15" s="9">
        <f>IF(MOD(P15,$Q$8)=0,$Q$8,MOD(P15,$Q$8))</f>
        <v>1</v>
      </c>
      <c r="S15" s="14" t="str" cm="1">
        <f t="array" ref="S15">INDEX('Report-ConceptMap-1'!$I$15:$N$270,Q15+1,R15)</f>
        <v>* group[=].element[+].code = #LabReport.header</v>
      </c>
    </row>
    <row r="16" spans="1:19" ht="44.25" x14ac:dyDescent="0.75">
      <c r="A16" s="23"/>
      <c r="B16" s="9" t="str">
        <f>Report!B9</f>
        <v>header.subject</v>
      </c>
      <c r="C16" s="9" t="str">
        <f>Report!C9</f>
        <v>A.1.1 - A1.2 Patient/subject</v>
      </c>
      <c r="D16" s="14" t="s">
        <v>668</v>
      </c>
      <c r="E16" s="9"/>
      <c r="F16" s="75" t="s">
        <v>659</v>
      </c>
      <c r="G16" s="75"/>
      <c r="H16" s="76"/>
      <c r="I16" s="14" t="str">
        <f t="shared" ref="I16:I31" si="4">"* group[=].element[+].code = #"&amp;$B$14&amp;"."&amp;B16</f>
        <v>* group[=].element[+].code = #LabReport.header.subject</v>
      </c>
      <c r="J16" s="14" t="str">
        <f t="shared" ref="J16:J23" si="5">"* group[=].element[=].display = ##34#"&amp;C16&amp;"##34#"</f>
        <v>* group[=].element[=].display = ##34#A.1.1 - A1.2 Patient/subject##34#</v>
      </c>
      <c r="K16" s="14" t="str">
        <f t="shared" ref="K16:K31" si="6">IF(F16="unmatched","//-- unmatched",IF(D16="","* group[=].element[=].target.code = #"&amp;$D$14,"* group[=].element[=].target.code = #"&amp;$D$14&amp;"."&amp;D16))</f>
        <v>* group[=].element[=].target.code = #DiagnosticReport.subject</v>
      </c>
      <c r="L16" s="14" t="str">
        <f t="shared" ref="L16:L23" si="7">IF(F16="unmatched","//-- unmatched","* group[=].element[=].target.display = ##34#"&amp;E16&amp;"##34#")</f>
        <v>* group[=].element[=].target.display = ##34###34#</v>
      </c>
      <c r="M16" s="14" t="str">
        <f t="shared" ref="M16:M23" si="8">"* group[=].element[=].target.equivalence = #"&amp;F16</f>
        <v>* group[=].element[=].target.equivalence = #relatedto</v>
      </c>
      <c r="N16" s="14" t="str">
        <f t="shared" si="3"/>
        <v/>
      </c>
      <c r="P16" s="9">
        <v>2</v>
      </c>
      <c r="Q16" s="9">
        <f t="shared" ref="Q16:Q80" si="9">IF(MOD(P16,$Q$8)=0,P16/$Q$8-1,INT(P16/$Q$8))</f>
        <v>0</v>
      </c>
      <c r="R16" s="9">
        <f t="shared" ref="R16:R80" si="10">IF(MOD(P16,$Q$8)=0,$Q$8,MOD(P16,$Q$8))</f>
        <v>2</v>
      </c>
      <c r="S16" s="14" t="str" cm="1">
        <f t="array" ref="S16">INDEX('Report-ConceptMap-1'!$I$15:$N$270,Q16+1,R16)</f>
        <v>* group[=].element[=].display = ##34#A.1 Report header data elements##34#</v>
      </c>
    </row>
    <row r="17" spans="1:19" ht="88.5" x14ac:dyDescent="0.75">
      <c r="A17" s="23"/>
      <c r="B17" s="9" t="str">
        <f>Report!B10</f>
        <v>header.payer</v>
      </c>
      <c r="C17" s="9" t="str">
        <f>Report!C10</f>
        <v>A.1.3 Health insurance and payment information</v>
      </c>
      <c r="D17" s="14" t="s">
        <v>669</v>
      </c>
      <c r="E17" s="9"/>
      <c r="F17" s="75" t="s">
        <v>659</v>
      </c>
      <c r="G17" s="75"/>
      <c r="H17" s="76"/>
      <c r="I17" s="14" t="str">
        <f t="shared" si="4"/>
        <v>* group[=].element[+].code = #LabReport.header.payer</v>
      </c>
      <c r="J17" s="14" t="str">
        <f t="shared" si="5"/>
        <v>* group[=].element[=].display = ##34#A.1.3 Health insurance and payment information##34#</v>
      </c>
      <c r="K17" s="14" t="str">
        <f t="shared" si="6"/>
        <v>* group[=].element[=].target.code = #DiagnosticReport.basedOn.resolve().ofType(ServiceRequest).insurance.resolve().ofType(Coverage)</v>
      </c>
      <c r="L17" s="14" t="str">
        <f t="shared" si="7"/>
        <v>* group[=].element[=].target.display = ##34###34#</v>
      </c>
      <c r="M17" s="14" t="str">
        <f t="shared" si="8"/>
        <v>* group[=].element[=].target.equivalence = #relatedto</v>
      </c>
      <c r="N17" s="14" t="str">
        <f t="shared" si="3"/>
        <v/>
      </c>
      <c r="P17" s="9">
        <v>3</v>
      </c>
      <c r="Q17" s="9">
        <f t="shared" si="9"/>
        <v>0</v>
      </c>
      <c r="R17" s="9">
        <f t="shared" si="10"/>
        <v>3</v>
      </c>
      <c r="S17" s="14" t="str" cm="1">
        <f t="array" ref="S17">INDEX('Report-ConceptMap-1'!$I$15:$N$270,Q17+1,R17)</f>
        <v>* group[=].element[=].target.code = #DiagnosticReport</v>
      </c>
    </row>
    <row r="18" spans="1:19" ht="44.25" x14ac:dyDescent="0.75">
      <c r="A18" s="23"/>
      <c r="B18" s="9" t="str">
        <f>Report!B11</f>
        <v>header.informationRecipient</v>
      </c>
      <c r="C18" s="9" t="str">
        <f>Report!C11</f>
        <v>A.1.4 Information recipient</v>
      </c>
      <c r="D18" s="14"/>
      <c r="E18" s="9"/>
      <c r="F18" s="75" t="s">
        <v>660</v>
      </c>
      <c r="G18" s="75"/>
      <c r="H18" s="76"/>
      <c r="I18" s="14" t="str">
        <f t="shared" si="4"/>
        <v>* group[=].element[+].code = #LabReport.header.informationRecipient</v>
      </c>
      <c r="J18" s="14" t="str">
        <f t="shared" si="5"/>
        <v>* group[=].element[=].display = ##34#A.1.4 Information recipient##34#</v>
      </c>
      <c r="K18" s="14" t="str">
        <f t="shared" si="6"/>
        <v>//-- unmatched</v>
      </c>
      <c r="L18" s="14" t="str">
        <f t="shared" si="7"/>
        <v>//-- unmatched</v>
      </c>
      <c r="M18" s="14" t="str">
        <f t="shared" si="8"/>
        <v>* group[=].element[=].target.equivalence = #unmatched</v>
      </c>
      <c r="N18" s="14" t="str">
        <f t="shared" si="3"/>
        <v/>
      </c>
      <c r="P18" s="9">
        <v>4</v>
      </c>
      <c r="Q18" s="9">
        <f t="shared" si="9"/>
        <v>0</v>
      </c>
      <c r="R18" s="9">
        <f t="shared" si="10"/>
        <v>4</v>
      </c>
      <c r="S18" s="14" t="str" cm="1">
        <f t="array" ref="S18">INDEX('Report-ConceptMap-1'!$I$15:$N$270,Q18+1,R18)</f>
        <v>* group[=].element[=].target.display = ##34###34#</v>
      </c>
    </row>
    <row r="19" spans="1:19" ht="73.75" x14ac:dyDescent="0.75">
      <c r="A19" s="23"/>
      <c r="B19" s="9" t="str">
        <f>Report!B12</f>
        <v>header.author</v>
      </c>
      <c r="C19" s="9" t="str">
        <f>Report!C12</f>
        <v>A.1.5 Author</v>
      </c>
      <c r="D19" s="14" t="s">
        <v>670</v>
      </c>
      <c r="E19" s="9"/>
      <c r="F19" s="75" t="s">
        <v>659</v>
      </c>
      <c r="G19" s="75" t="s">
        <v>704</v>
      </c>
      <c r="H19" s="76"/>
      <c r="I19" s="14" t="str">
        <f t="shared" si="4"/>
        <v>* group[=].element[+].code = #LabReport.header.author</v>
      </c>
      <c r="J19" s="14" t="str">
        <f t="shared" ref="J19" si="11">"* group[=].element[=].display = ##34#"&amp;C19&amp;"##34#"</f>
        <v>* group[=].element[=].display = ##34#A.1.5 Author##34#</v>
      </c>
      <c r="K19" s="14" t="str">
        <f t="shared" si="6"/>
        <v>* group[=].element[=].target.code = #DiagnosticReport.resultsInterpreter.resolve()</v>
      </c>
      <c r="L19" s="14" t="str">
        <f t="shared" ref="L19" si="12">IF(F19="unmatched","//-- unmatched","* group[=].element[=].target.display = ##34#"&amp;E19&amp;"##34#")</f>
        <v>* group[=].element[=].target.display = ##34###34#</v>
      </c>
      <c r="M19" s="14" t="str">
        <f t="shared" ref="M19" si="13">"* group[=].element[=].target.equivalence = #"&amp;F19</f>
        <v>* group[=].element[=].target.equivalence = #relatedto</v>
      </c>
      <c r="N19" s="14" t="str">
        <f t="shared" si="3"/>
        <v>* group[=].element[=].target.comment = ##34#If the author is the interpreter##34#</v>
      </c>
      <c r="P19" s="9">
        <v>5</v>
      </c>
      <c r="Q19" s="9">
        <f t="shared" ref="Q19" si="14">IF(MOD(P19,$Q$8)=0,P19/$Q$8-1,INT(P19/$Q$8))</f>
        <v>0</v>
      </c>
      <c r="R19" s="9">
        <f t="shared" ref="R19" si="15">IF(MOD(P19,$Q$8)=0,$Q$8,MOD(P19,$Q$8))</f>
        <v>5</v>
      </c>
      <c r="S19" s="14" t="str" cm="1">
        <f t="array" ref="S19">INDEX('Report-ConceptMap-1'!$I$15:$N$270,Q19+1,R19)</f>
        <v>* group[=].element[=].target.equivalence = #relatedto</v>
      </c>
    </row>
    <row r="20" spans="1:19" ht="73.75" x14ac:dyDescent="0.75">
      <c r="A20" s="23"/>
      <c r="B20" s="9" t="str">
        <f>Report!B12</f>
        <v>header.author</v>
      </c>
      <c r="C20" s="9" t="str">
        <f>Report!C12</f>
        <v>A.1.5 Author</v>
      </c>
      <c r="D20" s="14" t="s">
        <v>676</v>
      </c>
      <c r="E20" s="9"/>
      <c r="F20" s="75" t="s">
        <v>659</v>
      </c>
      <c r="G20" s="75" t="s">
        <v>705</v>
      </c>
      <c r="H20" s="76"/>
      <c r="I20" s="14" t="str">
        <f t="shared" si="4"/>
        <v>* group[=].element[+].code = #LabReport.header.author</v>
      </c>
      <c r="J20" s="14" t="str">
        <f t="shared" si="5"/>
        <v>* group[=].element[=].display = ##34#A.1.5 Author##34#</v>
      </c>
      <c r="K20" s="14" t="str">
        <f t="shared" si="6"/>
        <v>* group[=].element[=].target.code = #DiagnosticReport.performer.resolve()</v>
      </c>
      <c r="L20" s="14" t="str">
        <f t="shared" si="7"/>
        <v>* group[=].element[=].target.display = ##34###34#</v>
      </c>
      <c r="M20" s="14" t="str">
        <f t="shared" si="8"/>
        <v>* group[=].element[=].target.equivalence = #relatedto</v>
      </c>
      <c r="N20" s="14" t="str">
        <f t="shared" si="3"/>
        <v>* group[=].element[=].target.comment = ##34#If the author is the perfomer##34#</v>
      </c>
      <c r="P20" s="9">
        <v>6</v>
      </c>
      <c r="Q20" s="9">
        <f t="shared" si="9"/>
        <v>0</v>
      </c>
      <c r="R20" s="9">
        <f t="shared" si="10"/>
        <v>6</v>
      </c>
      <c r="S20" s="14" t="str" cm="1">
        <f t="array" ref="S20">INDEX('Report-ConceptMap-1'!$I$15:$N$270,Q20+1,R20)</f>
        <v/>
      </c>
    </row>
    <row r="21" spans="1:19" ht="59" x14ac:dyDescent="0.75">
      <c r="A21" s="23"/>
      <c r="B21" s="9" t="str">
        <f>Report!B13</f>
        <v>header.legalAuthenticator</v>
      </c>
      <c r="C21" s="9" t="str">
        <f>Report!C13</f>
        <v>A.1.6 Legal authenticator</v>
      </c>
      <c r="D21" s="14"/>
      <c r="E21" s="9"/>
      <c r="F21" s="75" t="s">
        <v>660</v>
      </c>
      <c r="G21" s="75" t="s">
        <v>706</v>
      </c>
      <c r="H21" s="76"/>
      <c r="I21" s="14" t="str">
        <f t="shared" si="4"/>
        <v>* group[=].element[+].code = #LabReport.header.legalAuthenticator</v>
      </c>
      <c r="J21" s="14" t="str">
        <f t="shared" si="5"/>
        <v>* group[=].element[=].display = ##34#A.1.6 Legal authenticator##34#</v>
      </c>
      <c r="K21" s="14" t="str">
        <f t="shared" si="6"/>
        <v>//-- unmatched</v>
      </c>
      <c r="L21" s="14" t="str">
        <f t="shared" si="7"/>
        <v>//-- unmatched</v>
      </c>
      <c r="M21" s="14" t="str">
        <f t="shared" si="8"/>
        <v>* group[=].element[=].target.equivalence = #unmatched</v>
      </c>
      <c r="N21" s="14" t="str">
        <f t="shared" si="3"/>
        <v>* group[=].element[=].target.comment = ##34#Mapped in the Composition resource##34#</v>
      </c>
      <c r="P21" s="9">
        <v>7</v>
      </c>
      <c r="Q21" s="9">
        <f t="shared" si="9"/>
        <v>1</v>
      </c>
      <c r="R21" s="9">
        <f t="shared" si="10"/>
        <v>1</v>
      </c>
      <c r="S21" s="14" t="str" cm="1">
        <f t="array" ref="S21">INDEX('Report-ConceptMap-1'!$I$15:$N$270,Q21+1,R21)</f>
        <v>* group[=].element[+].code = #LabReport.header.subject</v>
      </c>
    </row>
    <row r="22" spans="1:19" ht="59" x14ac:dyDescent="0.75">
      <c r="A22" s="23"/>
      <c r="B22" s="9" t="str">
        <f>Report!B14</f>
        <v>header.validator</v>
      </c>
      <c r="C22" s="9" t="str">
        <f>Report!C14</f>
        <v>A.1.7 Result validator</v>
      </c>
      <c r="D22" s="14"/>
      <c r="E22" s="9"/>
      <c r="F22" s="75" t="s">
        <v>660</v>
      </c>
      <c r="G22" s="75" t="s">
        <v>706</v>
      </c>
      <c r="H22" s="76"/>
      <c r="I22" s="14" t="str">
        <f t="shared" si="4"/>
        <v>* group[=].element[+].code = #LabReport.header.validator</v>
      </c>
      <c r="J22" s="14" t="str">
        <f t="shared" si="5"/>
        <v>* group[=].element[=].display = ##34#A.1.7 Result validator##34#</v>
      </c>
      <c r="K22" s="14" t="str">
        <f t="shared" si="6"/>
        <v>//-- unmatched</v>
      </c>
      <c r="L22" s="14" t="str">
        <f t="shared" si="7"/>
        <v>//-- unmatched</v>
      </c>
      <c r="M22" s="14" t="str">
        <f t="shared" si="8"/>
        <v>* group[=].element[=].target.equivalence = #unmatched</v>
      </c>
      <c r="N22" s="14" t="str">
        <f t="shared" si="3"/>
        <v>* group[=].element[=].target.comment = ##34#Mapped in the Composition resource##34#</v>
      </c>
      <c r="P22" s="9">
        <v>8</v>
      </c>
      <c r="Q22" s="9">
        <f t="shared" si="9"/>
        <v>1</v>
      </c>
      <c r="R22" s="9">
        <f t="shared" si="10"/>
        <v>2</v>
      </c>
      <c r="S22" s="14" t="str" cm="1">
        <f t="array" ref="S22">INDEX('Report-ConceptMap-1'!$I$15:$N$270,Q22+1,R22)</f>
        <v>* group[=].element[=].display = ##34#A.1.1 - A1.2 Patient/subject##34#</v>
      </c>
    </row>
    <row r="23" spans="1:19" ht="44.25" x14ac:dyDescent="0.75">
      <c r="A23" s="23"/>
      <c r="B23" s="9" t="str">
        <f>Report!B15</f>
        <v>header.metadata</v>
      </c>
      <c r="C23" s="9" t="str">
        <f>Report!C15</f>
        <v>A.1.8 Laboratory report metadata</v>
      </c>
      <c r="D23" s="14" t="s">
        <v>692</v>
      </c>
      <c r="E23" s="14"/>
      <c r="F23" s="75" t="s">
        <v>659</v>
      </c>
      <c r="G23" s="75"/>
      <c r="H23" s="76"/>
      <c r="I23" s="14" t="str">
        <f t="shared" si="4"/>
        <v>* group[=].element[+].code = #LabReport.header.metadata</v>
      </c>
      <c r="J23" s="14" t="str">
        <f t="shared" si="5"/>
        <v>* group[=].element[=].display = ##34#A.1.8 Laboratory report metadata##34#</v>
      </c>
      <c r="K23" s="14" t="str">
        <f t="shared" si="6"/>
        <v>* group[=].element[=].target.code = #DiagnosticReport.$this</v>
      </c>
      <c r="L23" s="14" t="str">
        <f t="shared" si="7"/>
        <v>* group[=].element[=].target.display = ##34###34#</v>
      </c>
      <c r="M23" s="14" t="str">
        <f t="shared" si="8"/>
        <v>* group[=].element[=].target.equivalence = #relatedto</v>
      </c>
      <c r="N23" s="14" t="str">
        <f t="shared" si="3"/>
        <v/>
      </c>
      <c r="P23" s="9">
        <v>9</v>
      </c>
      <c r="Q23" s="9">
        <f t="shared" si="9"/>
        <v>1</v>
      </c>
      <c r="R23" s="9">
        <f t="shared" si="10"/>
        <v>3</v>
      </c>
      <c r="S23" s="14" t="str" cm="1">
        <f t="array" ref="S23">INDEX('Report-ConceptMap-1'!$I$15:$N$270,Q23+1,R23)</f>
        <v>* group[=].element[=].target.code = #DiagnosticReport.subject</v>
      </c>
    </row>
    <row r="24" spans="1:19" ht="44.25" x14ac:dyDescent="0.75">
      <c r="A24" s="23"/>
      <c r="B24" s="9" t="str">
        <f>Report!B16</f>
        <v>header.metadata.type</v>
      </c>
      <c r="C24" s="9" t="str">
        <f>Report!C16</f>
        <v>A.1.8.1 Document type</v>
      </c>
      <c r="D24" s="14" t="s">
        <v>655</v>
      </c>
      <c r="E24" s="14"/>
      <c r="F24" s="75" t="s">
        <v>658</v>
      </c>
      <c r="G24" s="75"/>
      <c r="H24" s="76"/>
      <c r="I24" s="14" t="str">
        <f t="shared" si="4"/>
        <v>* group[=].element[+].code = #LabReport.header.metadata.type</v>
      </c>
      <c r="J24" s="14" t="str">
        <f t="shared" ref="J24:J31" si="16">"* group[=].element[=].display = ##34#"&amp;C24&amp;"##34#"</f>
        <v>* group[=].element[=].display = ##34#A.1.8.1 Document type##34#</v>
      </c>
      <c r="K24" s="14" t="str">
        <f t="shared" si="6"/>
        <v>* group[=].element[=].target.code = #DiagnosticReport.code</v>
      </c>
      <c r="L24" s="14" t="str">
        <f t="shared" ref="L24:L31" si="17">IF(F24="unmatched","//-- unmatched","* group[=].element[=].target.display = ##34#"&amp;E24&amp;"##34#")</f>
        <v>* group[=].element[=].target.display = ##34###34#</v>
      </c>
      <c r="M24" s="14" t="str">
        <f t="shared" ref="M24:M31" si="18">"* group[=].element[=].target.equivalence = #"&amp;F24</f>
        <v>* group[=].element[=].target.equivalence = #equivalent</v>
      </c>
      <c r="N24" s="14" t="str">
        <f t="shared" si="3"/>
        <v/>
      </c>
      <c r="P24" s="9">
        <v>10</v>
      </c>
      <c r="Q24" s="9">
        <f t="shared" si="9"/>
        <v>1</v>
      </c>
      <c r="R24" s="9">
        <f t="shared" si="10"/>
        <v>4</v>
      </c>
      <c r="S24" s="14" t="str" cm="1">
        <f t="array" ref="S24">INDEX('Report-ConceptMap-1'!$I$15:$N$270,Q24+1,R24)</f>
        <v>* group[=].element[=].target.display = ##34###34#</v>
      </c>
    </row>
    <row r="25" spans="1:19" ht="44.25" x14ac:dyDescent="0.75">
      <c r="B25" s="9" t="str">
        <f>Report!B17</f>
        <v>header.metadata.status</v>
      </c>
      <c r="C25" s="9" t="str">
        <f>Report!C17</f>
        <v>A.1.8.2 Document status</v>
      </c>
      <c r="D25" s="14" t="s">
        <v>671</v>
      </c>
      <c r="E25" s="14"/>
      <c r="F25" s="75" t="s">
        <v>659</v>
      </c>
      <c r="G25" s="75"/>
      <c r="H25" s="76"/>
      <c r="I25" s="14" t="str">
        <f t="shared" si="4"/>
        <v>* group[=].element[+].code = #LabReport.header.metadata.status</v>
      </c>
      <c r="J25" s="14" t="str">
        <f t="shared" si="16"/>
        <v>* group[=].element[=].display = ##34#A.1.8.2 Document status##34#</v>
      </c>
      <c r="K25" s="14" t="str">
        <f t="shared" si="6"/>
        <v>* group[=].element[=].target.code = #DiagnosticReport.status</v>
      </c>
      <c r="L25" s="14" t="str">
        <f t="shared" si="17"/>
        <v>* group[=].element[=].target.display = ##34###34#</v>
      </c>
      <c r="M25" s="14" t="str">
        <f t="shared" si="18"/>
        <v>* group[=].element[=].target.equivalence = #relatedto</v>
      </c>
      <c r="N25" s="14" t="str">
        <f t="shared" si="3"/>
        <v/>
      </c>
      <c r="P25" s="9">
        <v>11</v>
      </c>
      <c r="Q25" s="9">
        <f t="shared" si="9"/>
        <v>1</v>
      </c>
      <c r="R25" s="9">
        <f t="shared" si="10"/>
        <v>5</v>
      </c>
      <c r="S25" s="14" t="str" cm="1">
        <f t="array" ref="S25">INDEX('Report-ConceptMap-1'!$I$15:$N$270,Q25+1,R25)</f>
        <v>* group[=].element[=].target.equivalence = #relatedto</v>
      </c>
    </row>
    <row r="26" spans="1:19" ht="73.75" x14ac:dyDescent="0.75">
      <c r="B26" s="9" t="str">
        <f>Report!B18</f>
        <v>header.metadata.dateTime</v>
      </c>
      <c r="C26" s="9" t="str">
        <f>Report!C18</f>
        <v>A.1.8.3 Report date and time</v>
      </c>
      <c r="D26" s="14" t="s">
        <v>672</v>
      </c>
      <c r="E26" s="14"/>
      <c r="F26" s="75" t="s">
        <v>658</v>
      </c>
      <c r="G26" s="75"/>
      <c r="H26" s="76"/>
      <c r="I26" s="14" t="str">
        <f t="shared" si="4"/>
        <v>* group[=].element[+].code = #LabReport.header.metadata.dateTime</v>
      </c>
      <c r="J26" s="14" t="str">
        <f t="shared" si="16"/>
        <v>* group[=].element[=].display = ##34#A.1.8.3 Report date and time##34#</v>
      </c>
      <c r="K26" s="14" t="str">
        <f t="shared" si="6"/>
        <v>* group[=].element[=].target.code = #DiagnosticReport.effectiveDateTime</v>
      </c>
      <c r="L26" s="14" t="str">
        <f t="shared" si="17"/>
        <v>* group[=].element[=].target.display = ##34###34#</v>
      </c>
      <c r="M26" s="14" t="str">
        <f t="shared" si="18"/>
        <v>* group[=].element[=].target.equivalence = #equivalent</v>
      </c>
      <c r="N26" s="14" t="str">
        <f t="shared" si="3"/>
        <v/>
      </c>
      <c r="P26" s="9">
        <v>12</v>
      </c>
      <c r="Q26" s="9">
        <f t="shared" si="9"/>
        <v>1</v>
      </c>
      <c r="R26" s="9">
        <f t="shared" si="10"/>
        <v>6</v>
      </c>
      <c r="S26" s="14" t="str" cm="1">
        <f t="array" ref="S26">INDEX('Report-ConceptMap-1'!$I$15:$N$270,Q26+1,R26)</f>
        <v/>
      </c>
    </row>
    <row r="27" spans="1:19" ht="59" x14ac:dyDescent="0.75">
      <c r="B27" s="9" t="str">
        <f>Report!B19</f>
        <v>header.metadata.title</v>
      </c>
      <c r="C27" s="9" t="str">
        <f>Report!C19</f>
        <v>A.1.8.4 Document title</v>
      </c>
      <c r="D27" s="14"/>
      <c r="E27" s="14"/>
      <c r="F27" s="75" t="s">
        <v>660</v>
      </c>
      <c r="G27" s="75" t="s">
        <v>706</v>
      </c>
      <c r="H27" s="76"/>
      <c r="I27" s="14" t="str">
        <f t="shared" si="4"/>
        <v>* group[=].element[+].code = #LabReport.header.metadata.title</v>
      </c>
      <c r="J27" s="14" t="str">
        <f t="shared" si="16"/>
        <v>* group[=].element[=].display = ##34#A.1.8.4 Document title##34#</v>
      </c>
      <c r="K27" s="14" t="str">
        <f t="shared" si="6"/>
        <v>//-- unmatched</v>
      </c>
      <c r="L27" s="14" t="str">
        <f t="shared" si="17"/>
        <v>//-- unmatched</v>
      </c>
      <c r="M27" s="14" t="str">
        <f t="shared" si="18"/>
        <v>* group[=].element[=].target.equivalence = #unmatched</v>
      </c>
      <c r="N27" s="14" t="str">
        <f t="shared" si="3"/>
        <v>* group[=].element[=].target.comment = ##34#Mapped in the Composition resource##34#</v>
      </c>
      <c r="P27" s="9">
        <v>13</v>
      </c>
      <c r="Q27" s="9">
        <f t="shared" si="9"/>
        <v>2</v>
      </c>
      <c r="R27" s="9">
        <f t="shared" si="10"/>
        <v>1</v>
      </c>
      <c r="S27" s="14" t="str" cm="1">
        <f t="array" ref="S27">INDEX('Report-ConceptMap-1'!$I$15:$N$270,Q27+1,R27)</f>
        <v>* group[=].element[+].code = #LabReport.header.payer</v>
      </c>
    </row>
    <row r="28" spans="1:19" ht="59" x14ac:dyDescent="0.75">
      <c r="B28" s="9" t="str">
        <f>Report!B20</f>
        <v>header.metadata.custodian</v>
      </c>
      <c r="C28" s="9" t="str">
        <f>Report!C20</f>
        <v>A.1.8.5 Report custodian</v>
      </c>
      <c r="D28" s="14"/>
      <c r="E28" s="14"/>
      <c r="F28" s="75" t="s">
        <v>660</v>
      </c>
      <c r="G28" s="75" t="s">
        <v>706</v>
      </c>
      <c r="H28" s="76"/>
      <c r="I28" s="14" t="str">
        <f t="shared" si="4"/>
        <v>* group[=].element[+].code = #LabReport.header.metadata.custodian</v>
      </c>
      <c r="J28" s="14" t="str">
        <f t="shared" si="16"/>
        <v>* group[=].element[=].display = ##34#A.1.8.5 Report custodian##34#</v>
      </c>
      <c r="K28" s="14" t="str">
        <f t="shared" si="6"/>
        <v>//-- unmatched</v>
      </c>
      <c r="L28" s="14" t="str">
        <f t="shared" si="17"/>
        <v>//-- unmatched</v>
      </c>
      <c r="M28" s="14" t="str">
        <f t="shared" si="18"/>
        <v>* group[=].element[=].target.equivalence = #unmatched</v>
      </c>
      <c r="N28" s="14" t="str">
        <f t="shared" si="3"/>
        <v>* group[=].element[=].target.comment = ##34#Mapped in the Composition resource##34#</v>
      </c>
      <c r="P28" s="9">
        <v>14</v>
      </c>
      <c r="Q28" s="9">
        <f t="shared" si="9"/>
        <v>2</v>
      </c>
      <c r="R28" s="9">
        <f t="shared" si="10"/>
        <v>2</v>
      </c>
      <c r="S28" s="14" t="str" cm="1">
        <f t="array" ref="S28">INDEX('Report-ConceptMap-1'!$I$15:$N$270,Q28+1,R28)</f>
        <v>* group[=].element[=].display = ##34#A.1.3 Health insurance and payment information##34#</v>
      </c>
    </row>
    <row r="29" spans="1:19" ht="73.75" x14ac:dyDescent="0.75">
      <c r="B29" s="9" t="str">
        <f>Report!B21</f>
        <v>order</v>
      </c>
      <c r="C29" s="9" t="str">
        <f>Report!C21</f>
        <v>A.2-A.3 Order</v>
      </c>
      <c r="D29" s="14" t="s">
        <v>673</v>
      </c>
      <c r="E29" s="14"/>
      <c r="F29" s="75" t="s">
        <v>659</v>
      </c>
      <c r="G29" s="75"/>
      <c r="H29" s="76"/>
      <c r="I29" s="14" t="str">
        <f t="shared" si="4"/>
        <v>* group[=].element[+].code = #LabReport.order</v>
      </c>
      <c r="J29" s="14" t="str">
        <f t="shared" si="16"/>
        <v>* group[=].element[=].display = ##34#A.2-A.3 Order##34#</v>
      </c>
      <c r="K29" s="14" t="str">
        <f t="shared" si="6"/>
        <v>* group[=].element[=].target.code = #DiagnosticReport.basedOn.resolve().ofType(ServiceRequest)</v>
      </c>
      <c r="L29" s="14" t="str">
        <f t="shared" si="17"/>
        <v>* group[=].element[=].target.display = ##34###34#</v>
      </c>
      <c r="M29" s="14" t="str">
        <f t="shared" si="18"/>
        <v>* group[=].element[=].target.equivalence = #relatedto</v>
      </c>
      <c r="N29" s="14" t="str">
        <f t="shared" si="3"/>
        <v/>
      </c>
      <c r="P29" s="9">
        <v>15</v>
      </c>
      <c r="Q29" s="9">
        <f t="shared" si="9"/>
        <v>2</v>
      </c>
      <c r="R29" s="9">
        <f t="shared" si="10"/>
        <v>3</v>
      </c>
      <c r="S29" s="14" t="str" cm="1">
        <f t="array" ref="S29">INDEX('Report-ConceptMap-1'!$I$15:$N$270,Q29+1,R29)</f>
        <v>* group[=].element[=].target.code = #DiagnosticReport.basedOn.resolve().ofType(ServiceRequest).insurance.resolve().ofType(Coverage)</v>
      </c>
    </row>
    <row r="30" spans="1:19" ht="73.75" x14ac:dyDescent="0.75">
      <c r="B30" s="9" t="str">
        <f>Report!B22</f>
        <v>specimen</v>
      </c>
      <c r="C30" s="9" t="str">
        <f>Report!C22</f>
        <v>A.4 Specimen information</v>
      </c>
      <c r="D30" s="14" t="s">
        <v>674</v>
      </c>
      <c r="E30" s="14"/>
      <c r="F30" s="75" t="s">
        <v>659</v>
      </c>
      <c r="G30" s="75"/>
      <c r="H30" s="76"/>
      <c r="I30" s="14" t="str">
        <f t="shared" si="4"/>
        <v>* group[=].element[+].code = #LabReport.specimen</v>
      </c>
      <c r="J30" s="14" t="str">
        <f t="shared" si="16"/>
        <v>* group[=].element[=].display = ##34#A.4 Specimen information##34#</v>
      </c>
      <c r="K30" s="14" t="str">
        <f t="shared" si="6"/>
        <v>* group[=].element[=].target.code = #DiagnosticReport.specimen.resolve()</v>
      </c>
      <c r="L30" s="14" t="str">
        <f t="shared" si="17"/>
        <v>* group[=].element[=].target.display = ##34###34#</v>
      </c>
      <c r="M30" s="14" t="str">
        <f t="shared" si="18"/>
        <v>* group[=].element[=].target.equivalence = #relatedto</v>
      </c>
      <c r="N30" s="14" t="str">
        <f t="shared" si="3"/>
        <v/>
      </c>
      <c r="P30" s="9">
        <v>16</v>
      </c>
      <c r="Q30" s="9">
        <f t="shared" si="9"/>
        <v>2</v>
      </c>
      <c r="R30" s="9">
        <f t="shared" si="10"/>
        <v>4</v>
      </c>
      <c r="S30" s="14" t="str" cm="1">
        <f t="array" ref="S30">INDEX('Report-ConceptMap-1'!$I$15:$N$270,Q30+1,R30)</f>
        <v>* group[=].element[=].target.display = ##34###34#</v>
      </c>
    </row>
    <row r="31" spans="1:19" ht="73.75" x14ac:dyDescent="0.75">
      <c r="B31" s="9" t="str">
        <f>Report!B23</f>
        <v>result</v>
      </c>
      <c r="C31" s="9" t="str">
        <f>Report!C23</f>
        <v>A.5 Results data elements</v>
      </c>
      <c r="D31" s="14" t="s">
        <v>675</v>
      </c>
      <c r="E31" s="14"/>
      <c r="F31" s="75" t="s">
        <v>659</v>
      </c>
      <c r="G31" s="75"/>
      <c r="H31" s="76"/>
      <c r="I31" s="14" t="str">
        <f t="shared" si="4"/>
        <v>* group[=].element[+].code = #LabReport.result</v>
      </c>
      <c r="J31" s="14" t="str">
        <f t="shared" si="16"/>
        <v>* group[=].element[=].display = ##34#A.5 Results data elements##34#</v>
      </c>
      <c r="K31" s="14" t="str">
        <f t="shared" si="6"/>
        <v>* group[=].element[=].target.code = #DiagnosticReport.result.resolve()</v>
      </c>
      <c r="L31" s="14" t="str">
        <f t="shared" si="17"/>
        <v>* group[=].element[=].target.display = ##34###34#</v>
      </c>
      <c r="M31" s="14" t="str">
        <f t="shared" si="18"/>
        <v>* group[=].element[=].target.equivalence = #relatedto</v>
      </c>
      <c r="N31" s="14" t="str">
        <f t="shared" si="3"/>
        <v/>
      </c>
      <c r="P31" s="9">
        <v>17</v>
      </c>
      <c r="Q31" s="9">
        <f t="shared" si="9"/>
        <v>2</v>
      </c>
      <c r="R31" s="9">
        <f t="shared" si="10"/>
        <v>5</v>
      </c>
      <c r="S31" s="14" t="str" cm="1">
        <f t="array" ref="S31">INDEX('Report-ConceptMap-1'!$I$15:$N$270,Q31+1,R31)</f>
        <v>* group[=].element[=].target.equivalence = #relatedto</v>
      </c>
    </row>
    <row r="32" spans="1:19" ht="73.75" x14ac:dyDescent="0.75">
      <c r="B32" s="9" t="str">
        <f>Report!B22</f>
        <v>specimen</v>
      </c>
      <c r="C32" s="9" t="str">
        <f>Report!C22</f>
        <v>A.4 Specimen information</v>
      </c>
      <c r="D32" s="14" t="s">
        <v>835</v>
      </c>
      <c r="E32" s="14"/>
      <c r="F32" s="75" t="s">
        <v>659</v>
      </c>
      <c r="G32" s="75"/>
      <c r="H32" s="76"/>
      <c r="I32" s="14" t="str">
        <f t="shared" ref="I32" si="19">"* group[=].element[+].code = #"&amp;$B$14&amp;"."&amp;B32</f>
        <v>* group[=].element[+].code = #LabReport.specimen</v>
      </c>
      <c r="J32" s="14" t="str">
        <f t="shared" ref="J32" si="20">"* group[=].element[=].display = ##34#"&amp;C32&amp;"##34#"</f>
        <v>* group[=].element[=].display = ##34#A.4 Specimen information##34#</v>
      </c>
      <c r="K32" s="14" t="str">
        <f t="shared" ref="K32" si="21">IF(F32="unmatched","//-- unmatched",IF(D32="","* group[=].element[=].target.code = #"&amp;$D$14,"* group[=].element[=].target.code = #"&amp;$D$14&amp;"."&amp;D32))</f>
        <v>* group[=].element[=].target.code = #DiagnosticReport.result.resolve().ofType(Observation).specimen</v>
      </c>
      <c r="L32" s="14" t="str">
        <f t="shared" ref="L32" si="22">IF(F32="unmatched","//-- unmatched","* group[=].element[=].target.display = ##34#"&amp;E32&amp;"##34#")</f>
        <v>* group[=].element[=].target.display = ##34###34#</v>
      </c>
      <c r="M32" s="14" t="str">
        <f t="shared" ref="M32" si="23">"* group[=].element[=].target.equivalence = #"&amp;F32</f>
        <v>* group[=].element[=].target.equivalence = #relatedto</v>
      </c>
      <c r="N32" s="14" t="str">
        <f t="shared" ref="N32" si="24">IF(G32&lt;&gt;"",CONCATENATE("* group[=].element[=].target.comment = ","##34#",G32,"##34#"),"")</f>
        <v/>
      </c>
      <c r="P32" s="9">
        <v>18</v>
      </c>
      <c r="Q32" s="9">
        <f t="shared" si="9"/>
        <v>2</v>
      </c>
      <c r="R32" s="9">
        <f t="shared" si="10"/>
        <v>6</v>
      </c>
      <c r="S32" s="14" t="str" cm="1">
        <f t="array" ref="S32">INDEX('Report-ConceptMap-1'!$I$15:$N$270,Q32+1,R32)</f>
        <v/>
      </c>
    </row>
    <row r="33" spans="1:19" x14ac:dyDescent="0.75">
      <c r="B33" s="9"/>
      <c r="C33" s="9"/>
      <c r="D33" s="14"/>
      <c r="E33" s="14"/>
      <c r="F33" s="75"/>
      <c r="G33" s="75"/>
      <c r="H33" s="76"/>
      <c r="I33" s="14"/>
      <c r="J33" s="14"/>
      <c r="K33" s="14"/>
      <c r="L33" s="14"/>
      <c r="M33" s="14"/>
      <c r="N33" s="1"/>
      <c r="P33" s="9"/>
      <c r="Q33" s="9"/>
      <c r="R33" s="9"/>
      <c r="S33" s="14"/>
    </row>
    <row r="34" spans="1:19" x14ac:dyDescent="0.75">
      <c r="B34" s="9"/>
      <c r="C34" s="9"/>
      <c r="D34" s="14"/>
      <c r="E34" s="14"/>
      <c r="F34" s="75"/>
      <c r="G34" s="75"/>
      <c r="H34" s="76"/>
      <c r="I34" s="14"/>
      <c r="J34" s="14"/>
      <c r="K34" s="14"/>
      <c r="L34" s="14"/>
      <c r="M34" s="14"/>
      <c r="N34" s="1"/>
      <c r="P34" s="9">
        <v>20</v>
      </c>
      <c r="Q34" s="9">
        <f t="shared" si="9"/>
        <v>3</v>
      </c>
      <c r="R34" s="9">
        <f t="shared" si="10"/>
        <v>2</v>
      </c>
      <c r="S34" s="14" t="str" cm="1">
        <f t="array" ref="S34">INDEX('Report-ConceptMap-1'!$I$15:$N$270,Q34+1,R34)</f>
        <v>* group[=].element[=].display = ##34#A.1.4 Information recipient##34#</v>
      </c>
    </row>
    <row r="35" spans="1:19" x14ac:dyDescent="0.75">
      <c r="B35" s="9"/>
      <c r="C35" s="9"/>
      <c r="D35" s="14"/>
      <c r="E35" s="14"/>
      <c r="F35" s="75"/>
      <c r="G35" s="75"/>
      <c r="H35" s="76"/>
      <c r="K35" s="76"/>
      <c r="L35" s="76"/>
      <c r="M35" s="74"/>
      <c r="N35" s="74"/>
      <c r="P35" s="9">
        <v>21</v>
      </c>
      <c r="Q35" s="9">
        <f t="shared" si="9"/>
        <v>3</v>
      </c>
      <c r="R35" s="9">
        <f t="shared" si="10"/>
        <v>3</v>
      </c>
      <c r="S35" s="14" t="str" cm="1">
        <f t="array" ref="S35">INDEX('Report-ConceptMap-1'!$I$15:$N$270,Q35+1,R35)</f>
        <v>//-- unmatched</v>
      </c>
    </row>
    <row r="36" spans="1:19" x14ac:dyDescent="0.75">
      <c r="B36" s="9"/>
      <c r="C36" s="9"/>
      <c r="D36" s="14"/>
      <c r="E36" s="14"/>
      <c r="F36" s="75"/>
      <c r="G36" s="75"/>
      <c r="H36" s="76"/>
      <c r="K36" s="76"/>
      <c r="L36" s="76"/>
      <c r="M36" s="74"/>
      <c r="N36" s="74"/>
      <c r="P36" s="9">
        <v>22</v>
      </c>
      <c r="Q36" s="9">
        <f t="shared" si="9"/>
        <v>3</v>
      </c>
      <c r="R36" s="9">
        <f t="shared" si="10"/>
        <v>4</v>
      </c>
      <c r="S36" s="14" t="str" cm="1">
        <f t="array" ref="S36">INDEX('Report-ConceptMap-1'!$I$15:$N$270,Q36+1,R36)</f>
        <v>//-- unmatched</v>
      </c>
    </row>
    <row r="37" spans="1:19" s="1" customFormat="1" x14ac:dyDescent="0.75">
      <c r="A37"/>
      <c r="B37" s="9"/>
      <c r="C37" s="9"/>
      <c r="D37" s="14"/>
      <c r="E37" s="14"/>
      <c r="F37" s="75"/>
      <c r="G37" s="76"/>
      <c r="H37" s="76"/>
      <c r="J37"/>
      <c r="K37" s="76"/>
      <c r="L37" s="76"/>
      <c r="M37" s="74"/>
      <c r="N37" s="74"/>
      <c r="P37" s="9">
        <v>23</v>
      </c>
      <c r="Q37" s="9">
        <f t="shared" si="9"/>
        <v>3</v>
      </c>
      <c r="R37" s="9">
        <f t="shared" si="10"/>
        <v>5</v>
      </c>
      <c r="S37" s="14" t="str" cm="1">
        <f t="array" ref="S37">INDEX('Report-ConceptMap-1'!$I$15:$N$270,Q37+1,R37)</f>
        <v>* group[=].element[=].target.equivalence = #unmatched</v>
      </c>
    </row>
    <row r="38" spans="1:19" s="1" customFormat="1" x14ac:dyDescent="0.75">
      <c r="A38"/>
      <c r="B38" s="9"/>
      <c r="C38" s="9"/>
      <c r="D38" s="60"/>
      <c r="F38" s="76"/>
      <c r="G38" s="76"/>
      <c r="H38" s="76"/>
      <c r="J38"/>
      <c r="K38" s="76"/>
      <c r="L38" s="76"/>
      <c r="M38" s="74"/>
      <c r="N38" s="74"/>
      <c r="P38" s="9">
        <v>24</v>
      </c>
      <c r="Q38" s="9">
        <f t="shared" si="9"/>
        <v>3</v>
      </c>
      <c r="R38" s="9">
        <f t="shared" si="10"/>
        <v>6</v>
      </c>
      <c r="S38" s="14" t="str" cm="1">
        <f t="array" ref="S38">INDEX('Report-ConceptMap-1'!$I$15:$N$270,Q38+1,R38)</f>
        <v/>
      </c>
    </row>
    <row r="39" spans="1:19" s="1" customFormat="1" x14ac:dyDescent="0.75">
      <c r="A39"/>
      <c r="B39" s="9"/>
      <c r="C39" s="9"/>
      <c r="F39" s="76"/>
      <c r="G39" s="76"/>
      <c r="H39" s="76"/>
      <c r="J39"/>
      <c r="K39" s="76"/>
      <c r="L39" s="76"/>
      <c r="M39" s="74"/>
      <c r="N39" s="74"/>
      <c r="P39" s="9">
        <v>25</v>
      </c>
      <c r="Q39" s="9">
        <f t="shared" si="9"/>
        <v>4</v>
      </c>
      <c r="R39" s="9">
        <f t="shared" si="10"/>
        <v>1</v>
      </c>
      <c r="S39" s="14" t="str" cm="1">
        <f t="array" ref="S39">INDEX('Report-ConceptMap-1'!$I$15:$N$270,Q39+1,R39)</f>
        <v>* group[=].element[+].code = #LabReport.header.author</v>
      </c>
    </row>
    <row r="40" spans="1:19" s="1" customFormat="1" x14ac:dyDescent="0.75">
      <c r="A40"/>
      <c r="B40" s="9"/>
      <c r="C40" s="9"/>
      <c r="F40" s="76"/>
      <c r="G40" s="76"/>
      <c r="H40" s="76"/>
      <c r="J40" s="76"/>
      <c r="K40" s="76"/>
      <c r="L40" s="76"/>
      <c r="M40" s="74"/>
      <c r="N40" s="74"/>
      <c r="P40" s="9">
        <v>26</v>
      </c>
      <c r="Q40" s="9">
        <f t="shared" si="9"/>
        <v>4</v>
      </c>
      <c r="R40" s="9">
        <f t="shared" si="10"/>
        <v>2</v>
      </c>
      <c r="S40" s="14" t="str" cm="1">
        <f t="array" ref="S40">INDEX('Report-ConceptMap-1'!$I$15:$N$270,Q40+1,R40)</f>
        <v>* group[=].element[=].display = ##34#A.1.5 Author##34#</v>
      </c>
    </row>
    <row r="41" spans="1:19" s="1" customFormat="1" x14ac:dyDescent="0.75">
      <c r="A41"/>
      <c r="B41" s="9"/>
      <c r="C41" s="9"/>
      <c r="F41" s="76"/>
      <c r="G41" s="76"/>
      <c r="H41" s="76"/>
      <c r="J41" s="76"/>
      <c r="K41" s="76"/>
      <c r="L41" s="76"/>
      <c r="M41" s="74"/>
      <c r="N41" s="74"/>
      <c r="P41" s="9">
        <v>27</v>
      </c>
      <c r="Q41" s="9">
        <f t="shared" si="9"/>
        <v>4</v>
      </c>
      <c r="R41" s="9">
        <f t="shared" si="10"/>
        <v>3</v>
      </c>
      <c r="S41" s="14" t="str" cm="1">
        <f t="array" ref="S41">INDEX('Report-ConceptMap-1'!$I$15:$N$270,Q41+1,R41)</f>
        <v>* group[=].element[=].target.code = #DiagnosticReport.resultsInterpreter.resolve()</v>
      </c>
    </row>
    <row r="42" spans="1:19" s="1" customFormat="1" x14ac:dyDescent="0.75">
      <c r="A42"/>
      <c r="B42" s="9"/>
      <c r="C42" s="9"/>
      <c r="F42" s="76"/>
      <c r="G42" s="76"/>
      <c r="H42" s="76"/>
      <c r="J42" s="76"/>
      <c r="K42" s="76"/>
      <c r="L42" s="76"/>
      <c r="M42" s="74"/>
      <c r="N42" s="74"/>
      <c r="P42" s="9">
        <v>28</v>
      </c>
      <c r="Q42" s="9">
        <f t="shared" si="9"/>
        <v>4</v>
      </c>
      <c r="R42" s="9">
        <f t="shared" si="10"/>
        <v>4</v>
      </c>
      <c r="S42" s="14" t="str" cm="1">
        <f t="array" ref="S42">INDEX('Report-ConceptMap-1'!$I$15:$N$270,Q42+1,R42)</f>
        <v>* group[=].element[=].target.display = ##34###34#</v>
      </c>
    </row>
    <row r="43" spans="1:19" s="1" customFormat="1" x14ac:dyDescent="0.75">
      <c r="A43"/>
      <c r="B43" s="9"/>
      <c r="C43" s="9"/>
      <c r="F43" s="76"/>
      <c r="G43" s="76"/>
      <c r="H43" s="76"/>
      <c r="J43" s="76"/>
      <c r="K43" s="76"/>
      <c r="L43" s="76"/>
      <c r="M43" s="76"/>
      <c r="N43" s="76"/>
      <c r="P43" s="9">
        <v>29</v>
      </c>
      <c r="Q43" s="9">
        <f t="shared" si="9"/>
        <v>4</v>
      </c>
      <c r="R43" s="9">
        <f t="shared" si="10"/>
        <v>5</v>
      </c>
      <c r="S43" s="14" t="str" cm="1">
        <f t="array" ref="S43">INDEX('Report-ConceptMap-1'!$I$15:$N$270,Q43+1,R43)</f>
        <v>* group[=].element[=].target.equivalence = #relatedto</v>
      </c>
    </row>
    <row r="44" spans="1:19" s="1" customFormat="1" x14ac:dyDescent="0.75">
      <c r="A44"/>
      <c r="B44" s="9"/>
      <c r="C44"/>
      <c r="F44" s="76"/>
      <c r="G44" s="76"/>
      <c r="H44" s="76"/>
      <c r="J44" s="76"/>
      <c r="K44" s="76"/>
      <c r="L44" s="76"/>
      <c r="M44" s="76"/>
      <c r="N44" s="76"/>
      <c r="P44" s="9">
        <v>30</v>
      </c>
      <c r="Q44" s="9">
        <f t="shared" si="9"/>
        <v>4</v>
      </c>
      <c r="R44" s="9">
        <f t="shared" si="10"/>
        <v>6</v>
      </c>
      <c r="S44" s="14" t="str" cm="1">
        <f t="array" ref="S44">INDEX('Report-ConceptMap-1'!$I$15:$N$270,Q44+1,R44)</f>
        <v>* group[=].element[=].target.comment = ##34#If the author is the interpreter##34#</v>
      </c>
    </row>
    <row r="45" spans="1:19" s="1" customFormat="1" x14ac:dyDescent="0.75">
      <c r="A45"/>
      <c r="B45" s="9"/>
      <c r="C45"/>
      <c r="F45" s="76"/>
      <c r="G45" s="76"/>
      <c r="H45" s="76"/>
      <c r="J45" s="76"/>
      <c r="K45" s="76"/>
      <c r="L45" s="76"/>
      <c r="M45" s="76"/>
      <c r="N45" s="76"/>
      <c r="P45" s="9">
        <v>31</v>
      </c>
      <c r="Q45" s="9">
        <f t="shared" si="9"/>
        <v>5</v>
      </c>
      <c r="R45" s="9">
        <f t="shared" si="10"/>
        <v>1</v>
      </c>
      <c r="S45" s="14" t="str" cm="1">
        <f t="array" ref="S45">INDEX('Report-ConceptMap-1'!$I$15:$N$270,Q45+1,R45)</f>
        <v>* group[=].element[+].code = #LabReport.header.author</v>
      </c>
    </row>
    <row r="46" spans="1:19" s="1" customFormat="1" x14ac:dyDescent="0.75">
      <c r="A46"/>
      <c r="B46" s="9"/>
      <c r="C46"/>
      <c r="F46" s="76"/>
      <c r="G46" s="76"/>
      <c r="H46" s="76"/>
      <c r="J46" s="76"/>
      <c r="K46" s="76"/>
      <c r="L46" s="76"/>
      <c r="M46" s="76"/>
      <c r="N46" s="76"/>
      <c r="P46" s="9">
        <v>32</v>
      </c>
      <c r="Q46" s="9">
        <f t="shared" si="9"/>
        <v>5</v>
      </c>
      <c r="R46" s="9">
        <f t="shared" si="10"/>
        <v>2</v>
      </c>
      <c r="S46" s="14" t="str" cm="1">
        <f t="array" ref="S46">INDEX('Report-ConceptMap-1'!$I$15:$N$270,Q46+1,R46)</f>
        <v>* group[=].element[=].display = ##34#A.1.5 Author##34#</v>
      </c>
    </row>
    <row r="47" spans="1:19" s="1" customFormat="1" x14ac:dyDescent="0.75">
      <c r="A47"/>
      <c r="B47" s="9"/>
      <c r="C47"/>
      <c r="F47" s="76"/>
      <c r="G47" s="76"/>
      <c r="H47" s="76"/>
      <c r="J47" s="76"/>
      <c r="K47" s="76"/>
      <c r="L47" s="76"/>
      <c r="M47" s="76"/>
      <c r="N47" s="76"/>
      <c r="P47" s="9">
        <v>33</v>
      </c>
      <c r="Q47" s="9">
        <f t="shared" si="9"/>
        <v>5</v>
      </c>
      <c r="R47" s="9">
        <f t="shared" si="10"/>
        <v>3</v>
      </c>
      <c r="S47" s="14" t="str" cm="1">
        <f t="array" ref="S47">INDEX('Report-ConceptMap-1'!$I$15:$N$270,Q47+1,R47)</f>
        <v>* group[=].element[=].target.code = #DiagnosticReport.performer.resolve()</v>
      </c>
    </row>
    <row r="48" spans="1:19" s="1" customFormat="1" x14ac:dyDescent="0.75">
      <c r="A48"/>
      <c r="B48" s="9"/>
      <c r="C48"/>
      <c r="F48" s="76"/>
      <c r="G48" s="76"/>
      <c r="H48" s="76"/>
      <c r="J48" s="76"/>
      <c r="K48" s="76"/>
      <c r="L48" s="76"/>
      <c r="M48" s="76"/>
      <c r="N48" s="76"/>
      <c r="P48" s="9">
        <v>34</v>
      </c>
      <c r="Q48" s="9">
        <f t="shared" si="9"/>
        <v>5</v>
      </c>
      <c r="R48" s="9">
        <f t="shared" si="10"/>
        <v>4</v>
      </c>
      <c r="S48" s="14" t="str" cm="1">
        <f t="array" ref="S48">INDEX('Report-ConceptMap-1'!$I$15:$N$270,Q48+1,R48)</f>
        <v>* group[=].element[=].target.display = ##34###34#</v>
      </c>
    </row>
    <row r="49" spans="2:19" x14ac:dyDescent="0.75">
      <c r="F49" s="76"/>
      <c r="G49" s="76"/>
      <c r="H49" s="76"/>
      <c r="J49" s="76"/>
      <c r="K49" s="76"/>
      <c r="L49" s="76"/>
      <c r="M49" s="76"/>
      <c r="N49" s="76"/>
      <c r="P49" s="9">
        <v>35</v>
      </c>
      <c r="Q49" s="9">
        <f t="shared" si="9"/>
        <v>5</v>
      </c>
      <c r="R49" s="9">
        <f t="shared" si="10"/>
        <v>5</v>
      </c>
      <c r="S49" s="14" t="str" cm="1">
        <f t="array" ref="S49">INDEX('Report-ConceptMap-1'!$I$15:$N$270,Q49+1,R49)</f>
        <v>* group[=].element[=].target.equivalence = #relatedto</v>
      </c>
    </row>
    <row r="50" spans="2:19" x14ac:dyDescent="0.75">
      <c r="F50" s="76"/>
      <c r="G50" s="76"/>
      <c r="H50" s="76"/>
      <c r="J50" s="76"/>
      <c r="K50" s="76"/>
      <c r="L50" s="76"/>
      <c r="M50" s="76"/>
      <c r="N50" s="76"/>
      <c r="P50" s="9">
        <v>36</v>
      </c>
      <c r="Q50" s="9">
        <f t="shared" si="9"/>
        <v>5</v>
      </c>
      <c r="R50" s="9">
        <f t="shared" si="10"/>
        <v>6</v>
      </c>
      <c r="S50" s="14" t="str" cm="1">
        <f t="array" ref="S50">INDEX('Report-ConceptMap-1'!$I$15:$N$270,Q50+1,R50)</f>
        <v>* group[=].element[=].target.comment = ##34#If the author is the perfomer##34#</v>
      </c>
    </row>
    <row r="51" spans="2:19" x14ac:dyDescent="0.75">
      <c r="F51" s="76"/>
      <c r="G51" s="76"/>
      <c r="H51" s="76"/>
      <c r="J51" s="76"/>
      <c r="K51" s="76"/>
      <c r="L51" s="76"/>
      <c r="M51" s="76"/>
      <c r="N51" s="76"/>
      <c r="P51" s="9">
        <v>37</v>
      </c>
      <c r="Q51" s="9">
        <f t="shared" si="9"/>
        <v>6</v>
      </c>
      <c r="R51" s="9">
        <f t="shared" si="10"/>
        <v>1</v>
      </c>
      <c r="S51" s="14" t="str" cm="1">
        <f t="array" ref="S51">INDEX('Report-ConceptMap-1'!$I$15:$N$270,Q51+1,R51)</f>
        <v>* group[=].element[+].code = #LabReport.header.legalAuthenticator</v>
      </c>
    </row>
    <row r="52" spans="2:19" x14ac:dyDescent="0.75">
      <c r="F52" s="76"/>
      <c r="G52" s="76"/>
      <c r="H52" s="76"/>
      <c r="J52" s="76"/>
      <c r="K52" s="76"/>
      <c r="L52" s="76"/>
      <c r="M52" s="76"/>
      <c r="N52" s="76"/>
      <c r="P52" s="9">
        <v>38</v>
      </c>
      <c r="Q52" s="9">
        <f t="shared" si="9"/>
        <v>6</v>
      </c>
      <c r="R52" s="9">
        <f t="shared" si="10"/>
        <v>2</v>
      </c>
      <c r="S52" s="14" t="str" cm="1">
        <f t="array" ref="S52">INDEX('Report-ConceptMap-1'!$I$15:$N$270,Q52+1,R52)</f>
        <v>* group[=].element[=].display = ##34#A.1.6 Legal authenticator##34#</v>
      </c>
    </row>
    <row r="53" spans="2:19" ht="29.5" x14ac:dyDescent="0.75">
      <c r="B53" t="s">
        <v>647</v>
      </c>
      <c r="C53" t="s">
        <v>648</v>
      </c>
      <c r="D53" s="1" t="s">
        <v>649</v>
      </c>
      <c r="E53" t="s">
        <v>650</v>
      </c>
      <c r="P53" s="9">
        <v>39</v>
      </c>
      <c r="Q53" s="9">
        <f t="shared" si="9"/>
        <v>6</v>
      </c>
      <c r="R53" s="9">
        <f t="shared" si="10"/>
        <v>3</v>
      </c>
      <c r="S53" s="14" t="str" cm="1">
        <f t="array" ref="S53">INDEX('Report-ConceptMap-1'!$I$15:$N$270,Q53+1,R53)</f>
        <v>//-- unmatched</v>
      </c>
    </row>
    <row r="54" spans="2:19" x14ac:dyDescent="0.75">
      <c r="P54" s="9">
        <v>40</v>
      </c>
      <c r="Q54" s="9">
        <f t="shared" si="9"/>
        <v>6</v>
      </c>
      <c r="R54" s="9">
        <f t="shared" si="10"/>
        <v>4</v>
      </c>
      <c r="S54" s="14" t="str" cm="1">
        <f t="array" ref="S54">INDEX('Report-ConceptMap-1'!$I$15:$N$270,Q54+1,R54)</f>
        <v>//-- unmatched</v>
      </c>
    </row>
    <row r="55" spans="2:19" x14ac:dyDescent="0.75">
      <c r="P55" s="9">
        <v>41</v>
      </c>
      <c r="Q55" s="9">
        <f t="shared" si="9"/>
        <v>6</v>
      </c>
      <c r="R55" s="9">
        <f t="shared" si="10"/>
        <v>5</v>
      </c>
      <c r="S55" s="14" t="str" cm="1">
        <f t="array" ref="S55">INDEX('Report-ConceptMap-1'!$I$15:$N$270,Q55+1,R55)</f>
        <v>* group[=].element[=].target.equivalence = #unmatched</v>
      </c>
    </row>
    <row r="56" spans="2:19" ht="29.5" x14ac:dyDescent="0.75">
      <c r="P56" s="9">
        <v>42</v>
      </c>
      <c r="Q56" s="9">
        <f t="shared" si="9"/>
        <v>6</v>
      </c>
      <c r="R56" s="9">
        <f t="shared" si="10"/>
        <v>6</v>
      </c>
      <c r="S56" s="14" t="str" cm="1">
        <f t="array" ref="S56">INDEX('Report-ConceptMap-1'!$I$15:$N$270,Q56+1,R56)</f>
        <v>* group[=].element[=].target.comment = ##34#Mapped in the Composition resource##34#</v>
      </c>
    </row>
    <row r="57" spans="2:19" x14ac:dyDescent="0.75">
      <c r="P57" s="9">
        <v>43</v>
      </c>
      <c r="Q57" s="9">
        <f t="shared" si="9"/>
        <v>7</v>
      </c>
      <c r="R57" s="9">
        <f t="shared" si="10"/>
        <v>1</v>
      </c>
      <c r="S57" s="14" t="str" cm="1">
        <f t="array" ref="S57">INDEX('Report-ConceptMap-1'!$I$15:$N$270,Q57+1,R57)</f>
        <v>* group[=].element[+].code = #LabReport.header.validator</v>
      </c>
    </row>
    <row r="58" spans="2:19" x14ac:dyDescent="0.75">
      <c r="P58" s="9">
        <v>44</v>
      </c>
      <c r="Q58" s="9">
        <f t="shared" si="9"/>
        <v>7</v>
      </c>
      <c r="R58" s="9">
        <f t="shared" si="10"/>
        <v>2</v>
      </c>
      <c r="S58" s="14" t="str" cm="1">
        <f t="array" ref="S58">INDEX('Report-ConceptMap-1'!$I$15:$N$270,Q58+1,R58)</f>
        <v>* group[=].element[=].display = ##34#A.1.7 Result validator##34#</v>
      </c>
    </row>
    <row r="59" spans="2:19" x14ac:dyDescent="0.75">
      <c r="P59" s="9">
        <v>45</v>
      </c>
      <c r="Q59" s="9">
        <f t="shared" si="9"/>
        <v>7</v>
      </c>
      <c r="R59" s="9">
        <f t="shared" si="10"/>
        <v>3</v>
      </c>
      <c r="S59" s="14" t="str" cm="1">
        <f t="array" ref="S59">INDEX('Report-ConceptMap-1'!$I$15:$N$270,Q59+1,R59)</f>
        <v>//-- unmatched</v>
      </c>
    </row>
    <row r="60" spans="2:19" x14ac:dyDescent="0.75">
      <c r="P60" s="9">
        <v>46</v>
      </c>
      <c r="Q60" s="9">
        <f t="shared" si="9"/>
        <v>7</v>
      </c>
      <c r="R60" s="9">
        <f t="shared" si="10"/>
        <v>4</v>
      </c>
      <c r="S60" s="14" t="str" cm="1">
        <f t="array" ref="S60">INDEX('Report-ConceptMap-1'!$I$15:$N$270,Q60+1,R60)</f>
        <v>//-- unmatched</v>
      </c>
    </row>
    <row r="61" spans="2:19" x14ac:dyDescent="0.75">
      <c r="P61" s="9">
        <v>47</v>
      </c>
      <c r="Q61" s="9">
        <f t="shared" si="9"/>
        <v>7</v>
      </c>
      <c r="R61" s="9">
        <f t="shared" si="10"/>
        <v>5</v>
      </c>
      <c r="S61" s="14" t="str" cm="1">
        <f t="array" ref="S61">INDEX('Report-ConceptMap-1'!$I$15:$N$270,Q61+1,R61)</f>
        <v>* group[=].element[=].target.equivalence = #unmatched</v>
      </c>
    </row>
    <row r="62" spans="2:19" ht="29.5" x14ac:dyDescent="0.75">
      <c r="P62" s="9">
        <v>48</v>
      </c>
      <c r="Q62" s="9">
        <f t="shared" si="9"/>
        <v>7</v>
      </c>
      <c r="R62" s="9">
        <f t="shared" si="10"/>
        <v>6</v>
      </c>
      <c r="S62" s="14" t="str" cm="1">
        <f t="array" ref="S62">INDEX('Report-ConceptMap-1'!$I$15:$N$270,Q62+1,R62)</f>
        <v>* group[=].element[=].target.comment = ##34#Mapped in the Composition resource##34#</v>
      </c>
    </row>
    <row r="63" spans="2:19" x14ac:dyDescent="0.75">
      <c r="P63" s="9">
        <v>49</v>
      </c>
      <c r="Q63" s="9">
        <f t="shared" si="9"/>
        <v>8</v>
      </c>
      <c r="R63" s="9">
        <f t="shared" si="10"/>
        <v>1</v>
      </c>
      <c r="S63" s="14" t="str" cm="1">
        <f t="array" ref="S63">INDEX('Report-ConceptMap-1'!$I$15:$N$270,Q63+1,R63)</f>
        <v>* group[=].element[+].code = #LabReport.header.metadata</v>
      </c>
    </row>
    <row r="64" spans="2:19" x14ac:dyDescent="0.75">
      <c r="P64" s="9">
        <v>50</v>
      </c>
      <c r="Q64" s="9">
        <f t="shared" si="9"/>
        <v>8</v>
      </c>
      <c r="R64" s="9">
        <f t="shared" si="10"/>
        <v>2</v>
      </c>
      <c r="S64" s="14" t="str" cm="1">
        <f t="array" ref="S64">INDEX('Report-ConceptMap-1'!$I$15:$N$270,Q64+1,R64)</f>
        <v>* group[=].element[=].display = ##34#A.1.8 Laboratory report metadata##34#</v>
      </c>
    </row>
    <row r="65" spans="16:19" x14ac:dyDescent="0.75">
      <c r="P65" s="9">
        <v>51</v>
      </c>
      <c r="Q65" s="9">
        <f t="shared" si="9"/>
        <v>8</v>
      </c>
      <c r="R65" s="9">
        <f t="shared" si="10"/>
        <v>3</v>
      </c>
      <c r="S65" s="14" t="str" cm="1">
        <f t="array" ref="S65">INDEX('Report-ConceptMap-1'!$I$15:$N$270,Q65+1,R65)</f>
        <v>* group[=].element[=].target.code = #DiagnosticReport.$this</v>
      </c>
    </row>
    <row r="66" spans="16:19" x14ac:dyDescent="0.75">
      <c r="P66" s="9">
        <v>52</v>
      </c>
      <c r="Q66" s="9">
        <f t="shared" si="9"/>
        <v>8</v>
      </c>
      <c r="R66" s="9">
        <f t="shared" si="10"/>
        <v>4</v>
      </c>
      <c r="S66" s="14" t="str" cm="1">
        <f t="array" ref="S66">INDEX('Report-ConceptMap-1'!$I$15:$N$270,Q66+1,R66)</f>
        <v>* group[=].element[=].target.display = ##34###34#</v>
      </c>
    </row>
    <row r="67" spans="16:19" x14ac:dyDescent="0.75">
      <c r="P67" s="9">
        <v>53</v>
      </c>
      <c r="Q67" s="9">
        <f t="shared" si="9"/>
        <v>8</v>
      </c>
      <c r="R67" s="9">
        <f t="shared" si="10"/>
        <v>5</v>
      </c>
      <c r="S67" s="14" t="str" cm="1">
        <f t="array" ref="S67">INDEX('Report-ConceptMap-1'!$I$15:$N$270,Q67+1,R67)</f>
        <v>* group[=].element[=].target.equivalence = #relatedto</v>
      </c>
    </row>
    <row r="68" spans="16:19" x14ac:dyDescent="0.75">
      <c r="P68" s="9">
        <v>54</v>
      </c>
      <c r="Q68" s="9">
        <f t="shared" si="9"/>
        <v>8</v>
      </c>
      <c r="R68" s="9">
        <f t="shared" si="10"/>
        <v>6</v>
      </c>
      <c r="S68" s="14" t="str" cm="1">
        <f t="array" ref="S68">INDEX('Report-ConceptMap-1'!$I$15:$N$270,Q68+1,R68)</f>
        <v/>
      </c>
    </row>
    <row r="69" spans="16:19" x14ac:dyDescent="0.75">
      <c r="P69" s="9">
        <v>55</v>
      </c>
      <c r="Q69" s="9">
        <f t="shared" si="9"/>
        <v>9</v>
      </c>
      <c r="R69" s="9">
        <f t="shared" si="10"/>
        <v>1</v>
      </c>
      <c r="S69" s="14" t="str" cm="1">
        <f t="array" ref="S69">INDEX('Report-ConceptMap-1'!$I$15:$N$270,Q69+1,R69)</f>
        <v>* group[=].element[+].code = #LabReport.header.metadata.type</v>
      </c>
    </row>
    <row r="70" spans="16:19" x14ac:dyDescent="0.75">
      <c r="P70" s="9">
        <v>56</v>
      </c>
      <c r="Q70" s="9">
        <f t="shared" si="9"/>
        <v>9</v>
      </c>
      <c r="R70" s="9">
        <f t="shared" si="10"/>
        <v>2</v>
      </c>
      <c r="S70" s="14" t="str" cm="1">
        <f t="array" ref="S70">INDEX('Report-ConceptMap-1'!$I$15:$N$270,Q70+1,R70)</f>
        <v>* group[=].element[=].display = ##34#A.1.8.1 Document type##34#</v>
      </c>
    </row>
    <row r="71" spans="16:19" x14ac:dyDescent="0.75">
      <c r="P71" s="9">
        <v>57</v>
      </c>
      <c r="Q71" s="9">
        <f t="shared" si="9"/>
        <v>9</v>
      </c>
      <c r="R71" s="9">
        <f t="shared" si="10"/>
        <v>3</v>
      </c>
      <c r="S71" s="14" t="str" cm="1">
        <f t="array" ref="S71">INDEX('Report-ConceptMap-1'!$I$15:$N$270,Q71+1,R71)</f>
        <v>* group[=].element[=].target.code = #DiagnosticReport.code</v>
      </c>
    </row>
    <row r="72" spans="16:19" x14ac:dyDescent="0.75">
      <c r="P72" s="9">
        <v>58</v>
      </c>
      <c r="Q72" s="9">
        <f t="shared" si="9"/>
        <v>9</v>
      </c>
      <c r="R72" s="9">
        <f t="shared" si="10"/>
        <v>4</v>
      </c>
      <c r="S72" s="14" t="str" cm="1">
        <f t="array" ref="S72">INDEX('Report-ConceptMap-1'!$I$15:$N$270,Q72+1,R72)</f>
        <v>* group[=].element[=].target.display = ##34###34#</v>
      </c>
    </row>
    <row r="73" spans="16:19" x14ac:dyDescent="0.75">
      <c r="P73" s="9">
        <v>59</v>
      </c>
      <c r="Q73" s="9">
        <f t="shared" si="9"/>
        <v>9</v>
      </c>
      <c r="R73" s="9">
        <f t="shared" si="10"/>
        <v>5</v>
      </c>
      <c r="S73" s="14" t="str" cm="1">
        <f t="array" ref="S73">INDEX('Report-ConceptMap-1'!$I$15:$N$270,Q73+1,R73)</f>
        <v>* group[=].element[=].target.equivalence = #equivalent</v>
      </c>
    </row>
    <row r="74" spans="16:19" x14ac:dyDescent="0.75">
      <c r="P74" s="9">
        <v>60</v>
      </c>
      <c r="Q74" s="9">
        <f t="shared" si="9"/>
        <v>9</v>
      </c>
      <c r="R74" s="9">
        <f t="shared" si="10"/>
        <v>6</v>
      </c>
      <c r="S74" s="14" t="str" cm="1">
        <f t="array" ref="S74">INDEX('Report-ConceptMap-1'!$I$15:$N$270,Q74+1,R74)</f>
        <v/>
      </c>
    </row>
    <row r="75" spans="16:19" x14ac:dyDescent="0.75">
      <c r="P75" s="9">
        <v>61</v>
      </c>
      <c r="Q75" s="9">
        <f t="shared" si="9"/>
        <v>10</v>
      </c>
      <c r="R75" s="9">
        <f t="shared" si="10"/>
        <v>1</v>
      </c>
      <c r="S75" s="14" t="str" cm="1">
        <f t="array" ref="S75">INDEX('Report-ConceptMap-1'!$I$15:$N$270,Q75+1,R75)</f>
        <v>* group[=].element[+].code = #LabReport.header.metadata.status</v>
      </c>
    </row>
    <row r="76" spans="16:19" x14ac:dyDescent="0.75">
      <c r="P76" s="9">
        <v>62</v>
      </c>
      <c r="Q76" s="9">
        <f t="shared" si="9"/>
        <v>10</v>
      </c>
      <c r="R76" s="9">
        <f t="shared" si="10"/>
        <v>2</v>
      </c>
      <c r="S76" s="14" t="str" cm="1">
        <f t="array" ref="S76">INDEX('Report-ConceptMap-1'!$I$15:$N$270,Q76+1,R76)</f>
        <v>* group[=].element[=].display = ##34#A.1.8.2 Document status##34#</v>
      </c>
    </row>
    <row r="77" spans="16:19" x14ac:dyDescent="0.75">
      <c r="P77" s="9">
        <v>63</v>
      </c>
      <c r="Q77" s="9">
        <f t="shared" si="9"/>
        <v>10</v>
      </c>
      <c r="R77" s="9">
        <f t="shared" si="10"/>
        <v>3</v>
      </c>
      <c r="S77" s="14" t="str" cm="1">
        <f t="array" ref="S77">INDEX('Report-ConceptMap-1'!$I$15:$N$270,Q77+1,R77)</f>
        <v>* group[=].element[=].target.code = #DiagnosticReport.status</v>
      </c>
    </row>
    <row r="78" spans="16:19" x14ac:dyDescent="0.75">
      <c r="P78" s="9">
        <v>64</v>
      </c>
      <c r="Q78" s="9">
        <f t="shared" si="9"/>
        <v>10</v>
      </c>
      <c r="R78" s="9">
        <f t="shared" si="10"/>
        <v>4</v>
      </c>
      <c r="S78" s="14" t="str" cm="1">
        <f t="array" ref="S78">INDEX('Report-ConceptMap-1'!$I$15:$N$270,Q78+1,R78)</f>
        <v>* group[=].element[=].target.display = ##34###34#</v>
      </c>
    </row>
    <row r="79" spans="16:19" x14ac:dyDescent="0.75">
      <c r="P79" s="9">
        <v>65</v>
      </c>
      <c r="Q79" s="9">
        <f t="shared" si="9"/>
        <v>10</v>
      </c>
      <c r="R79" s="9">
        <f t="shared" si="10"/>
        <v>5</v>
      </c>
      <c r="S79" s="14" t="str" cm="1">
        <f t="array" ref="S79">INDEX('Report-ConceptMap-1'!$I$15:$N$270,Q79+1,R79)</f>
        <v>* group[=].element[=].target.equivalence = #relatedto</v>
      </c>
    </row>
    <row r="80" spans="16:19" x14ac:dyDescent="0.75">
      <c r="P80" s="9">
        <v>66</v>
      </c>
      <c r="Q80" s="9">
        <f t="shared" si="9"/>
        <v>10</v>
      </c>
      <c r="R80" s="9">
        <f t="shared" si="10"/>
        <v>6</v>
      </c>
      <c r="S80" s="14" t="str" cm="1">
        <f t="array" ref="S80">INDEX('Report-ConceptMap-1'!$I$15:$N$270,Q80+1,R80)</f>
        <v/>
      </c>
    </row>
    <row r="81" spans="16:19" x14ac:dyDescent="0.75">
      <c r="P81" s="9">
        <v>67</v>
      </c>
      <c r="Q81" s="9">
        <f t="shared" ref="Q81:Q144" si="25">IF(MOD(P81,$Q$8)=0,P81/$Q$8-1,INT(P81/$Q$8))</f>
        <v>11</v>
      </c>
      <c r="R81" s="9">
        <f t="shared" ref="R81:R144" si="26">IF(MOD(P81,$Q$8)=0,$Q$8,MOD(P81,$Q$8))</f>
        <v>1</v>
      </c>
      <c r="S81" s="14" t="str" cm="1">
        <f t="array" ref="S81">INDEX('Report-ConceptMap-1'!$I$15:$N$270,Q81+1,R81)</f>
        <v>* group[=].element[+].code = #LabReport.header.metadata.dateTime</v>
      </c>
    </row>
    <row r="82" spans="16:19" x14ac:dyDescent="0.75">
      <c r="P82" s="9">
        <v>68</v>
      </c>
      <c r="Q82" s="9">
        <f t="shared" si="25"/>
        <v>11</v>
      </c>
      <c r="R82" s="9">
        <f t="shared" si="26"/>
        <v>2</v>
      </c>
      <c r="S82" s="14" t="str" cm="1">
        <f t="array" ref="S82">INDEX('Report-ConceptMap-1'!$I$15:$N$270,Q82+1,R82)</f>
        <v>* group[=].element[=].display = ##34#A.1.8.3 Report date and time##34#</v>
      </c>
    </row>
    <row r="83" spans="16:19" x14ac:dyDescent="0.75">
      <c r="P83" s="9">
        <v>69</v>
      </c>
      <c r="Q83" s="9">
        <f t="shared" si="25"/>
        <v>11</v>
      </c>
      <c r="R83" s="9">
        <f t="shared" si="26"/>
        <v>3</v>
      </c>
      <c r="S83" s="14" t="str" cm="1">
        <f t="array" ref="S83">INDEX('Report-ConceptMap-1'!$I$15:$N$270,Q83+1,R83)</f>
        <v>* group[=].element[=].target.code = #DiagnosticReport.effectiveDateTime</v>
      </c>
    </row>
    <row r="84" spans="16:19" x14ac:dyDescent="0.75">
      <c r="P84" s="9">
        <v>70</v>
      </c>
      <c r="Q84" s="9">
        <f t="shared" si="25"/>
        <v>11</v>
      </c>
      <c r="R84" s="9">
        <f t="shared" si="26"/>
        <v>4</v>
      </c>
      <c r="S84" s="14" t="str" cm="1">
        <f t="array" ref="S84">INDEX('Report-ConceptMap-1'!$I$15:$N$270,Q84+1,R84)</f>
        <v>* group[=].element[=].target.display = ##34###34#</v>
      </c>
    </row>
    <row r="85" spans="16:19" x14ac:dyDescent="0.75">
      <c r="P85" s="9">
        <v>71</v>
      </c>
      <c r="Q85" s="9">
        <f t="shared" si="25"/>
        <v>11</v>
      </c>
      <c r="R85" s="9">
        <f t="shared" si="26"/>
        <v>5</v>
      </c>
      <c r="S85" s="14" t="str" cm="1">
        <f t="array" ref="S85">INDEX('Report-ConceptMap-1'!$I$15:$N$270,Q85+1,R85)</f>
        <v>* group[=].element[=].target.equivalence = #equivalent</v>
      </c>
    </row>
    <row r="86" spans="16:19" x14ac:dyDescent="0.75">
      <c r="P86" s="9">
        <v>72</v>
      </c>
      <c r="Q86" s="9">
        <f t="shared" si="25"/>
        <v>11</v>
      </c>
      <c r="R86" s="9">
        <f t="shared" si="26"/>
        <v>6</v>
      </c>
      <c r="S86" s="14" t="str" cm="1">
        <f t="array" ref="S86">INDEX('Report-ConceptMap-1'!$I$15:$N$270,Q86+1,R86)</f>
        <v/>
      </c>
    </row>
    <row r="87" spans="16:19" x14ac:dyDescent="0.75">
      <c r="P87" s="9">
        <v>73</v>
      </c>
      <c r="Q87" s="9">
        <f t="shared" si="25"/>
        <v>12</v>
      </c>
      <c r="R87" s="9">
        <f t="shared" si="26"/>
        <v>1</v>
      </c>
      <c r="S87" s="14" t="str" cm="1">
        <f t="array" ref="S87">INDEX('Report-ConceptMap-1'!$I$15:$N$270,Q87+1,R87)</f>
        <v>* group[=].element[+].code = #LabReport.header.metadata.title</v>
      </c>
    </row>
    <row r="88" spans="16:19" x14ac:dyDescent="0.75">
      <c r="P88" s="9">
        <v>74</v>
      </c>
      <c r="Q88" s="9">
        <f t="shared" si="25"/>
        <v>12</v>
      </c>
      <c r="R88" s="9">
        <f t="shared" si="26"/>
        <v>2</v>
      </c>
      <c r="S88" s="14" t="str" cm="1">
        <f t="array" ref="S88">INDEX('Report-ConceptMap-1'!$I$15:$N$270,Q88+1,R88)</f>
        <v>* group[=].element[=].display = ##34#A.1.8.4 Document title##34#</v>
      </c>
    </row>
    <row r="89" spans="16:19" x14ac:dyDescent="0.75">
      <c r="P89" s="9">
        <v>75</v>
      </c>
      <c r="Q89" s="9">
        <f t="shared" si="25"/>
        <v>12</v>
      </c>
      <c r="R89" s="9">
        <f t="shared" si="26"/>
        <v>3</v>
      </c>
      <c r="S89" s="14" t="str" cm="1">
        <f t="array" ref="S89">INDEX('Report-ConceptMap-1'!$I$15:$N$270,Q89+1,R89)</f>
        <v>//-- unmatched</v>
      </c>
    </row>
    <row r="90" spans="16:19" x14ac:dyDescent="0.75">
      <c r="P90" s="9">
        <v>76</v>
      </c>
      <c r="Q90" s="9">
        <f t="shared" si="25"/>
        <v>12</v>
      </c>
      <c r="R90" s="9">
        <f t="shared" si="26"/>
        <v>4</v>
      </c>
      <c r="S90" s="14" t="str" cm="1">
        <f t="array" ref="S90">INDEX('Report-ConceptMap-1'!$I$15:$N$270,Q90+1,R90)</f>
        <v>//-- unmatched</v>
      </c>
    </row>
    <row r="91" spans="16:19" x14ac:dyDescent="0.75">
      <c r="P91" s="9">
        <v>77</v>
      </c>
      <c r="Q91" s="9">
        <f t="shared" si="25"/>
        <v>12</v>
      </c>
      <c r="R91" s="9">
        <f t="shared" si="26"/>
        <v>5</v>
      </c>
      <c r="S91" s="14" t="str" cm="1">
        <f t="array" ref="S91">INDEX('Report-ConceptMap-1'!$I$15:$N$270,Q91+1,R91)</f>
        <v>* group[=].element[=].target.equivalence = #unmatched</v>
      </c>
    </row>
    <row r="92" spans="16:19" ht="29.5" x14ac:dyDescent="0.75">
      <c r="P92" s="9">
        <v>78</v>
      </c>
      <c r="Q92" s="9">
        <f t="shared" si="25"/>
        <v>12</v>
      </c>
      <c r="R92" s="9">
        <f t="shared" si="26"/>
        <v>6</v>
      </c>
      <c r="S92" s="14" t="str" cm="1">
        <f t="array" ref="S92">INDEX('Report-ConceptMap-1'!$I$15:$N$270,Q92+1,R92)</f>
        <v>* group[=].element[=].target.comment = ##34#Mapped in the Composition resource##34#</v>
      </c>
    </row>
    <row r="93" spans="16:19" x14ac:dyDescent="0.75">
      <c r="P93" s="9">
        <v>79</v>
      </c>
      <c r="Q93" s="9">
        <f t="shared" si="25"/>
        <v>13</v>
      </c>
      <c r="R93" s="9">
        <f t="shared" si="26"/>
        <v>1</v>
      </c>
      <c r="S93" s="14" t="str" cm="1">
        <f t="array" ref="S93">INDEX('Report-ConceptMap-1'!$I$15:$N$270,Q93+1,R93)</f>
        <v>* group[=].element[+].code = #LabReport.header.metadata.custodian</v>
      </c>
    </row>
    <row r="94" spans="16:19" x14ac:dyDescent="0.75">
      <c r="P94" s="9">
        <v>80</v>
      </c>
      <c r="Q94" s="9">
        <f t="shared" si="25"/>
        <v>13</v>
      </c>
      <c r="R94" s="9">
        <f t="shared" si="26"/>
        <v>2</v>
      </c>
      <c r="S94" s="14" t="str" cm="1">
        <f t="array" ref="S94">INDEX('Report-ConceptMap-1'!$I$15:$N$270,Q94+1,R94)</f>
        <v>* group[=].element[=].display = ##34#A.1.8.5 Report custodian##34#</v>
      </c>
    </row>
    <row r="95" spans="16:19" x14ac:dyDescent="0.75">
      <c r="P95" s="9">
        <v>81</v>
      </c>
      <c r="Q95" s="9">
        <f t="shared" si="25"/>
        <v>13</v>
      </c>
      <c r="R95" s="9">
        <f t="shared" si="26"/>
        <v>3</v>
      </c>
      <c r="S95" s="14" t="str" cm="1">
        <f t="array" ref="S95">INDEX('Report-ConceptMap-1'!$I$15:$N$270,Q95+1,R95)</f>
        <v>//-- unmatched</v>
      </c>
    </row>
    <row r="96" spans="16:19" x14ac:dyDescent="0.75">
      <c r="P96" s="9">
        <v>82</v>
      </c>
      <c r="Q96" s="9">
        <f t="shared" si="25"/>
        <v>13</v>
      </c>
      <c r="R96" s="9">
        <f t="shared" si="26"/>
        <v>4</v>
      </c>
      <c r="S96" s="14" t="str" cm="1">
        <f t="array" ref="S96">INDEX('Report-ConceptMap-1'!$I$15:$N$270,Q96+1,R96)</f>
        <v>//-- unmatched</v>
      </c>
    </row>
    <row r="97" spans="16:19" x14ac:dyDescent="0.75">
      <c r="P97" s="9">
        <v>83</v>
      </c>
      <c r="Q97" s="9">
        <f t="shared" si="25"/>
        <v>13</v>
      </c>
      <c r="R97" s="9">
        <f t="shared" si="26"/>
        <v>5</v>
      </c>
      <c r="S97" s="14" t="str" cm="1">
        <f t="array" ref="S97">INDEX('Report-ConceptMap-1'!$I$15:$N$270,Q97+1,R97)</f>
        <v>* group[=].element[=].target.equivalence = #unmatched</v>
      </c>
    </row>
    <row r="98" spans="16:19" ht="29.5" x14ac:dyDescent="0.75">
      <c r="P98" s="9">
        <v>84</v>
      </c>
      <c r="Q98" s="9">
        <f t="shared" si="25"/>
        <v>13</v>
      </c>
      <c r="R98" s="9">
        <f t="shared" si="26"/>
        <v>6</v>
      </c>
      <c r="S98" s="14" t="str" cm="1">
        <f t="array" ref="S98">INDEX('Report-ConceptMap-1'!$I$15:$N$270,Q98+1,R98)</f>
        <v>* group[=].element[=].target.comment = ##34#Mapped in the Composition resource##34#</v>
      </c>
    </row>
    <row r="99" spans="16:19" x14ac:dyDescent="0.75">
      <c r="P99" s="9">
        <v>85</v>
      </c>
      <c r="Q99" s="9">
        <f t="shared" si="25"/>
        <v>14</v>
      </c>
      <c r="R99" s="9">
        <f t="shared" si="26"/>
        <v>1</v>
      </c>
      <c r="S99" s="14" t="str" cm="1">
        <f t="array" ref="S99">INDEX('Report-ConceptMap-1'!$I$15:$N$270,Q99+1,R99)</f>
        <v>* group[=].element[+].code = #LabReport.order</v>
      </c>
    </row>
    <row r="100" spans="16:19" x14ac:dyDescent="0.75">
      <c r="P100" s="9">
        <v>86</v>
      </c>
      <c r="Q100" s="9">
        <f t="shared" si="25"/>
        <v>14</v>
      </c>
      <c r="R100" s="9">
        <f t="shared" si="26"/>
        <v>2</v>
      </c>
      <c r="S100" s="14" t="str" cm="1">
        <f t="array" ref="S100">INDEX('Report-ConceptMap-1'!$I$15:$N$270,Q100+1,R100)</f>
        <v>* group[=].element[=].display = ##34#A.2-A.3 Order##34#</v>
      </c>
    </row>
    <row r="101" spans="16:19" ht="29.5" x14ac:dyDescent="0.75">
      <c r="P101" s="9">
        <v>87</v>
      </c>
      <c r="Q101" s="9">
        <f t="shared" si="25"/>
        <v>14</v>
      </c>
      <c r="R101" s="9">
        <f t="shared" si="26"/>
        <v>3</v>
      </c>
      <c r="S101" s="14" t="str" cm="1">
        <f t="array" ref="S101">INDEX('Report-ConceptMap-1'!$I$15:$N$270,Q101+1,R101)</f>
        <v>* group[=].element[=].target.code = #DiagnosticReport.basedOn.resolve().ofType(ServiceRequest)</v>
      </c>
    </row>
    <row r="102" spans="16:19" x14ac:dyDescent="0.75">
      <c r="P102" s="9">
        <v>88</v>
      </c>
      <c r="Q102" s="9">
        <f t="shared" si="25"/>
        <v>14</v>
      </c>
      <c r="R102" s="9">
        <f t="shared" si="26"/>
        <v>4</v>
      </c>
      <c r="S102" s="14" t="str" cm="1">
        <f t="array" ref="S102">INDEX('Report-ConceptMap-1'!$I$15:$N$270,Q102+1,R102)</f>
        <v>* group[=].element[=].target.display = ##34###34#</v>
      </c>
    </row>
    <row r="103" spans="16:19" x14ac:dyDescent="0.75">
      <c r="P103" s="9">
        <v>89</v>
      </c>
      <c r="Q103" s="9">
        <f t="shared" si="25"/>
        <v>14</v>
      </c>
      <c r="R103" s="9">
        <f t="shared" si="26"/>
        <v>5</v>
      </c>
      <c r="S103" s="14" t="str" cm="1">
        <f t="array" ref="S103">INDEX('Report-ConceptMap-1'!$I$15:$N$270,Q103+1,R103)</f>
        <v>* group[=].element[=].target.equivalence = #relatedto</v>
      </c>
    </row>
    <row r="104" spans="16:19" x14ac:dyDescent="0.75">
      <c r="P104" s="9">
        <v>90</v>
      </c>
      <c r="Q104" s="9">
        <f t="shared" si="25"/>
        <v>14</v>
      </c>
      <c r="R104" s="9">
        <f t="shared" si="26"/>
        <v>6</v>
      </c>
      <c r="S104" s="14" t="str" cm="1">
        <f t="array" ref="S104">INDEX('Report-ConceptMap-1'!$I$15:$N$270,Q104+1,R104)</f>
        <v/>
      </c>
    </row>
    <row r="105" spans="16:19" x14ac:dyDescent="0.75">
      <c r="P105" s="9">
        <v>91</v>
      </c>
      <c r="Q105" s="9">
        <f t="shared" si="25"/>
        <v>15</v>
      </c>
      <c r="R105" s="9">
        <f t="shared" si="26"/>
        <v>1</v>
      </c>
      <c r="S105" s="14" t="str" cm="1">
        <f t="array" ref="S105">INDEX('Report-ConceptMap-1'!$I$15:$N$270,Q105+1,R105)</f>
        <v>* group[=].element[+].code = #LabReport.specimen</v>
      </c>
    </row>
    <row r="106" spans="16:19" x14ac:dyDescent="0.75">
      <c r="P106" s="9">
        <v>92</v>
      </c>
      <c r="Q106" s="9">
        <f t="shared" si="25"/>
        <v>15</v>
      </c>
      <c r="R106" s="9">
        <f t="shared" si="26"/>
        <v>2</v>
      </c>
      <c r="S106" s="14" t="str" cm="1">
        <f t="array" ref="S106">INDEX('Report-ConceptMap-1'!$I$15:$N$270,Q106+1,R106)</f>
        <v>* group[=].element[=].display = ##34#A.4 Specimen information##34#</v>
      </c>
    </row>
    <row r="107" spans="16:19" x14ac:dyDescent="0.75">
      <c r="P107" s="9">
        <v>93</v>
      </c>
      <c r="Q107" s="9">
        <f t="shared" si="25"/>
        <v>15</v>
      </c>
      <c r="R107" s="9">
        <f t="shared" si="26"/>
        <v>3</v>
      </c>
      <c r="S107" s="14" t="str" cm="1">
        <f t="array" ref="S107">INDEX('Report-ConceptMap-1'!$I$15:$N$270,Q107+1,R107)</f>
        <v>* group[=].element[=].target.code = #DiagnosticReport.specimen.resolve()</v>
      </c>
    </row>
    <row r="108" spans="16:19" x14ac:dyDescent="0.75">
      <c r="P108" s="9">
        <v>94</v>
      </c>
      <c r="Q108" s="9">
        <f t="shared" si="25"/>
        <v>15</v>
      </c>
      <c r="R108" s="9">
        <f t="shared" si="26"/>
        <v>4</v>
      </c>
      <c r="S108" s="14" t="str" cm="1">
        <f t="array" ref="S108">INDEX('Report-ConceptMap-1'!$I$15:$N$270,Q108+1,R108)</f>
        <v>* group[=].element[=].target.display = ##34###34#</v>
      </c>
    </row>
    <row r="109" spans="16:19" x14ac:dyDescent="0.75">
      <c r="P109" s="9">
        <v>95</v>
      </c>
      <c r="Q109" s="9">
        <f t="shared" si="25"/>
        <v>15</v>
      </c>
      <c r="R109" s="9">
        <f t="shared" si="26"/>
        <v>5</v>
      </c>
      <c r="S109" s="14" t="str" cm="1">
        <f t="array" ref="S109">INDEX('Report-ConceptMap-1'!$I$15:$N$270,Q109+1,R109)</f>
        <v>* group[=].element[=].target.equivalence = #relatedto</v>
      </c>
    </row>
    <row r="110" spans="16:19" x14ac:dyDescent="0.75">
      <c r="P110" s="9">
        <v>96</v>
      </c>
      <c r="Q110" s="9">
        <f t="shared" si="25"/>
        <v>15</v>
      </c>
      <c r="R110" s="9">
        <f t="shared" si="26"/>
        <v>6</v>
      </c>
      <c r="S110" s="14" t="str" cm="1">
        <f t="array" ref="S110">INDEX('Report-ConceptMap-1'!$I$15:$N$270,Q110+1,R110)</f>
        <v/>
      </c>
    </row>
    <row r="111" spans="16:19" x14ac:dyDescent="0.75">
      <c r="P111" s="9">
        <v>97</v>
      </c>
      <c r="Q111" s="9">
        <f t="shared" si="25"/>
        <v>16</v>
      </c>
      <c r="R111" s="9">
        <f t="shared" si="26"/>
        <v>1</v>
      </c>
      <c r="S111" s="14" t="str" cm="1">
        <f t="array" ref="S111">INDEX('Report-ConceptMap-1'!$I$15:$N$270,Q111+1,R111)</f>
        <v>* group[=].element[+].code = #LabReport.result</v>
      </c>
    </row>
    <row r="112" spans="16:19" x14ac:dyDescent="0.75">
      <c r="P112" s="9">
        <v>98</v>
      </c>
      <c r="Q112" s="9">
        <f t="shared" si="25"/>
        <v>16</v>
      </c>
      <c r="R112" s="9">
        <f t="shared" si="26"/>
        <v>2</v>
      </c>
      <c r="S112" s="14" t="str" cm="1">
        <f t="array" ref="S112">INDEX('Report-ConceptMap-1'!$I$15:$N$270,Q112+1,R112)</f>
        <v>* group[=].element[=].display = ##34#A.5 Results data elements##34#</v>
      </c>
    </row>
    <row r="113" spans="16:19" x14ac:dyDescent="0.75">
      <c r="P113" s="9">
        <v>99</v>
      </c>
      <c r="Q113" s="9">
        <f t="shared" si="25"/>
        <v>16</v>
      </c>
      <c r="R113" s="9">
        <f t="shared" si="26"/>
        <v>3</v>
      </c>
      <c r="S113" s="14" t="str" cm="1">
        <f t="array" ref="S113">INDEX('Report-ConceptMap-1'!$I$15:$N$270,Q113+1,R113)</f>
        <v>* group[=].element[=].target.code = #DiagnosticReport.result.resolve()</v>
      </c>
    </row>
    <row r="114" spans="16:19" x14ac:dyDescent="0.75">
      <c r="P114" s="9">
        <v>100</v>
      </c>
      <c r="Q114" s="9">
        <f t="shared" si="25"/>
        <v>16</v>
      </c>
      <c r="R114" s="9">
        <f t="shared" si="26"/>
        <v>4</v>
      </c>
      <c r="S114" s="14" t="str" cm="1">
        <f t="array" ref="S114">INDEX('Report-ConceptMap-1'!$I$15:$N$270,Q114+1,R114)</f>
        <v>* group[=].element[=].target.display = ##34###34#</v>
      </c>
    </row>
    <row r="115" spans="16:19" x14ac:dyDescent="0.75">
      <c r="P115" s="9">
        <v>101</v>
      </c>
      <c r="Q115" s="9">
        <f t="shared" si="25"/>
        <v>16</v>
      </c>
      <c r="R115" s="9">
        <f t="shared" si="26"/>
        <v>5</v>
      </c>
      <c r="S115" s="14" t="str" cm="1">
        <f t="array" ref="S115">INDEX('Report-ConceptMap-1'!$I$15:$N$270,Q115+1,R115)</f>
        <v>* group[=].element[=].target.equivalence = #relatedto</v>
      </c>
    </row>
    <row r="116" spans="16:19" x14ac:dyDescent="0.75">
      <c r="P116" s="9">
        <v>102</v>
      </c>
      <c r="Q116" s="9">
        <f t="shared" si="25"/>
        <v>16</v>
      </c>
      <c r="R116" s="9">
        <f t="shared" si="26"/>
        <v>6</v>
      </c>
      <c r="S116" s="14" t="str" cm="1">
        <f t="array" ref="S116">INDEX('Report-ConceptMap-1'!$I$15:$N$270,Q116+1,R116)</f>
        <v/>
      </c>
    </row>
    <row r="117" spans="16:19" x14ac:dyDescent="0.75">
      <c r="P117" s="9">
        <v>103</v>
      </c>
      <c r="Q117" s="9">
        <f t="shared" si="25"/>
        <v>17</v>
      </c>
      <c r="R117" s="9">
        <f t="shared" si="26"/>
        <v>1</v>
      </c>
      <c r="S117" s="14" t="str" cm="1">
        <f t="array" ref="S117">INDEX('Report-ConceptMap-1'!$I$15:$N$270,Q117+1,R117)</f>
        <v>* group[=].element[+].code = #LabReport.specimen</v>
      </c>
    </row>
    <row r="118" spans="16:19" x14ac:dyDescent="0.75">
      <c r="P118" s="9">
        <v>104</v>
      </c>
      <c r="Q118" s="9">
        <f t="shared" si="25"/>
        <v>17</v>
      </c>
      <c r="R118" s="9">
        <f t="shared" si="26"/>
        <v>2</v>
      </c>
      <c r="S118" s="14" t="str" cm="1">
        <f t="array" ref="S118">INDEX('Report-ConceptMap-1'!$I$15:$N$270,Q118+1,R118)</f>
        <v>* group[=].element[=].display = ##34#A.4 Specimen information##34#</v>
      </c>
    </row>
    <row r="119" spans="16:19" x14ac:dyDescent="0.75">
      <c r="P119" s="9">
        <v>105</v>
      </c>
      <c r="Q119" s="9">
        <f t="shared" si="25"/>
        <v>17</v>
      </c>
      <c r="R119" s="9">
        <f t="shared" si="26"/>
        <v>3</v>
      </c>
      <c r="S119" s="14" t="str" cm="1">
        <f t="array" ref="S119">INDEX('Report-ConceptMap-1'!$I$15:$N$270,Q119+1,R119)</f>
        <v>* group[=].element[=].target.code = #DiagnosticReport.result.resolve().ofType(Observation).specimen</v>
      </c>
    </row>
    <row r="120" spans="16:19" x14ac:dyDescent="0.75">
      <c r="P120" s="9">
        <v>106</v>
      </c>
      <c r="Q120" s="9">
        <f t="shared" si="25"/>
        <v>17</v>
      </c>
      <c r="R120" s="9">
        <f t="shared" si="26"/>
        <v>4</v>
      </c>
      <c r="S120" s="14" t="str" cm="1">
        <f t="array" ref="S120">INDEX('Report-ConceptMap-1'!$I$15:$N$270,Q120+1,R120)</f>
        <v>* group[=].element[=].target.display = ##34###34#</v>
      </c>
    </row>
    <row r="121" spans="16:19" x14ac:dyDescent="0.75">
      <c r="P121" s="9">
        <v>107</v>
      </c>
      <c r="Q121" s="9">
        <f t="shared" si="25"/>
        <v>17</v>
      </c>
      <c r="R121" s="9">
        <f t="shared" si="26"/>
        <v>5</v>
      </c>
      <c r="S121" s="14" t="str" cm="1">
        <f t="array" ref="S121">INDEX('Report-ConceptMap-1'!$I$15:$N$270,Q121+1,R121)</f>
        <v>* group[=].element[=].target.equivalence = #relatedto</v>
      </c>
    </row>
    <row r="122" spans="16:19" x14ac:dyDescent="0.75">
      <c r="P122" s="9">
        <v>108</v>
      </c>
      <c r="Q122" s="9">
        <f t="shared" si="25"/>
        <v>17</v>
      </c>
      <c r="R122" s="9">
        <f t="shared" si="26"/>
        <v>6</v>
      </c>
      <c r="S122" s="14" t="str" cm="1">
        <f t="array" ref="S122">INDEX('Report-ConceptMap-1'!$I$15:$N$270,Q122+1,R122)</f>
        <v/>
      </c>
    </row>
    <row r="123" spans="16:19" x14ac:dyDescent="0.75">
      <c r="P123" s="9">
        <v>109</v>
      </c>
      <c r="Q123" s="9">
        <f t="shared" si="25"/>
        <v>18</v>
      </c>
      <c r="R123" s="9">
        <f t="shared" si="26"/>
        <v>1</v>
      </c>
      <c r="S123" s="14" cm="1">
        <f t="array" ref="S123">INDEX('Report-ConceptMap-1'!$I$15:$N$270,Q123+1,R123)</f>
        <v>0</v>
      </c>
    </row>
    <row r="124" spans="16:19" x14ac:dyDescent="0.75">
      <c r="P124" s="9">
        <v>110</v>
      </c>
      <c r="Q124" s="9">
        <f t="shared" si="25"/>
        <v>18</v>
      </c>
      <c r="R124" s="9">
        <f t="shared" si="26"/>
        <v>2</v>
      </c>
      <c r="S124" s="14" cm="1">
        <f t="array" ref="S124">INDEX('Report-ConceptMap-1'!$I$15:$N$270,Q124+1,R124)</f>
        <v>0</v>
      </c>
    </row>
    <row r="125" spans="16:19" x14ac:dyDescent="0.75">
      <c r="P125" s="9">
        <v>111</v>
      </c>
      <c r="Q125" s="9">
        <f t="shared" si="25"/>
        <v>18</v>
      </c>
      <c r="R125" s="9">
        <f t="shared" si="26"/>
        <v>3</v>
      </c>
      <c r="S125" s="14" cm="1">
        <f t="array" ref="S125">INDEX('Report-ConceptMap-1'!$I$15:$N$270,Q125+1,R125)</f>
        <v>0</v>
      </c>
    </row>
    <row r="126" spans="16:19" x14ac:dyDescent="0.75">
      <c r="P126" s="9">
        <v>112</v>
      </c>
      <c r="Q126" s="9">
        <f t="shared" si="25"/>
        <v>18</v>
      </c>
      <c r="R126" s="9">
        <f t="shared" si="26"/>
        <v>4</v>
      </c>
      <c r="S126" s="14" cm="1">
        <f t="array" ref="S126">INDEX('Report-ConceptMap-1'!$I$15:$N$270,Q126+1,R126)</f>
        <v>0</v>
      </c>
    </row>
    <row r="127" spans="16:19" x14ac:dyDescent="0.75">
      <c r="P127" s="9">
        <v>113</v>
      </c>
      <c r="Q127" s="9">
        <f t="shared" si="25"/>
        <v>18</v>
      </c>
      <c r="R127" s="9">
        <f t="shared" si="26"/>
        <v>5</v>
      </c>
      <c r="S127" s="14" cm="1">
        <f t="array" ref="S127">INDEX('Report-ConceptMap-1'!$I$15:$N$270,Q127+1,R127)</f>
        <v>0</v>
      </c>
    </row>
    <row r="128" spans="16:19" x14ac:dyDescent="0.75">
      <c r="P128" s="9">
        <v>114</v>
      </c>
      <c r="Q128" s="9">
        <f t="shared" si="25"/>
        <v>18</v>
      </c>
      <c r="R128" s="9">
        <f t="shared" si="26"/>
        <v>6</v>
      </c>
      <c r="S128" s="14" cm="1">
        <f t="array" ref="S128">INDEX('Report-ConceptMap-1'!$I$15:$N$270,Q128+1,R128)</f>
        <v>0</v>
      </c>
    </row>
    <row r="129" spans="16:19" x14ac:dyDescent="0.75">
      <c r="P129" s="9">
        <v>115</v>
      </c>
      <c r="Q129" s="9">
        <f t="shared" si="25"/>
        <v>19</v>
      </c>
      <c r="R129" s="9">
        <f t="shared" si="26"/>
        <v>1</v>
      </c>
      <c r="S129" s="14" cm="1">
        <f t="array" ref="S129">INDEX('Report-ConceptMap-1'!$I$15:$N$270,Q129+1,R129)</f>
        <v>0</v>
      </c>
    </row>
    <row r="130" spans="16:19" x14ac:dyDescent="0.75">
      <c r="P130" s="9">
        <v>116</v>
      </c>
      <c r="Q130" s="9">
        <f t="shared" si="25"/>
        <v>19</v>
      </c>
      <c r="R130" s="9">
        <f t="shared" si="26"/>
        <v>2</v>
      </c>
      <c r="S130" s="14" cm="1">
        <f t="array" ref="S130">INDEX('Report-ConceptMap-1'!$I$15:$N$270,Q130+1,R130)</f>
        <v>0</v>
      </c>
    </row>
    <row r="131" spans="16:19" x14ac:dyDescent="0.75">
      <c r="P131" s="9">
        <v>117</v>
      </c>
      <c r="Q131" s="9">
        <f t="shared" si="25"/>
        <v>19</v>
      </c>
      <c r="R131" s="9">
        <f t="shared" si="26"/>
        <v>3</v>
      </c>
      <c r="S131" s="14" cm="1">
        <f t="array" ref="S131">INDEX('Report-ConceptMap-1'!$I$15:$N$270,Q131+1,R131)</f>
        <v>0</v>
      </c>
    </row>
    <row r="132" spans="16:19" x14ac:dyDescent="0.75">
      <c r="P132" s="9">
        <v>118</v>
      </c>
      <c r="Q132" s="9">
        <f t="shared" si="25"/>
        <v>19</v>
      </c>
      <c r="R132" s="9">
        <f t="shared" si="26"/>
        <v>4</v>
      </c>
      <c r="S132" s="14" cm="1">
        <f t="array" ref="S132">INDEX('Report-ConceptMap-1'!$I$15:$N$270,Q132+1,R132)</f>
        <v>0</v>
      </c>
    </row>
    <row r="133" spans="16:19" x14ac:dyDescent="0.75">
      <c r="P133" s="9">
        <v>119</v>
      </c>
      <c r="Q133" s="9">
        <f t="shared" si="25"/>
        <v>19</v>
      </c>
      <c r="R133" s="9">
        <f t="shared" si="26"/>
        <v>5</v>
      </c>
      <c r="S133" s="14" cm="1">
        <f t="array" ref="S133">INDEX('Report-ConceptMap-1'!$I$15:$N$270,Q133+1,R133)</f>
        <v>0</v>
      </c>
    </row>
    <row r="134" spans="16:19" x14ac:dyDescent="0.75">
      <c r="P134" s="9">
        <v>120</v>
      </c>
      <c r="Q134" s="9">
        <f t="shared" si="25"/>
        <v>19</v>
      </c>
      <c r="R134" s="9">
        <f t="shared" si="26"/>
        <v>6</v>
      </c>
      <c r="S134" s="14" cm="1">
        <f t="array" ref="S134">INDEX('Report-ConceptMap-1'!$I$15:$N$270,Q134+1,R134)</f>
        <v>0</v>
      </c>
    </row>
    <row r="135" spans="16:19" x14ac:dyDescent="0.75">
      <c r="P135" s="9">
        <v>121</v>
      </c>
      <c r="Q135" s="9">
        <f t="shared" si="25"/>
        <v>20</v>
      </c>
      <c r="R135" s="9">
        <f t="shared" si="26"/>
        <v>1</v>
      </c>
      <c r="S135" s="14" cm="1">
        <f t="array" ref="S135">INDEX('Report-ConceptMap-1'!$I$15:$N$270,Q135+1,R135)</f>
        <v>0</v>
      </c>
    </row>
    <row r="136" spans="16:19" x14ac:dyDescent="0.75">
      <c r="P136" s="9">
        <v>122</v>
      </c>
      <c r="Q136" s="9">
        <f t="shared" si="25"/>
        <v>20</v>
      </c>
      <c r="R136" s="9">
        <f t="shared" si="26"/>
        <v>2</v>
      </c>
      <c r="S136" s="14" cm="1">
        <f t="array" ref="S136">INDEX('Report-ConceptMap-1'!$I$15:$N$270,Q136+1,R136)</f>
        <v>0</v>
      </c>
    </row>
    <row r="137" spans="16:19" x14ac:dyDescent="0.75">
      <c r="P137" s="9">
        <v>123</v>
      </c>
      <c r="Q137" s="9">
        <f t="shared" si="25"/>
        <v>20</v>
      </c>
      <c r="R137" s="9">
        <f t="shared" si="26"/>
        <v>3</v>
      </c>
      <c r="S137" s="14" cm="1">
        <f t="array" ref="S137">INDEX('Report-ConceptMap-1'!$I$15:$N$270,Q137+1,R137)</f>
        <v>0</v>
      </c>
    </row>
    <row r="138" spans="16:19" x14ac:dyDescent="0.75">
      <c r="P138" s="9">
        <v>124</v>
      </c>
      <c r="Q138" s="9">
        <f t="shared" si="25"/>
        <v>20</v>
      </c>
      <c r="R138" s="9">
        <f t="shared" si="26"/>
        <v>4</v>
      </c>
      <c r="S138" s="14" cm="1">
        <f t="array" ref="S138">INDEX('Report-ConceptMap-1'!$I$15:$N$270,Q138+1,R138)</f>
        <v>0</v>
      </c>
    </row>
    <row r="139" spans="16:19" x14ac:dyDescent="0.75">
      <c r="P139" s="9">
        <v>125</v>
      </c>
      <c r="Q139" s="9">
        <f t="shared" si="25"/>
        <v>20</v>
      </c>
      <c r="R139" s="9">
        <f t="shared" si="26"/>
        <v>5</v>
      </c>
      <c r="S139" s="14" cm="1">
        <f t="array" ref="S139">INDEX('Report-ConceptMap-1'!$I$15:$N$270,Q139+1,R139)</f>
        <v>0</v>
      </c>
    </row>
    <row r="140" spans="16:19" x14ac:dyDescent="0.75">
      <c r="P140" s="9">
        <v>126</v>
      </c>
      <c r="Q140" s="9">
        <f t="shared" si="25"/>
        <v>20</v>
      </c>
      <c r="R140" s="9">
        <f t="shared" si="26"/>
        <v>6</v>
      </c>
      <c r="S140" s="14" cm="1">
        <f t="array" ref="S140">INDEX('Report-ConceptMap-1'!$I$15:$N$270,Q140+1,R140)</f>
        <v>0</v>
      </c>
    </row>
    <row r="141" spans="16:19" x14ac:dyDescent="0.75">
      <c r="P141" s="9">
        <v>127</v>
      </c>
      <c r="Q141" s="9">
        <f t="shared" si="25"/>
        <v>21</v>
      </c>
      <c r="R141" s="9">
        <f t="shared" si="26"/>
        <v>1</v>
      </c>
      <c r="S141" s="14" cm="1">
        <f t="array" ref="S141">INDEX('Report-ConceptMap-1'!$I$15:$N$270,Q141+1,R141)</f>
        <v>0</v>
      </c>
    </row>
    <row r="142" spans="16:19" x14ac:dyDescent="0.75">
      <c r="P142" s="9">
        <v>128</v>
      </c>
      <c r="Q142" s="9">
        <f t="shared" si="25"/>
        <v>21</v>
      </c>
      <c r="R142" s="9">
        <f t="shared" si="26"/>
        <v>2</v>
      </c>
      <c r="S142" s="14" cm="1">
        <f t="array" ref="S142">INDEX('Report-ConceptMap-1'!$I$15:$N$270,Q142+1,R142)</f>
        <v>0</v>
      </c>
    </row>
    <row r="143" spans="16:19" x14ac:dyDescent="0.75">
      <c r="P143" s="9">
        <v>129</v>
      </c>
      <c r="Q143" s="9">
        <f t="shared" si="25"/>
        <v>21</v>
      </c>
      <c r="R143" s="9">
        <f t="shared" si="26"/>
        <v>3</v>
      </c>
      <c r="S143" s="14" cm="1">
        <f t="array" ref="S143">INDEX('Report-ConceptMap-1'!$I$15:$N$270,Q143+1,R143)</f>
        <v>0</v>
      </c>
    </row>
    <row r="144" spans="16:19" x14ac:dyDescent="0.75">
      <c r="P144" s="9">
        <v>130</v>
      </c>
      <c r="Q144" s="9">
        <f t="shared" si="25"/>
        <v>21</v>
      </c>
      <c r="R144" s="9">
        <f t="shared" si="26"/>
        <v>4</v>
      </c>
      <c r="S144" s="14" cm="1">
        <f t="array" ref="S144">INDEX('Report-ConceptMap-1'!$I$15:$N$270,Q144+1,R144)</f>
        <v>0</v>
      </c>
    </row>
    <row r="145" spans="16:19" x14ac:dyDescent="0.75">
      <c r="P145" s="9">
        <v>131</v>
      </c>
      <c r="Q145" s="9">
        <f t="shared" ref="Q145:Q190" si="27">IF(MOD(P145,$Q$8)=0,P145/$Q$8-1,INT(P145/$Q$8))</f>
        <v>21</v>
      </c>
      <c r="R145" s="9">
        <f t="shared" ref="R145:R190" si="28">IF(MOD(P145,$Q$8)=0,$Q$8,MOD(P145,$Q$8))</f>
        <v>5</v>
      </c>
      <c r="S145" s="14" cm="1">
        <f t="array" ref="S145">INDEX('Report-ConceptMap-1'!$I$15:$N$270,Q145+1,R145)</f>
        <v>0</v>
      </c>
    </row>
    <row r="146" spans="16:19" x14ac:dyDescent="0.75">
      <c r="P146" s="9">
        <v>132</v>
      </c>
      <c r="Q146" s="9">
        <f t="shared" si="27"/>
        <v>21</v>
      </c>
      <c r="R146" s="9">
        <f t="shared" si="28"/>
        <v>6</v>
      </c>
      <c r="S146" s="14" cm="1">
        <f t="array" ref="S146">INDEX('Report-ConceptMap-1'!$I$15:$N$270,Q146+1,R146)</f>
        <v>0</v>
      </c>
    </row>
    <row r="147" spans="16:19" x14ac:dyDescent="0.75">
      <c r="P147" s="9">
        <v>133</v>
      </c>
      <c r="Q147" s="9">
        <f t="shared" si="27"/>
        <v>22</v>
      </c>
      <c r="R147" s="9">
        <f t="shared" si="28"/>
        <v>1</v>
      </c>
      <c r="S147" s="14" cm="1">
        <f t="array" ref="S147">INDEX('Report-ConceptMap-1'!$I$15:$N$270,Q147+1,R147)</f>
        <v>0</v>
      </c>
    </row>
    <row r="148" spans="16:19" x14ac:dyDescent="0.75">
      <c r="P148" s="9">
        <v>134</v>
      </c>
      <c r="Q148" s="9">
        <f t="shared" si="27"/>
        <v>22</v>
      </c>
      <c r="R148" s="9">
        <f t="shared" si="28"/>
        <v>2</v>
      </c>
      <c r="S148" s="14" cm="1">
        <f t="array" ref="S148">INDEX('Report-ConceptMap-1'!$I$15:$N$270,Q148+1,R148)</f>
        <v>0</v>
      </c>
    </row>
    <row r="149" spans="16:19" x14ac:dyDescent="0.75">
      <c r="P149" s="9">
        <v>135</v>
      </c>
      <c r="Q149" s="9">
        <f t="shared" si="27"/>
        <v>22</v>
      </c>
      <c r="R149" s="9">
        <f t="shared" si="28"/>
        <v>3</v>
      </c>
      <c r="S149" s="14" cm="1">
        <f t="array" ref="S149">INDEX('Report-ConceptMap-1'!$I$15:$N$270,Q149+1,R149)</f>
        <v>0</v>
      </c>
    </row>
    <row r="150" spans="16:19" x14ac:dyDescent="0.75">
      <c r="P150" s="9">
        <v>136</v>
      </c>
      <c r="Q150" s="9">
        <f t="shared" si="27"/>
        <v>22</v>
      </c>
      <c r="R150" s="9">
        <f t="shared" si="28"/>
        <v>4</v>
      </c>
      <c r="S150" s="14" cm="1">
        <f t="array" ref="S150">INDEX('Report-ConceptMap-1'!$I$15:$N$270,Q150+1,R150)</f>
        <v>0</v>
      </c>
    </row>
    <row r="151" spans="16:19" x14ac:dyDescent="0.75">
      <c r="P151" s="9">
        <v>137</v>
      </c>
      <c r="Q151" s="9">
        <f t="shared" si="27"/>
        <v>22</v>
      </c>
      <c r="R151" s="9">
        <f t="shared" si="28"/>
        <v>5</v>
      </c>
      <c r="S151" s="14" cm="1">
        <f t="array" ref="S151">INDEX('Report-ConceptMap-1'!$I$15:$N$270,Q151+1,R151)</f>
        <v>0</v>
      </c>
    </row>
    <row r="152" spans="16:19" x14ac:dyDescent="0.75">
      <c r="P152" s="9">
        <v>138</v>
      </c>
      <c r="Q152" s="9">
        <f t="shared" si="27"/>
        <v>22</v>
      </c>
      <c r="R152" s="9">
        <f t="shared" si="28"/>
        <v>6</v>
      </c>
      <c r="S152" s="14" cm="1">
        <f t="array" ref="S152">INDEX('Report-ConceptMap-1'!$I$15:$N$270,Q152+1,R152)</f>
        <v>0</v>
      </c>
    </row>
    <row r="153" spans="16:19" x14ac:dyDescent="0.75">
      <c r="P153" s="9">
        <v>139</v>
      </c>
      <c r="Q153" s="9">
        <f t="shared" si="27"/>
        <v>23</v>
      </c>
      <c r="R153" s="9">
        <f t="shared" si="28"/>
        <v>1</v>
      </c>
      <c r="S153" s="14" cm="1">
        <f t="array" ref="S153">INDEX('Report-ConceptMap-1'!$I$15:$N$270,Q153+1,R153)</f>
        <v>0</v>
      </c>
    </row>
    <row r="154" spans="16:19" x14ac:dyDescent="0.75">
      <c r="P154" s="9">
        <v>140</v>
      </c>
      <c r="Q154" s="9">
        <f t="shared" si="27"/>
        <v>23</v>
      </c>
      <c r="R154" s="9">
        <f t="shared" si="28"/>
        <v>2</v>
      </c>
      <c r="S154" s="14" cm="1">
        <f t="array" ref="S154">INDEX('Report-ConceptMap-1'!$I$15:$N$270,Q154+1,R154)</f>
        <v>0</v>
      </c>
    </row>
    <row r="155" spans="16:19" x14ac:dyDescent="0.75">
      <c r="P155" s="9">
        <v>141</v>
      </c>
      <c r="Q155" s="9">
        <f t="shared" si="27"/>
        <v>23</v>
      </c>
      <c r="R155" s="9">
        <f t="shared" si="28"/>
        <v>3</v>
      </c>
      <c r="S155" s="14" cm="1">
        <f t="array" ref="S155">INDEX('Report-ConceptMap-1'!$I$15:$N$270,Q155+1,R155)</f>
        <v>0</v>
      </c>
    </row>
    <row r="156" spans="16:19" x14ac:dyDescent="0.75">
      <c r="P156" s="9">
        <v>142</v>
      </c>
      <c r="Q156" s="9">
        <f t="shared" si="27"/>
        <v>23</v>
      </c>
      <c r="R156" s="9">
        <f t="shared" si="28"/>
        <v>4</v>
      </c>
      <c r="S156" s="14" cm="1">
        <f t="array" ref="S156">INDEX('Report-ConceptMap-1'!$I$15:$N$270,Q156+1,R156)</f>
        <v>0</v>
      </c>
    </row>
    <row r="157" spans="16:19" x14ac:dyDescent="0.75">
      <c r="P157" s="9">
        <v>143</v>
      </c>
      <c r="Q157" s="9">
        <f t="shared" si="27"/>
        <v>23</v>
      </c>
      <c r="R157" s="9">
        <f t="shared" si="28"/>
        <v>5</v>
      </c>
      <c r="S157" s="14" cm="1">
        <f t="array" ref="S157">INDEX('Report-ConceptMap-1'!$I$15:$N$270,Q157+1,R157)</f>
        <v>0</v>
      </c>
    </row>
    <row r="158" spans="16:19" x14ac:dyDescent="0.75">
      <c r="P158" s="9">
        <v>144</v>
      </c>
      <c r="Q158" s="9">
        <f t="shared" si="27"/>
        <v>23</v>
      </c>
      <c r="R158" s="9">
        <f t="shared" si="28"/>
        <v>6</v>
      </c>
      <c r="S158" s="14" cm="1">
        <f t="array" ref="S158">INDEX('Report-ConceptMap-1'!$I$15:$N$270,Q158+1,R158)</f>
        <v>0</v>
      </c>
    </row>
    <row r="159" spans="16:19" x14ac:dyDescent="0.75">
      <c r="P159" s="9">
        <v>145</v>
      </c>
      <c r="Q159" s="9">
        <f t="shared" si="27"/>
        <v>24</v>
      </c>
      <c r="R159" s="9">
        <f t="shared" si="28"/>
        <v>1</v>
      </c>
      <c r="S159" s="14" cm="1">
        <f t="array" ref="S159">INDEX('Report-ConceptMap-1'!$I$15:$N$270,Q159+1,R159)</f>
        <v>0</v>
      </c>
    </row>
    <row r="160" spans="16:19" x14ac:dyDescent="0.75">
      <c r="P160" s="9">
        <v>146</v>
      </c>
      <c r="Q160" s="9">
        <f t="shared" si="27"/>
        <v>24</v>
      </c>
      <c r="R160" s="9">
        <f t="shared" si="28"/>
        <v>2</v>
      </c>
      <c r="S160" s="14" cm="1">
        <f t="array" ref="S160">INDEX('Report-ConceptMap-1'!$I$15:$N$270,Q160+1,R160)</f>
        <v>0</v>
      </c>
    </row>
    <row r="161" spans="16:19" x14ac:dyDescent="0.75">
      <c r="P161" s="9">
        <v>147</v>
      </c>
      <c r="Q161" s="9">
        <f t="shared" si="27"/>
        <v>24</v>
      </c>
      <c r="R161" s="9">
        <f t="shared" si="28"/>
        <v>3</v>
      </c>
      <c r="S161" s="14" cm="1">
        <f t="array" ref="S161">INDEX('Report-ConceptMap-1'!$I$15:$N$270,Q161+1,R161)</f>
        <v>0</v>
      </c>
    </row>
    <row r="162" spans="16:19" x14ac:dyDescent="0.75">
      <c r="P162" s="9">
        <v>148</v>
      </c>
      <c r="Q162" s="9">
        <f t="shared" si="27"/>
        <v>24</v>
      </c>
      <c r="R162" s="9">
        <f t="shared" si="28"/>
        <v>4</v>
      </c>
      <c r="S162" s="14" cm="1">
        <f t="array" ref="S162">INDEX('Report-ConceptMap-1'!$I$15:$N$270,Q162+1,R162)</f>
        <v>0</v>
      </c>
    </row>
    <row r="163" spans="16:19" x14ac:dyDescent="0.75">
      <c r="P163" s="9">
        <v>149</v>
      </c>
      <c r="Q163" s="9">
        <f t="shared" si="27"/>
        <v>24</v>
      </c>
      <c r="R163" s="9">
        <f t="shared" si="28"/>
        <v>5</v>
      </c>
      <c r="S163" s="14" cm="1">
        <f t="array" ref="S163">INDEX('Report-ConceptMap-1'!$I$15:$N$270,Q163+1,R163)</f>
        <v>0</v>
      </c>
    </row>
    <row r="164" spans="16:19" x14ac:dyDescent="0.75">
      <c r="P164" s="9">
        <v>150</v>
      </c>
      <c r="Q164" s="9">
        <f t="shared" si="27"/>
        <v>24</v>
      </c>
      <c r="R164" s="9">
        <f t="shared" si="28"/>
        <v>6</v>
      </c>
      <c r="S164" s="14" cm="1">
        <f t="array" ref="S164">INDEX('Report-ConceptMap-1'!$I$15:$N$270,Q164+1,R164)</f>
        <v>0</v>
      </c>
    </row>
    <row r="165" spans="16:19" x14ac:dyDescent="0.75">
      <c r="P165" s="9">
        <v>151</v>
      </c>
      <c r="Q165" s="9">
        <f t="shared" si="27"/>
        <v>25</v>
      </c>
      <c r="R165" s="9">
        <f t="shared" si="28"/>
        <v>1</v>
      </c>
      <c r="S165" s="14" cm="1">
        <f t="array" ref="S165">INDEX('Report-ConceptMap-1'!$I$15:$N$270,Q165+1,R165)</f>
        <v>0</v>
      </c>
    </row>
    <row r="166" spans="16:19" x14ac:dyDescent="0.75">
      <c r="P166" s="9">
        <v>152</v>
      </c>
      <c r="Q166" s="9">
        <f t="shared" si="27"/>
        <v>25</v>
      </c>
      <c r="R166" s="9">
        <f t="shared" si="28"/>
        <v>2</v>
      </c>
      <c r="S166" s="14" cm="1">
        <f t="array" ref="S166">INDEX('Report-ConceptMap-1'!$I$15:$N$270,Q166+1,R166)</f>
        <v>0</v>
      </c>
    </row>
    <row r="167" spans="16:19" x14ac:dyDescent="0.75">
      <c r="P167" s="9">
        <v>153</v>
      </c>
      <c r="Q167" s="9">
        <f t="shared" si="27"/>
        <v>25</v>
      </c>
      <c r="R167" s="9">
        <f t="shared" si="28"/>
        <v>3</v>
      </c>
      <c r="S167" s="14" cm="1">
        <f t="array" ref="S167">INDEX('Report-ConceptMap-1'!$I$15:$N$270,Q167+1,R167)</f>
        <v>0</v>
      </c>
    </row>
    <row r="168" spans="16:19" x14ac:dyDescent="0.75">
      <c r="P168" s="9">
        <v>154</v>
      </c>
      <c r="Q168" s="9">
        <f t="shared" si="27"/>
        <v>25</v>
      </c>
      <c r="R168" s="9">
        <f t="shared" si="28"/>
        <v>4</v>
      </c>
      <c r="S168" s="14" cm="1">
        <f t="array" ref="S168">INDEX('Report-ConceptMap-1'!$I$15:$N$270,Q168+1,R168)</f>
        <v>0</v>
      </c>
    </row>
    <row r="169" spans="16:19" x14ac:dyDescent="0.75">
      <c r="P169" s="9">
        <v>155</v>
      </c>
      <c r="Q169" s="9">
        <f t="shared" si="27"/>
        <v>25</v>
      </c>
      <c r="R169" s="9">
        <f t="shared" si="28"/>
        <v>5</v>
      </c>
      <c r="S169" s="14" cm="1">
        <f t="array" ref="S169">INDEX('Report-ConceptMap-1'!$I$15:$N$270,Q169+1,R169)</f>
        <v>0</v>
      </c>
    </row>
    <row r="170" spans="16:19" x14ac:dyDescent="0.75">
      <c r="P170" s="9">
        <v>156</v>
      </c>
      <c r="Q170" s="9">
        <f t="shared" si="27"/>
        <v>25</v>
      </c>
      <c r="R170" s="9">
        <f t="shared" si="28"/>
        <v>6</v>
      </c>
      <c r="S170" s="14" cm="1">
        <f t="array" ref="S170">INDEX('Report-ConceptMap-1'!$I$15:$N$270,Q170+1,R170)</f>
        <v>0</v>
      </c>
    </row>
    <row r="171" spans="16:19" x14ac:dyDescent="0.75">
      <c r="P171" s="9">
        <v>157</v>
      </c>
      <c r="Q171" s="9">
        <f t="shared" si="27"/>
        <v>26</v>
      </c>
      <c r="R171" s="9">
        <f t="shared" si="28"/>
        <v>1</v>
      </c>
      <c r="S171" s="14" cm="1">
        <f t="array" ref="S171">INDEX('Report-ConceptMap-1'!$I$15:$N$270,Q171+1,R171)</f>
        <v>0</v>
      </c>
    </row>
    <row r="172" spans="16:19" x14ac:dyDescent="0.75">
      <c r="P172" s="9">
        <v>158</v>
      </c>
      <c r="Q172" s="9">
        <f t="shared" si="27"/>
        <v>26</v>
      </c>
      <c r="R172" s="9">
        <f t="shared" si="28"/>
        <v>2</v>
      </c>
      <c r="S172" s="14" cm="1">
        <f t="array" ref="S172">INDEX('Report-ConceptMap-1'!$I$15:$N$270,Q172+1,R172)</f>
        <v>0</v>
      </c>
    </row>
    <row r="173" spans="16:19" x14ac:dyDescent="0.75">
      <c r="P173" s="9">
        <v>159</v>
      </c>
      <c r="Q173" s="9">
        <f t="shared" si="27"/>
        <v>26</v>
      </c>
      <c r="R173" s="9">
        <f t="shared" si="28"/>
        <v>3</v>
      </c>
      <c r="S173" s="14" cm="1">
        <f t="array" ref="S173">INDEX('Report-ConceptMap-1'!$I$15:$N$270,Q173+1,R173)</f>
        <v>0</v>
      </c>
    </row>
    <row r="174" spans="16:19" x14ac:dyDescent="0.75">
      <c r="P174" s="9">
        <v>160</v>
      </c>
      <c r="Q174" s="9">
        <f t="shared" si="27"/>
        <v>26</v>
      </c>
      <c r="R174" s="9">
        <f t="shared" si="28"/>
        <v>4</v>
      </c>
      <c r="S174" s="14" cm="1">
        <f t="array" ref="S174">INDEX('Report-ConceptMap-1'!$I$15:$N$270,Q174+1,R174)</f>
        <v>0</v>
      </c>
    </row>
    <row r="175" spans="16:19" x14ac:dyDescent="0.75">
      <c r="P175" s="9">
        <v>161</v>
      </c>
      <c r="Q175" s="9">
        <f t="shared" si="27"/>
        <v>26</v>
      </c>
      <c r="R175" s="9">
        <f t="shared" si="28"/>
        <v>5</v>
      </c>
      <c r="S175" s="14" cm="1">
        <f t="array" ref="S175">INDEX('Report-ConceptMap-1'!$I$15:$N$270,Q175+1,R175)</f>
        <v>0</v>
      </c>
    </row>
    <row r="176" spans="16:19" x14ac:dyDescent="0.75">
      <c r="P176" s="9">
        <v>162</v>
      </c>
      <c r="Q176" s="9">
        <f t="shared" si="27"/>
        <v>26</v>
      </c>
      <c r="R176" s="9">
        <f t="shared" si="28"/>
        <v>6</v>
      </c>
      <c r="S176" s="14" cm="1">
        <f t="array" ref="S176">INDEX('Report-ConceptMap-1'!$I$15:$N$270,Q176+1,R176)</f>
        <v>0</v>
      </c>
    </row>
    <row r="177" spans="16:19" x14ac:dyDescent="0.75">
      <c r="P177" s="9">
        <v>163</v>
      </c>
      <c r="Q177" s="9">
        <f t="shared" si="27"/>
        <v>27</v>
      </c>
      <c r="R177" s="9">
        <f t="shared" si="28"/>
        <v>1</v>
      </c>
      <c r="S177" s="14" cm="1">
        <f t="array" ref="S177">INDEX('Report-ConceptMap-1'!$I$15:$N$270,Q177+1,R177)</f>
        <v>0</v>
      </c>
    </row>
    <row r="178" spans="16:19" x14ac:dyDescent="0.75">
      <c r="P178" s="9">
        <v>164</v>
      </c>
      <c r="Q178" s="9">
        <f t="shared" si="27"/>
        <v>27</v>
      </c>
      <c r="R178" s="9">
        <f t="shared" si="28"/>
        <v>2</v>
      </c>
      <c r="S178" s="14" cm="1">
        <f t="array" ref="S178">INDEX('Report-ConceptMap-1'!$I$15:$N$270,Q178+1,R178)</f>
        <v>0</v>
      </c>
    </row>
    <row r="179" spans="16:19" x14ac:dyDescent="0.75">
      <c r="P179" s="9">
        <v>165</v>
      </c>
      <c r="Q179" s="9">
        <f t="shared" si="27"/>
        <v>27</v>
      </c>
      <c r="R179" s="9">
        <f t="shared" si="28"/>
        <v>3</v>
      </c>
      <c r="S179" s="14" cm="1">
        <f t="array" ref="S179">INDEX('Report-ConceptMap-1'!$I$15:$N$270,Q179+1,R179)</f>
        <v>0</v>
      </c>
    </row>
    <row r="180" spans="16:19" x14ac:dyDescent="0.75">
      <c r="P180" s="9">
        <v>166</v>
      </c>
      <c r="Q180" s="9">
        <f t="shared" si="27"/>
        <v>27</v>
      </c>
      <c r="R180" s="9">
        <f t="shared" si="28"/>
        <v>4</v>
      </c>
      <c r="S180" s="14" cm="1">
        <f t="array" ref="S180">INDEX('Report-ConceptMap-1'!$I$15:$N$270,Q180+1,R180)</f>
        <v>0</v>
      </c>
    </row>
    <row r="181" spans="16:19" x14ac:dyDescent="0.75">
      <c r="P181" s="9">
        <v>167</v>
      </c>
      <c r="Q181" s="9">
        <f t="shared" si="27"/>
        <v>27</v>
      </c>
      <c r="R181" s="9">
        <f t="shared" si="28"/>
        <v>5</v>
      </c>
      <c r="S181" s="14" cm="1">
        <f t="array" ref="S181">INDEX('Report-ConceptMap-1'!$I$15:$N$270,Q181+1,R181)</f>
        <v>0</v>
      </c>
    </row>
    <row r="182" spans="16:19" x14ac:dyDescent="0.75">
      <c r="P182" s="9">
        <v>168</v>
      </c>
      <c r="Q182" s="9">
        <f t="shared" si="27"/>
        <v>27</v>
      </c>
      <c r="R182" s="9">
        <f t="shared" si="28"/>
        <v>6</v>
      </c>
      <c r="S182" s="14" cm="1">
        <f t="array" ref="S182">INDEX('Report-ConceptMap-1'!$I$15:$N$270,Q182+1,R182)</f>
        <v>0</v>
      </c>
    </row>
    <row r="183" spans="16:19" x14ac:dyDescent="0.75">
      <c r="P183" s="9">
        <v>169</v>
      </c>
      <c r="Q183" s="9">
        <f t="shared" si="27"/>
        <v>28</v>
      </c>
      <c r="R183" s="9">
        <f t="shared" si="28"/>
        <v>1</v>
      </c>
      <c r="S183" s="14" cm="1">
        <f t="array" ref="S183">INDEX('Report-ConceptMap-1'!$I$15:$N$270,Q183+1,R183)</f>
        <v>0</v>
      </c>
    </row>
    <row r="184" spans="16:19" x14ac:dyDescent="0.75">
      <c r="P184" s="9">
        <v>170</v>
      </c>
      <c r="Q184" s="9">
        <f t="shared" si="27"/>
        <v>28</v>
      </c>
      <c r="R184" s="9">
        <f t="shared" si="28"/>
        <v>2</v>
      </c>
      <c r="S184" s="14" cm="1">
        <f t="array" ref="S184">INDEX('Report-ConceptMap-1'!$I$15:$N$270,Q184+1,R184)</f>
        <v>0</v>
      </c>
    </row>
    <row r="185" spans="16:19" x14ac:dyDescent="0.75">
      <c r="P185" s="9">
        <v>171</v>
      </c>
      <c r="Q185" s="9">
        <f t="shared" si="27"/>
        <v>28</v>
      </c>
      <c r="R185" s="9">
        <f t="shared" si="28"/>
        <v>3</v>
      </c>
      <c r="S185" s="14" cm="1">
        <f t="array" ref="S185">INDEX('Report-ConceptMap-1'!$I$15:$N$270,Q185+1,R185)</f>
        <v>0</v>
      </c>
    </row>
    <row r="186" spans="16:19" x14ac:dyDescent="0.75">
      <c r="P186" s="9">
        <v>172</v>
      </c>
      <c r="Q186" s="9">
        <f t="shared" si="27"/>
        <v>28</v>
      </c>
      <c r="R186" s="9">
        <f t="shared" si="28"/>
        <v>4</v>
      </c>
      <c r="S186" s="14" cm="1">
        <f t="array" ref="S186">INDEX('Report-ConceptMap-1'!$I$15:$N$270,Q186+1,R186)</f>
        <v>0</v>
      </c>
    </row>
    <row r="187" spans="16:19" x14ac:dyDescent="0.75">
      <c r="P187" s="9">
        <v>173</v>
      </c>
      <c r="Q187" s="9">
        <f t="shared" si="27"/>
        <v>28</v>
      </c>
      <c r="R187" s="9">
        <f t="shared" si="28"/>
        <v>5</v>
      </c>
      <c r="S187" s="14" cm="1">
        <f t="array" ref="S187">INDEX('Report-ConceptMap-1'!$I$15:$N$270,Q187+1,R187)</f>
        <v>0</v>
      </c>
    </row>
    <row r="188" spans="16:19" x14ac:dyDescent="0.75">
      <c r="P188" s="9">
        <v>174</v>
      </c>
      <c r="Q188" s="9">
        <f t="shared" si="27"/>
        <v>28</v>
      </c>
      <c r="R188" s="9">
        <f t="shared" si="28"/>
        <v>6</v>
      </c>
      <c r="S188" s="14" cm="1">
        <f t="array" ref="S188">INDEX('Report-ConceptMap-1'!$I$15:$N$270,Q188+1,R188)</f>
        <v>0</v>
      </c>
    </row>
    <row r="189" spans="16:19" x14ac:dyDescent="0.75">
      <c r="P189" s="9">
        <v>175</v>
      </c>
      <c r="Q189" s="9">
        <f t="shared" si="27"/>
        <v>29</v>
      </c>
      <c r="R189" s="9">
        <f t="shared" si="28"/>
        <v>1</v>
      </c>
      <c r="S189" s="14" cm="1">
        <f t="array" ref="S189">INDEX('Report-ConceptMap-1'!$I$15:$N$270,Q189+1,R189)</f>
        <v>0</v>
      </c>
    </row>
    <row r="190" spans="16:19" x14ac:dyDescent="0.75">
      <c r="P190" s="9">
        <v>176</v>
      </c>
      <c r="Q190" s="9">
        <f t="shared" si="27"/>
        <v>29</v>
      </c>
      <c r="R190" s="9">
        <f t="shared" si="28"/>
        <v>2</v>
      </c>
      <c r="S190" s="14" cm="1">
        <f t="array" ref="S190">INDEX('Report-ConceptMap-1'!$I$15:$N$270,Q190+1,R190)</f>
        <v>0</v>
      </c>
    </row>
  </sheetData>
  <mergeCells count="2">
    <mergeCell ref="E6:G6"/>
    <mergeCell ref="E7:G7"/>
  </mergeCells>
  <hyperlinks>
    <hyperlink ref="C6" r:id="rId1" xr:uid="{A86D3F4C-7DEC-4627-A1F4-A90F0A5BCA34}"/>
  </hyperlink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C88308-3996-4283-83AB-6CD3F9FB08BA}">
  <sheetPr codeName="Foglio46">
    <tabColor theme="0" tint="-0.499984740745262"/>
  </sheetPr>
  <dimension ref="A2:S189"/>
  <sheetViews>
    <sheetView topLeftCell="A22" workbookViewId="0">
      <selection activeCell="D30" sqref="D30:D32"/>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7" width="29.1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73" t="s">
        <v>34</v>
      </c>
      <c r="C3" s="54" t="str">
        <f>'Report-ConceptMap-1'!C3</f>
        <v>LabRpt2FHIR</v>
      </c>
      <c r="D3" s="73" t="s">
        <v>688</v>
      </c>
      <c r="E3" t="str">
        <f>'Report-ConceptMap-1'!E3</f>
        <v>http://hl7.eu/fhir/laboratory/StructureDefinition/LabReport</v>
      </c>
    </row>
    <row r="4" spans="1:19" x14ac:dyDescent="0.75">
      <c r="B4" s="73" t="s">
        <v>19</v>
      </c>
      <c r="C4" s="54" t="s">
        <v>683</v>
      </c>
      <c r="D4" s="73" t="s">
        <v>689</v>
      </c>
      <c r="E4" t="str">
        <f>'Report-ConceptMap-1'!E4</f>
        <v>http://hl7.eu/fhir/laboratory/StructureDefinition/Bundle-eu-lab</v>
      </c>
    </row>
    <row r="5" spans="1:19" x14ac:dyDescent="0.75">
      <c r="B5" s="73" t="s">
        <v>13</v>
      </c>
      <c r="C5" s="10" t="s">
        <v>684</v>
      </c>
      <c r="D5" s="73"/>
      <c r="E5" s="10"/>
    </row>
    <row r="6" spans="1:19" x14ac:dyDescent="0.75">
      <c r="B6" s="73" t="s">
        <v>35</v>
      </c>
      <c r="C6" s="72" t="s">
        <v>678</v>
      </c>
      <c r="D6" s="73" t="s">
        <v>685</v>
      </c>
      <c r="E6" t="s">
        <v>678</v>
      </c>
    </row>
    <row r="7" spans="1:19" x14ac:dyDescent="0.75">
      <c r="B7" s="73" t="s">
        <v>18</v>
      </c>
      <c r="C7" s="80" t="s">
        <v>681</v>
      </c>
      <c r="D7" s="73" t="s">
        <v>686</v>
      </c>
      <c r="E7" t="s">
        <v>693</v>
      </c>
    </row>
    <row r="8" spans="1:19" ht="44.25" x14ac:dyDescent="0.75">
      <c r="B8" s="73" t="s">
        <v>679</v>
      </c>
      <c r="C8" s="10" t="s">
        <v>684</v>
      </c>
      <c r="D8" s="73"/>
      <c r="E8" s="10"/>
      <c r="I8" s="14" t="s">
        <v>647</v>
      </c>
      <c r="J8" s="14" t="s">
        <v>648</v>
      </c>
      <c r="K8" s="14" t="s">
        <v>649</v>
      </c>
      <c r="L8" s="14" t="s">
        <v>650</v>
      </c>
      <c r="M8" s="9" t="s">
        <v>651</v>
      </c>
      <c r="P8" s="69" t="s">
        <v>652</v>
      </c>
      <c r="Q8" s="69">
        <v>6</v>
      </c>
    </row>
    <row r="9" spans="1:19" ht="29.5" x14ac:dyDescent="0.75">
      <c r="B9" s="73" t="s">
        <v>680</v>
      </c>
      <c r="C9" s="1" t="s">
        <v>682</v>
      </c>
      <c r="D9" s="73"/>
      <c r="E9"/>
      <c r="I9" s="14"/>
      <c r="J9" s="9"/>
      <c r="K9" s="9"/>
      <c r="L9" s="9"/>
      <c r="M9" s="9"/>
    </row>
    <row r="10" spans="1:19" x14ac:dyDescent="0.75">
      <c r="B10" s="73"/>
      <c r="D10" s="73"/>
      <c r="E10"/>
      <c r="I10" s="14"/>
      <c r="J10" s="9"/>
      <c r="K10" s="9"/>
      <c r="L10" s="9"/>
      <c r="M10" s="9"/>
    </row>
    <row r="11" spans="1:19" x14ac:dyDescent="0.75">
      <c r="E11" s="10"/>
      <c r="I11" s="25" t="s">
        <v>653</v>
      </c>
      <c r="J11" s="70" t="s">
        <v>654</v>
      </c>
      <c r="K11" s="25" t="s">
        <v>655</v>
      </c>
      <c r="L11" s="70" t="s">
        <v>656</v>
      </c>
      <c r="M11" s="71" t="s">
        <v>657</v>
      </c>
      <c r="N11" s="74" t="s">
        <v>644</v>
      </c>
    </row>
    <row r="12" spans="1:19" x14ac:dyDescent="0.75">
      <c r="E12" s="72"/>
      <c r="I12" s="14"/>
      <c r="J12" s="9"/>
      <c r="K12" s="9"/>
      <c r="L12" s="9"/>
      <c r="M12" s="9"/>
    </row>
    <row r="13" spans="1:19" x14ac:dyDescent="0.75">
      <c r="D13" s="14"/>
      <c r="E13" s="9"/>
      <c r="F13" s="71" t="s">
        <v>657</v>
      </c>
      <c r="G13" s="74" t="s">
        <v>644</v>
      </c>
      <c r="H13" s="74"/>
      <c r="I13" s="14"/>
      <c r="J13" s="9"/>
      <c r="K13" s="71"/>
      <c r="L13" s="71"/>
      <c r="M13" s="71"/>
      <c r="N13" s="74"/>
    </row>
    <row r="14" spans="1:19" x14ac:dyDescent="0.75">
      <c r="A14" s="23"/>
      <c r="B14" s="8" t="s">
        <v>254</v>
      </c>
      <c r="C14" s="9"/>
      <c r="D14" s="4" t="s">
        <v>285</v>
      </c>
      <c r="E14" s="8"/>
      <c r="F14" s="9"/>
      <c r="G14" s="9"/>
      <c r="I14" s="14"/>
      <c r="J14" s="9"/>
      <c r="K14" s="9"/>
      <c r="L14" s="9"/>
      <c r="M14" s="71"/>
      <c r="N14" s="74"/>
    </row>
    <row r="15" spans="1:19" ht="44.25" x14ac:dyDescent="0.75">
      <c r="A15" s="23"/>
      <c r="B15" s="8" t="str">
        <f>Report!B8</f>
        <v>header</v>
      </c>
      <c r="C15" s="8" t="str">
        <f>Report!C8</f>
        <v>A.1 Report header data elements</v>
      </c>
      <c r="D15" s="14"/>
      <c r="E15" s="62"/>
      <c r="F15" s="75" t="s">
        <v>659</v>
      </c>
      <c r="G15" s="75"/>
      <c r="H15" s="76"/>
      <c r="I15" s="14" t="str">
        <f>"* group[=].element[+].code = #"&amp;$B$14&amp;"."&amp;B15</f>
        <v>* group[=].element[+].code = #LabReport.header</v>
      </c>
      <c r="J15" s="14" t="str">
        <f t="shared" ref="J15:J30" si="0">"* group[=].element[=].display = ##34#"&amp;C15&amp;"##34#"</f>
        <v>* group[=].element[=].display = ##34#A.1 Report header data elements##34#</v>
      </c>
      <c r="K15" s="14" t="str">
        <f>IF(F15="unmatched","//-- unmatched",IF(D15="","* group[=].element[=].target.code = #"&amp;$D$14,"* group[=].element[=].target.code = #"&amp;$D$14&amp;"."&amp;D15))</f>
        <v>* group[=].element[=].target.code = #Composition</v>
      </c>
      <c r="L15" s="14" t="str">
        <f t="shared" ref="L15:L30" si="1">IF(F15="unmatched","//-- unmatched","* group[=].element[=].target.display = ##34#"&amp;E15&amp;"##34#")</f>
        <v>* group[=].element[=].target.display = ##34###34#</v>
      </c>
      <c r="M15" s="14" t="str">
        <f t="shared" ref="M15:M30" si="2">"* group[=].element[=].target.equivalence = #"&amp;F15</f>
        <v>* group[=].element[=].target.equivalence = #relatedto</v>
      </c>
      <c r="N15" s="4" t="str">
        <f t="shared" ref="N15:N30" si="3">IF(G15&lt;&gt;"",CONCATENATE("* group[=].element[=].target.comment = ","##34#",G15,"##34#"),"")</f>
        <v/>
      </c>
      <c r="P15" s="9">
        <v>1</v>
      </c>
      <c r="Q15" s="9">
        <f>IF(MOD(P15,$Q$8)=0,P15/$Q$8-1,INT(P15/$Q$8))</f>
        <v>0</v>
      </c>
      <c r="R15" s="9">
        <f>IF(MOD(P15,$Q$8)=0,$Q$8,MOD(P15,$Q$8))</f>
        <v>1</v>
      </c>
      <c r="S15" s="14" t="str" cm="1">
        <f t="array" ref="S15">INDEX('Report-ConceptMap-2'!$I$15:$N$269,Q15+1,R15)</f>
        <v>* group[=].element[+].code = #LabReport.header</v>
      </c>
    </row>
    <row r="16" spans="1:19" ht="44.25" x14ac:dyDescent="0.75">
      <c r="A16" s="23"/>
      <c r="B16" s="9" t="str">
        <f>Report!B9</f>
        <v>header.subject</v>
      </c>
      <c r="C16" s="9" t="str">
        <f>Report!C9</f>
        <v>A.1.1 - A1.2 Patient/subject</v>
      </c>
      <c r="D16" s="14" t="s">
        <v>668</v>
      </c>
      <c r="E16" s="9"/>
      <c r="F16" s="75" t="s">
        <v>659</v>
      </c>
      <c r="G16" s="75"/>
      <c r="H16" s="76"/>
      <c r="I16" s="14" t="str">
        <f t="shared" ref="I16:I30" si="4">"* group[=].element[+].code = #"&amp;$B$14&amp;"."&amp;B16</f>
        <v>* group[=].element[+].code = #LabReport.header.subject</v>
      </c>
      <c r="J16" s="14" t="str">
        <f t="shared" si="0"/>
        <v>* group[=].element[=].display = ##34#A.1.1 - A1.2 Patient/subject##34#</v>
      </c>
      <c r="K16" s="14" t="str">
        <f t="shared" ref="K16:K32" si="5">IF(F16="unmatched","//-- unmatched",IF(D16="","* group[=].element[=].target.code = #"&amp;$D$14,"* group[=].element[=].target.code = #"&amp;$D$14&amp;"."&amp;D16))</f>
        <v>* group[=].element[=].target.code = #Composition.subject</v>
      </c>
      <c r="L16" s="14" t="str">
        <f t="shared" si="1"/>
        <v>* group[=].element[=].target.display = ##34###34#</v>
      </c>
      <c r="M16" s="14" t="str">
        <f t="shared" si="2"/>
        <v>* group[=].element[=].target.equivalence = #relatedto</v>
      </c>
      <c r="N16" s="14" t="str">
        <f t="shared" si="3"/>
        <v/>
      </c>
      <c r="P16" s="9">
        <v>2</v>
      </c>
      <c r="Q16" s="9">
        <f t="shared" ref="Q16:Q79" si="6">IF(MOD(P16,$Q$8)=0,P16/$Q$8-1,INT(P16/$Q$8))</f>
        <v>0</v>
      </c>
      <c r="R16" s="9">
        <f t="shared" ref="R16:R79" si="7">IF(MOD(P16,$Q$8)=0,$Q$8,MOD(P16,$Q$8))</f>
        <v>2</v>
      </c>
      <c r="S16" s="14" t="str" cm="1">
        <f t="array" ref="S16">INDEX('Report-ConceptMap-2'!$I$15:$N$269,Q16+1,R16)</f>
        <v>* group[=].element[=].display = ##34#A.1 Report header data elements##34#</v>
      </c>
    </row>
    <row r="17" spans="1:19" ht="59" x14ac:dyDescent="0.75">
      <c r="A17" s="23"/>
      <c r="B17" s="9" t="str">
        <f>Report!B10</f>
        <v>header.payer</v>
      </c>
      <c r="C17" s="9" t="str">
        <f>Report!C10</f>
        <v>A.1.3 Health insurance and payment information</v>
      </c>
      <c r="D17" s="14" t="s">
        <v>694</v>
      </c>
      <c r="E17" s="9"/>
      <c r="F17" s="75" t="s">
        <v>659</v>
      </c>
      <c r="G17" s="75"/>
      <c r="H17" s="76"/>
      <c r="I17" s="14" t="str">
        <f t="shared" si="4"/>
        <v>* group[=].element[+].code = #LabReport.header.payer</v>
      </c>
      <c r="J17" s="14" t="str">
        <f t="shared" si="0"/>
        <v>* group[=].element[=].display = ##34#A.1.3 Health insurance and payment information##34#</v>
      </c>
      <c r="K17" s="14" t="str">
        <f t="shared" si="5"/>
        <v>* group[=].element[=].target.code = #Composition.extension(http://hl7.eu/fhir/laboratory/StructureDefinition/composition-basedOn-order-or-requisition).resolve().ofType(ServiceRequest).insurance.resolve().ofType(Coverage)</v>
      </c>
      <c r="L17" s="14" t="str">
        <f t="shared" si="1"/>
        <v>* group[=].element[=].target.display = ##34###34#</v>
      </c>
      <c r="M17" s="14" t="str">
        <f t="shared" si="2"/>
        <v>* group[=].element[=].target.equivalence = #relatedto</v>
      </c>
      <c r="N17" s="14" t="str">
        <f t="shared" si="3"/>
        <v/>
      </c>
      <c r="P17" s="9">
        <v>3</v>
      </c>
      <c r="Q17" s="9">
        <f t="shared" si="6"/>
        <v>0</v>
      </c>
      <c r="R17" s="9">
        <f t="shared" si="7"/>
        <v>3</v>
      </c>
      <c r="S17" s="14" t="str" cm="1">
        <f t="array" ref="S17">INDEX('Report-ConceptMap-2'!$I$15:$N$269,Q17+1,R17)</f>
        <v>* group[=].element[=].target.code = #Composition</v>
      </c>
    </row>
    <row r="18" spans="1:19" ht="44.25" x14ac:dyDescent="0.75">
      <c r="A18" s="23"/>
      <c r="B18" s="9" t="str">
        <f>Report!B11</f>
        <v>header.informationRecipient</v>
      </c>
      <c r="C18" s="9" t="str">
        <f>Report!C11</f>
        <v>A.1.4 Information recipient</v>
      </c>
      <c r="D18" s="14" t="s">
        <v>695</v>
      </c>
      <c r="E18" s="9"/>
      <c r="F18" s="75" t="s">
        <v>660</v>
      </c>
      <c r="G18" s="75"/>
      <c r="H18" s="76"/>
      <c r="I18" s="14" t="str">
        <f t="shared" si="4"/>
        <v>* group[=].element[+].code = #LabReport.header.informationRecipient</v>
      </c>
      <c r="J18" s="14" t="str">
        <f t="shared" si="0"/>
        <v>* group[=].element[=].display = ##34#A.1.4 Information recipient##34#</v>
      </c>
      <c r="K18" s="14" t="str">
        <f t="shared" si="5"/>
        <v>//-- unmatched</v>
      </c>
      <c r="L18" s="14" t="str">
        <f t="shared" si="1"/>
        <v>//-- unmatched</v>
      </c>
      <c r="M18" s="14" t="str">
        <f t="shared" si="2"/>
        <v>* group[=].element[=].target.equivalence = #unmatched</v>
      </c>
      <c r="N18" s="14" t="str">
        <f t="shared" si="3"/>
        <v/>
      </c>
      <c r="P18" s="9">
        <v>4</v>
      </c>
      <c r="Q18" s="9">
        <f t="shared" si="6"/>
        <v>0</v>
      </c>
      <c r="R18" s="9">
        <f t="shared" si="7"/>
        <v>4</v>
      </c>
      <c r="S18" s="14" t="str" cm="1">
        <f t="array" ref="S18">INDEX('Report-ConceptMap-2'!$I$15:$N$269,Q18+1,R18)</f>
        <v>* group[=].element[=].target.display = ##34###34#</v>
      </c>
    </row>
    <row r="19" spans="1:19" ht="44.25" x14ac:dyDescent="0.75">
      <c r="A19" s="23"/>
      <c r="B19" s="9" t="str">
        <f>Report!B12</f>
        <v>header.author</v>
      </c>
      <c r="C19" s="9" t="str">
        <f>Report!C12</f>
        <v>A.1.5 Author</v>
      </c>
      <c r="D19" s="14" t="s">
        <v>696</v>
      </c>
      <c r="E19" s="9"/>
      <c r="F19" s="75" t="s">
        <v>659</v>
      </c>
      <c r="G19" s="75"/>
      <c r="H19" s="76"/>
      <c r="I19" s="14" t="str">
        <f t="shared" si="4"/>
        <v>* group[=].element[+].code = #LabReport.header.author</v>
      </c>
      <c r="J19" s="14" t="str">
        <f t="shared" si="0"/>
        <v>* group[=].element[=].display = ##34#A.1.5 Author##34#</v>
      </c>
      <c r="K19" s="14" t="str">
        <f t="shared" si="5"/>
        <v>* group[=].element[=].target.code = #Composition.author.resolve()</v>
      </c>
      <c r="L19" s="14" t="str">
        <f t="shared" si="1"/>
        <v>* group[=].element[=].target.display = ##34###34#</v>
      </c>
      <c r="M19" s="14" t="str">
        <f t="shared" si="2"/>
        <v>* group[=].element[=].target.equivalence = #relatedto</v>
      </c>
      <c r="N19" s="14" t="str">
        <f t="shared" si="3"/>
        <v/>
      </c>
      <c r="P19" s="9">
        <v>5</v>
      </c>
      <c r="Q19" s="9">
        <f t="shared" si="6"/>
        <v>0</v>
      </c>
      <c r="R19" s="9">
        <f t="shared" si="7"/>
        <v>5</v>
      </c>
      <c r="S19" s="14" t="str" cm="1">
        <f t="array" ref="S19">INDEX('Report-ConceptMap-2'!$I$15:$N$269,Q19+1,R19)</f>
        <v>* group[=].element[=].target.equivalence = #relatedto</v>
      </c>
    </row>
    <row r="20" spans="1:19" ht="88.5" x14ac:dyDescent="0.75">
      <c r="A20" s="23"/>
      <c r="B20" s="9" t="str">
        <f>Report!B13</f>
        <v>header.legalAuthenticator</v>
      </c>
      <c r="C20" s="9" t="str">
        <f>Report!C13</f>
        <v>A.1.6 Legal authenticator</v>
      </c>
      <c r="D20" s="14" t="s">
        <v>768</v>
      </c>
      <c r="E20" s="9"/>
      <c r="F20" s="75" t="s">
        <v>658</v>
      </c>
      <c r="G20" s="82" t="s">
        <v>707</v>
      </c>
      <c r="H20" s="76"/>
      <c r="I20" s="14" t="str">
        <f t="shared" si="4"/>
        <v>* group[=].element[+].code = #LabReport.header.legalAuthenticator</v>
      </c>
      <c r="J20" s="14" t="str">
        <f t="shared" si="0"/>
        <v>* group[=].element[=].display = ##34#A.1.6 Legal authenticator##34#</v>
      </c>
      <c r="K20" s="14" t="str">
        <f t="shared" si="5"/>
        <v>* group[=].element[=].target.code = #Composition.attester.where(mode='legal').party.resolve()</v>
      </c>
      <c r="L20" s="14" t="str">
        <f t="shared" si="1"/>
        <v>* group[=].element[=].target.display = ##34###34#</v>
      </c>
      <c r="M20" s="14" t="str">
        <f t="shared" si="2"/>
        <v>* group[=].element[=].target.equivalence = #equivalent</v>
      </c>
      <c r="N20" s="14" t="str">
        <f t="shared" si="3"/>
        <v>* group[=].element[=].target.comment = ##34#The person authenticated the content and accepted legal responsibility for its content.##34#</v>
      </c>
      <c r="P20" s="9">
        <v>7</v>
      </c>
      <c r="Q20" s="9">
        <f t="shared" si="6"/>
        <v>1</v>
      </c>
      <c r="R20" s="9">
        <f t="shared" si="7"/>
        <v>1</v>
      </c>
      <c r="S20" s="14" t="str" cm="1">
        <f t="array" ref="S20">INDEX('Report-ConceptMap-2'!$I$15:$N$269,Q20+1,R20)</f>
        <v>* group[=].element[+].code = #LabReport.header.subject</v>
      </c>
    </row>
    <row r="21" spans="1:19" ht="73.75" x14ac:dyDescent="0.75">
      <c r="A21" s="23"/>
      <c r="B21" s="9" t="str">
        <f>Report!B14</f>
        <v>header.validator</v>
      </c>
      <c r="C21" s="9" t="str">
        <f>Report!C14</f>
        <v>A.1.7 Result validator</v>
      </c>
      <c r="D21" s="63" t="s">
        <v>769</v>
      </c>
      <c r="E21" s="9"/>
      <c r="F21" s="75" t="s">
        <v>658</v>
      </c>
      <c r="G21" s="82" t="s">
        <v>708</v>
      </c>
      <c r="H21" s="76"/>
      <c r="I21" s="14" t="str">
        <f t="shared" si="4"/>
        <v>* group[=].element[+].code = #LabReport.header.validator</v>
      </c>
      <c r="J21" s="14" t="str">
        <f t="shared" si="0"/>
        <v>* group[=].element[=].display = ##34#A.1.7 Result validator##34#</v>
      </c>
      <c r="K21" s="14" t="str">
        <f t="shared" si="5"/>
        <v>* group[=].element[=].target.code = #Composition.attester.where(mode='professional').party.resolve()</v>
      </c>
      <c r="L21" s="14" t="str">
        <f t="shared" si="1"/>
        <v>* group[=].element[=].target.display = ##34###34#</v>
      </c>
      <c r="M21" s="14" t="str">
        <f t="shared" si="2"/>
        <v>* group[=].element[=].target.equivalence = #equivalent</v>
      </c>
      <c r="N21" s="14" t="str">
        <f t="shared" si="3"/>
        <v>* group[=].element[=].target.comment = ##34#The person authenticated the content in their professional capacity.##34#</v>
      </c>
      <c r="P21" s="9">
        <v>8</v>
      </c>
      <c r="Q21" s="9">
        <f t="shared" si="6"/>
        <v>1</v>
      </c>
      <c r="R21" s="9">
        <f t="shared" si="7"/>
        <v>2</v>
      </c>
      <c r="S21" s="14" t="str" cm="1">
        <f t="array" ref="S21">INDEX('Report-ConceptMap-2'!$I$15:$N$269,Q21+1,R21)</f>
        <v>* group[=].element[=].display = ##34#A.1.1 - A1.2 Patient/subject##34#</v>
      </c>
    </row>
    <row r="22" spans="1:19" ht="44.25" x14ac:dyDescent="0.75">
      <c r="A22" s="23"/>
      <c r="B22" s="9" t="str">
        <f>Report!B15</f>
        <v>header.metadata</v>
      </c>
      <c r="C22" s="9" t="str">
        <f>Report!C15</f>
        <v>A.1.8 Laboratory report metadata</v>
      </c>
      <c r="D22" s="14" t="s">
        <v>692</v>
      </c>
      <c r="E22" s="14"/>
      <c r="F22" s="75" t="s">
        <v>659</v>
      </c>
      <c r="G22" s="83"/>
      <c r="H22" s="76"/>
      <c r="I22" s="14" t="str">
        <f t="shared" si="4"/>
        <v>* group[=].element[+].code = #LabReport.header.metadata</v>
      </c>
      <c r="J22" s="14" t="str">
        <f t="shared" si="0"/>
        <v>* group[=].element[=].display = ##34#A.1.8 Laboratory report metadata##34#</v>
      </c>
      <c r="K22" s="14" t="str">
        <f t="shared" si="5"/>
        <v>* group[=].element[=].target.code = #Composition.$this</v>
      </c>
      <c r="L22" s="14" t="str">
        <f t="shared" si="1"/>
        <v>* group[=].element[=].target.display = ##34###34#</v>
      </c>
      <c r="M22" s="14" t="str">
        <f t="shared" si="2"/>
        <v>* group[=].element[=].target.equivalence = #relatedto</v>
      </c>
      <c r="N22" s="14" t="str">
        <f t="shared" si="3"/>
        <v/>
      </c>
      <c r="P22" s="9">
        <v>9</v>
      </c>
      <c r="Q22" s="9">
        <f t="shared" si="6"/>
        <v>1</v>
      </c>
      <c r="R22" s="9">
        <f t="shared" si="7"/>
        <v>3</v>
      </c>
      <c r="S22" s="14" t="str" cm="1">
        <f t="array" ref="S22">INDEX('Report-ConceptMap-2'!$I$15:$N$269,Q22+1,R22)</f>
        <v>* group[=].element[=].target.code = #Composition.subject</v>
      </c>
    </row>
    <row r="23" spans="1:19" ht="44.25" x14ac:dyDescent="0.75">
      <c r="A23" s="23"/>
      <c r="B23" s="9" t="str">
        <f>Report!B16</f>
        <v>header.metadata.type</v>
      </c>
      <c r="C23" s="9" t="str">
        <f>Report!C16</f>
        <v>A.1.8.1 Document type</v>
      </c>
      <c r="D23" s="14" t="s">
        <v>655</v>
      </c>
      <c r="E23" s="14"/>
      <c r="F23" s="75" t="s">
        <v>658</v>
      </c>
      <c r="G23" s="75"/>
      <c r="H23" s="76"/>
      <c r="I23" s="14" t="str">
        <f t="shared" si="4"/>
        <v>* group[=].element[+].code = #LabReport.header.metadata.type</v>
      </c>
      <c r="J23" s="14" t="str">
        <f t="shared" si="0"/>
        <v>* group[=].element[=].display = ##34#A.1.8.1 Document type##34#</v>
      </c>
      <c r="K23" s="14" t="str">
        <f t="shared" si="5"/>
        <v>* group[=].element[=].target.code = #Composition.code</v>
      </c>
      <c r="L23" s="14" t="str">
        <f t="shared" si="1"/>
        <v>* group[=].element[=].target.display = ##34###34#</v>
      </c>
      <c r="M23" s="14" t="str">
        <f t="shared" si="2"/>
        <v>* group[=].element[=].target.equivalence = #equivalent</v>
      </c>
      <c r="N23" s="14" t="str">
        <f t="shared" si="3"/>
        <v/>
      </c>
      <c r="P23" s="9">
        <v>10</v>
      </c>
      <c r="Q23" s="9">
        <f t="shared" si="6"/>
        <v>1</v>
      </c>
      <c r="R23" s="9">
        <f t="shared" si="7"/>
        <v>4</v>
      </c>
      <c r="S23" s="14" t="str" cm="1">
        <f t="array" ref="S23">INDEX('Report-ConceptMap-2'!$I$15:$N$269,Q23+1,R23)</f>
        <v>* group[=].element[=].target.display = ##34###34#</v>
      </c>
    </row>
    <row r="24" spans="1:19" ht="44.25" x14ac:dyDescent="0.75">
      <c r="B24" s="9" t="str">
        <f>Report!B17</f>
        <v>header.metadata.status</v>
      </c>
      <c r="C24" s="9" t="str">
        <f>Report!C17</f>
        <v>A.1.8.2 Document status</v>
      </c>
      <c r="D24" s="14" t="s">
        <v>671</v>
      </c>
      <c r="E24" s="14"/>
      <c r="F24" s="75" t="s">
        <v>659</v>
      </c>
      <c r="G24" s="75" t="s">
        <v>697</v>
      </c>
      <c r="H24" s="76"/>
      <c r="I24" s="14" t="str">
        <f t="shared" si="4"/>
        <v>* group[=].element[+].code = #LabReport.header.metadata.status</v>
      </c>
      <c r="J24" s="14" t="str">
        <f t="shared" si="0"/>
        <v>* group[=].element[=].display = ##34#A.1.8.2 Document status##34#</v>
      </c>
      <c r="K24" s="14" t="str">
        <f t="shared" si="5"/>
        <v>* group[=].element[=].target.code = #Composition.status</v>
      </c>
      <c r="L24" s="14" t="str">
        <f t="shared" si="1"/>
        <v>* group[=].element[=].target.display = ##34###34#</v>
      </c>
      <c r="M24" s="14" t="str">
        <f t="shared" si="2"/>
        <v>* group[=].element[=].target.equivalence = #relatedto</v>
      </c>
      <c r="N24" s="14" t="str">
        <f t="shared" si="3"/>
        <v>* group[=].element[=].target.comment = ##34#to be checked…##34#</v>
      </c>
      <c r="P24" s="9">
        <v>11</v>
      </c>
      <c r="Q24" s="9">
        <f t="shared" si="6"/>
        <v>1</v>
      </c>
      <c r="R24" s="9">
        <f t="shared" si="7"/>
        <v>5</v>
      </c>
      <c r="S24" s="14" t="str" cm="1">
        <f t="array" ref="S24">INDEX('Report-ConceptMap-2'!$I$15:$N$269,Q24+1,R24)</f>
        <v>* group[=].element[=].target.equivalence = #relatedto</v>
      </c>
    </row>
    <row r="25" spans="1:19" ht="44.25" x14ac:dyDescent="0.75">
      <c r="B25" s="9" t="str">
        <f>Report!B18</f>
        <v>header.metadata.dateTime</v>
      </c>
      <c r="C25" s="9" t="str">
        <f>Report!C18</f>
        <v>A.1.8.3 Report date and time</v>
      </c>
      <c r="D25" s="14" t="s">
        <v>698</v>
      </c>
      <c r="E25" s="14"/>
      <c r="F25" s="75" t="s">
        <v>658</v>
      </c>
      <c r="G25" s="75"/>
      <c r="H25" s="76"/>
      <c r="I25" s="14" t="str">
        <f t="shared" si="4"/>
        <v>* group[=].element[+].code = #LabReport.header.metadata.dateTime</v>
      </c>
      <c r="J25" s="14" t="str">
        <f t="shared" si="0"/>
        <v>* group[=].element[=].display = ##34#A.1.8.3 Report date and time##34#</v>
      </c>
      <c r="K25" s="14" t="str">
        <f t="shared" si="5"/>
        <v>* group[=].element[=].target.code = #Composition.date</v>
      </c>
      <c r="L25" s="14" t="str">
        <f t="shared" si="1"/>
        <v>* group[=].element[=].target.display = ##34###34#</v>
      </c>
      <c r="M25" s="14" t="str">
        <f t="shared" si="2"/>
        <v>* group[=].element[=].target.equivalence = #equivalent</v>
      </c>
      <c r="N25" s="14" t="str">
        <f t="shared" si="3"/>
        <v/>
      </c>
      <c r="P25" s="9">
        <v>12</v>
      </c>
      <c r="Q25" s="9">
        <f t="shared" si="6"/>
        <v>1</v>
      </c>
      <c r="R25" s="9">
        <f t="shared" si="7"/>
        <v>6</v>
      </c>
      <c r="S25" s="14" t="str" cm="1">
        <f t="array" ref="S25">INDEX('Report-ConceptMap-2'!$I$15:$N$269,Q25+1,R25)</f>
        <v/>
      </c>
    </row>
    <row r="26" spans="1:19" ht="44.25" x14ac:dyDescent="0.75">
      <c r="B26" s="9" t="str">
        <f>Report!B19</f>
        <v>header.metadata.title</v>
      </c>
      <c r="C26" s="9" t="str">
        <f>Report!C19</f>
        <v>A.1.8.4 Document title</v>
      </c>
      <c r="D26" s="14" t="s">
        <v>699</v>
      </c>
      <c r="E26" s="14"/>
      <c r="F26" s="75" t="s">
        <v>658</v>
      </c>
      <c r="G26" s="75"/>
      <c r="H26" s="76"/>
      <c r="I26" s="14" t="str">
        <f t="shared" si="4"/>
        <v>* group[=].element[+].code = #LabReport.header.metadata.title</v>
      </c>
      <c r="J26" s="14" t="str">
        <f t="shared" si="0"/>
        <v>* group[=].element[=].display = ##34#A.1.8.4 Document title##34#</v>
      </c>
      <c r="K26" s="14" t="str">
        <f t="shared" si="5"/>
        <v>* group[=].element[=].target.code = #Composition.title</v>
      </c>
      <c r="L26" s="14" t="str">
        <f t="shared" si="1"/>
        <v>* group[=].element[=].target.display = ##34###34#</v>
      </c>
      <c r="M26" s="14" t="str">
        <f t="shared" si="2"/>
        <v>* group[=].element[=].target.equivalence = #equivalent</v>
      </c>
      <c r="N26" s="14" t="str">
        <f t="shared" si="3"/>
        <v/>
      </c>
      <c r="P26" s="9">
        <v>13</v>
      </c>
      <c r="Q26" s="9">
        <f t="shared" si="6"/>
        <v>2</v>
      </c>
      <c r="R26" s="9">
        <f t="shared" si="7"/>
        <v>1</v>
      </c>
      <c r="S26" s="14" t="str" cm="1">
        <f t="array" ref="S26">INDEX('Report-ConceptMap-2'!$I$15:$N$269,Q26+1,R26)</f>
        <v>* group[=].element[+].code = #LabReport.header.payer</v>
      </c>
    </row>
    <row r="27" spans="1:19" ht="44.25" x14ac:dyDescent="0.75">
      <c r="B27" s="9" t="str">
        <f>Report!B20</f>
        <v>header.metadata.custodian</v>
      </c>
      <c r="C27" s="9" t="str">
        <f>Report!C20</f>
        <v>A.1.8.5 Report custodian</v>
      </c>
      <c r="D27" s="14" t="s">
        <v>700</v>
      </c>
      <c r="E27" s="14"/>
      <c r="F27" s="75" t="s">
        <v>658</v>
      </c>
      <c r="G27" s="75"/>
      <c r="H27" s="76"/>
      <c r="I27" s="14" t="str">
        <f t="shared" si="4"/>
        <v>* group[=].element[+].code = #LabReport.header.metadata.custodian</v>
      </c>
      <c r="J27" s="14" t="str">
        <f t="shared" si="0"/>
        <v>* group[=].element[=].display = ##34#A.1.8.5 Report custodian##34#</v>
      </c>
      <c r="K27" s="14" t="str">
        <f t="shared" si="5"/>
        <v>* group[=].element[=].target.code = #Composition.custodian</v>
      </c>
      <c r="L27" s="14" t="str">
        <f t="shared" si="1"/>
        <v>* group[=].element[=].target.display = ##34###34#</v>
      </c>
      <c r="M27" s="14" t="str">
        <f t="shared" si="2"/>
        <v>* group[=].element[=].target.equivalence = #equivalent</v>
      </c>
      <c r="N27" s="14" t="str">
        <f t="shared" si="3"/>
        <v/>
      </c>
      <c r="P27" s="9">
        <v>14</v>
      </c>
      <c r="Q27" s="9">
        <f t="shared" si="6"/>
        <v>2</v>
      </c>
      <c r="R27" s="9">
        <f t="shared" si="7"/>
        <v>2</v>
      </c>
      <c r="S27" s="14" t="str" cm="1">
        <f t="array" ref="S27">INDEX('Report-ConceptMap-2'!$I$15:$N$269,Q27+1,R27)</f>
        <v>* group[=].element[=].display = ##34#A.1.3 Health insurance and payment information##34#</v>
      </c>
    </row>
    <row r="28" spans="1:19" ht="132.75" x14ac:dyDescent="0.75">
      <c r="B28" s="9" t="str">
        <f>Report!B21</f>
        <v>order</v>
      </c>
      <c r="C28" s="9" t="str">
        <f>Report!C21</f>
        <v>A.2-A.3 Order</v>
      </c>
      <c r="D28" s="14" t="s">
        <v>701</v>
      </c>
      <c r="E28" s="14"/>
      <c r="F28" s="75" t="s">
        <v>659</v>
      </c>
      <c r="G28" s="75"/>
      <c r="H28" s="76"/>
      <c r="I28" s="14" t="str">
        <f t="shared" si="4"/>
        <v>* group[=].element[+].code = #LabReport.order</v>
      </c>
      <c r="J28" s="14" t="str">
        <f t="shared" si="0"/>
        <v>* group[=].element[=].display = ##34#A.2-A.3 Order##34#</v>
      </c>
      <c r="K28" s="14" t="str">
        <f t="shared" si="5"/>
        <v>* group[=].element[=].target.code = #Composition.extension(http://hl7.eu/fhir/laboratory/StructureDefinition/composition-basedOn-order-or-requisition).resolve().ofType(ServiceRequest)</v>
      </c>
      <c r="L28" s="14" t="str">
        <f t="shared" si="1"/>
        <v>* group[=].element[=].target.display = ##34###34#</v>
      </c>
      <c r="M28" s="14" t="str">
        <f t="shared" si="2"/>
        <v>* group[=].element[=].target.equivalence = #relatedto</v>
      </c>
      <c r="N28" s="14" t="str">
        <f t="shared" si="3"/>
        <v/>
      </c>
      <c r="P28" s="9">
        <v>15</v>
      </c>
      <c r="Q28" s="9">
        <f t="shared" si="6"/>
        <v>2</v>
      </c>
      <c r="R28" s="9">
        <f t="shared" si="7"/>
        <v>3</v>
      </c>
      <c r="S28" s="14" t="str" cm="1">
        <f t="array" ref="S28">INDEX('Report-ConceptMap-2'!$I$15:$N$269,Q28+1,R28)</f>
        <v>* group[=].element[=].target.code = #Composition.extension(http://hl7.eu/fhir/laboratory/StructureDefinition/composition-basedOn-order-or-requisition).resolve().ofType(ServiceRequest).insurance.resolve().ofType(Coverage)</v>
      </c>
    </row>
    <row r="29" spans="1:19" ht="73.75" x14ac:dyDescent="0.75">
      <c r="B29" s="9" t="str">
        <f>Report!B22</f>
        <v>specimen</v>
      </c>
      <c r="C29" s="9" t="str">
        <f>Report!C22</f>
        <v>A.4 Specimen information</v>
      </c>
      <c r="D29" s="14" t="s">
        <v>812</v>
      </c>
      <c r="E29" s="14"/>
      <c r="F29" s="75" t="s">
        <v>659</v>
      </c>
      <c r="G29" s="75" t="s">
        <v>702</v>
      </c>
      <c r="H29" s="76"/>
      <c r="I29" s="14" t="str">
        <f t="shared" si="4"/>
        <v>* group[=].element[+].code = #LabReport.specimen</v>
      </c>
      <c r="J29" s="14" t="str">
        <f t="shared" si="0"/>
        <v>* group[=].element[=].display = ##34#A.4 Specimen information##34#</v>
      </c>
      <c r="K29" s="14" t="str">
        <f t="shared" si="5"/>
        <v>* group[=].element[=].target.code = #Composition.section:lab-no-subsections.entry.resolve().specimen.resolve()</v>
      </c>
      <c r="L29" s="14" t="str">
        <f t="shared" si="1"/>
        <v>* group[=].element[=].target.display = ##34###34#</v>
      </c>
      <c r="M29" s="14" t="str">
        <f t="shared" si="2"/>
        <v>* group[=].element[=].target.equivalence = #relatedto</v>
      </c>
      <c r="N29" s="14" t="str">
        <f t="shared" si="3"/>
        <v>* group[=].element[=].target.comment = ##34#If no sub sections##34#</v>
      </c>
      <c r="P29" s="9">
        <v>16</v>
      </c>
      <c r="Q29" s="9">
        <f t="shared" si="6"/>
        <v>2</v>
      </c>
      <c r="R29" s="9">
        <f t="shared" si="7"/>
        <v>4</v>
      </c>
      <c r="S29" s="14" t="str" cm="1">
        <f t="array" ref="S29">INDEX('Report-ConceptMap-2'!$I$15:$N$269,Q29+1,R29)</f>
        <v>* group[=].element[=].target.display = ##34###34#</v>
      </c>
    </row>
    <row r="30" spans="1:19" ht="88.5" x14ac:dyDescent="0.75">
      <c r="B30" s="9" t="str">
        <f>Report!B23</f>
        <v>result</v>
      </c>
      <c r="C30" s="9" t="str">
        <f>Report!C23</f>
        <v>A.5 Results data elements</v>
      </c>
      <c r="D30" s="14" t="s">
        <v>813</v>
      </c>
      <c r="E30" s="14"/>
      <c r="F30" s="75" t="s">
        <v>659</v>
      </c>
      <c r="G30" s="75" t="s">
        <v>702</v>
      </c>
      <c r="H30" s="76"/>
      <c r="I30" s="14" t="str">
        <f t="shared" si="4"/>
        <v>* group[=].element[+].code = #LabReport.result</v>
      </c>
      <c r="J30" s="14" t="str">
        <f t="shared" si="0"/>
        <v>* group[=].element[=].display = ##34#A.5 Results data elements##34#</v>
      </c>
      <c r="K30" s="14" t="str">
        <f t="shared" si="5"/>
        <v>* group[=].element[=].target.code = #Composition.section:lab-no-subsections.entry.resolve()</v>
      </c>
      <c r="L30" s="14" t="str">
        <f t="shared" si="1"/>
        <v>* group[=].element[=].target.display = ##34###34#</v>
      </c>
      <c r="M30" s="14" t="str">
        <f t="shared" si="2"/>
        <v>* group[=].element[=].target.equivalence = #relatedto</v>
      </c>
      <c r="N30" s="14" t="str">
        <f t="shared" si="3"/>
        <v>* group[=].element[=].target.comment = ##34#If no sub sections##34#</v>
      </c>
      <c r="P30" s="9">
        <v>17</v>
      </c>
      <c r="Q30" s="9">
        <f t="shared" si="6"/>
        <v>2</v>
      </c>
      <c r="R30" s="9">
        <f t="shared" si="7"/>
        <v>5</v>
      </c>
      <c r="S30" s="14" t="str" cm="1">
        <f t="array" ref="S30">INDEX('Report-ConceptMap-2'!$I$15:$N$269,Q30+1,R30)</f>
        <v>* group[=].element[=].target.equivalence = #relatedto</v>
      </c>
    </row>
    <row r="31" spans="1:19" ht="103.25" x14ac:dyDescent="0.75">
      <c r="B31" s="9" t="str">
        <f>Report!B22</f>
        <v>specimen</v>
      </c>
      <c r="C31" s="9" t="str">
        <f>Report!C22</f>
        <v>A.4 Specimen information</v>
      </c>
      <c r="D31" s="14" t="s">
        <v>814</v>
      </c>
      <c r="E31" s="14"/>
      <c r="F31" s="75" t="s">
        <v>659</v>
      </c>
      <c r="G31" s="75" t="s">
        <v>703</v>
      </c>
      <c r="H31" s="76"/>
      <c r="I31" s="14" t="str">
        <f t="shared" ref="I31:I32" si="8">"* group[=].element[+].code = #"&amp;$B$14&amp;"."&amp;B31</f>
        <v>* group[=].element[+].code = #LabReport.specimen</v>
      </c>
      <c r="J31" s="14" t="str">
        <f t="shared" ref="J31:J32" si="9">"* group[=].element[=].display = ##34#"&amp;C31&amp;"##34#"</f>
        <v>* group[=].element[=].display = ##34#A.4 Specimen information##34#</v>
      </c>
      <c r="K31" s="14" t="str">
        <f t="shared" si="5"/>
        <v>* group[=].element[=].target.code = #Composition.section:lab-subsections.section.entry.resolve().specimen.resolve()</v>
      </c>
      <c r="L31" s="14" t="str">
        <f t="shared" ref="L31:L32" si="10">IF(F31="unmatched","//-- unmatched","* group[=].element[=].target.display = ##34#"&amp;E31&amp;"##34#")</f>
        <v>* group[=].element[=].target.display = ##34###34#</v>
      </c>
      <c r="M31" s="14" t="str">
        <f t="shared" ref="M31:M32" si="11">"* group[=].element[=].target.equivalence = #"&amp;F31</f>
        <v>* group[=].element[=].target.equivalence = #relatedto</v>
      </c>
      <c r="N31" s="14" t="str">
        <f t="shared" ref="N31:N32" si="12">IF(G31&lt;&gt;"",CONCATENATE("* group[=].element[=].target.comment = ","##34#",G31,"##34#"),"")</f>
        <v>* group[=].element[=].target.comment = ##34#If sub sections##34#</v>
      </c>
      <c r="P31" s="9">
        <v>18</v>
      </c>
      <c r="Q31" s="9">
        <f t="shared" si="6"/>
        <v>2</v>
      </c>
      <c r="R31" s="9">
        <f t="shared" si="7"/>
        <v>6</v>
      </c>
      <c r="S31" s="14" t="str" cm="1">
        <f t="array" ref="S31">INDEX('Report-ConceptMap-2'!$I$15:$N$269,Q31+1,R31)</f>
        <v/>
      </c>
    </row>
    <row r="32" spans="1:19" ht="103.25" x14ac:dyDescent="0.75">
      <c r="B32" s="9" t="str">
        <f>Report!B23</f>
        <v>result</v>
      </c>
      <c r="C32" s="9" t="str">
        <f>Report!C23</f>
        <v>A.5 Results data elements</v>
      </c>
      <c r="D32" s="14" t="s">
        <v>815</v>
      </c>
      <c r="E32" s="14"/>
      <c r="F32" s="75" t="s">
        <v>659</v>
      </c>
      <c r="G32" s="75" t="s">
        <v>703</v>
      </c>
      <c r="H32" s="76"/>
      <c r="I32" s="14" t="str">
        <f t="shared" si="8"/>
        <v>* group[=].element[+].code = #LabReport.result</v>
      </c>
      <c r="J32" s="14" t="str">
        <f t="shared" si="9"/>
        <v>* group[=].element[=].display = ##34#A.5 Results data elements##34#</v>
      </c>
      <c r="K32" s="14" t="str">
        <f t="shared" si="5"/>
        <v>* group[=].element[=].target.code = #Composition.section:lab-subsections.section.entry.resolve()</v>
      </c>
      <c r="L32" s="14" t="str">
        <f t="shared" si="10"/>
        <v>* group[=].element[=].target.display = ##34###34#</v>
      </c>
      <c r="M32" s="14" t="str">
        <f t="shared" si="11"/>
        <v>* group[=].element[=].target.equivalence = #relatedto</v>
      </c>
      <c r="N32" s="14" t="str">
        <f t="shared" si="12"/>
        <v>* group[=].element[=].target.comment = ##34#If sub sections##34#</v>
      </c>
      <c r="P32" s="9">
        <v>19</v>
      </c>
      <c r="Q32" s="9">
        <f t="shared" si="6"/>
        <v>3</v>
      </c>
      <c r="R32" s="9">
        <f t="shared" si="7"/>
        <v>1</v>
      </c>
      <c r="S32" s="14" t="str" cm="1">
        <f t="array" ref="S32">INDEX('Report-ConceptMap-2'!$I$15:$N$269,Q32+1,R32)</f>
        <v>* group[=].element[+].code = #LabReport.header.informationRecipient</v>
      </c>
    </row>
    <row r="33" spans="1:19" x14ac:dyDescent="0.75">
      <c r="B33" s="9"/>
      <c r="C33" s="9"/>
      <c r="D33" s="14"/>
      <c r="E33" s="14"/>
      <c r="F33" s="75"/>
      <c r="G33" s="75"/>
      <c r="H33" s="76"/>
      <c r="I33" s="14"/>
      <c r="J33" s="14"/>
      <c r="K33" s="14"/>
      <c r="L33" s="14"/>
      <c r="M33" s="14"/>
      <c r="N33" s="14"/>
      <c r="P33" s="9">
        <v>20</v>
      </c>
      <c r="Q33" s="9">
        <f t="shared" si="6"/>
        <v>3</v>
      </c>
      <c r="R33" s="9">
        <f t="shared" si="7"/>
        <v>2</v>
      </c>
      <c r="S33" s="14" t="str" cm="1">
        <f t="array" ref="S33">INDEX('Report-ConceptMap-2'!$I$15:$N$269,Q33+1,R33)</f>
        <v>* group[=].element[=].display = ##34#A.1.4 Information recipient##34#</v>
      </c>
    </row>
    <row r="34" spans="1:19" x14ac:dyDescent="0.75">
      <c r="B34" s="9"/>
      <c r="C34" s="9"/>
      <c r="D34" s="14"/>
      <c r="E34" s="14"/>
      <c r="F34" s="75"/>
      <c r="G34" s="75"/>
      <c r="H34" s="76"/>
      <c r="K34" s="76"/>
      <c r="L34" s="76"/>
      <c r="M34" s="74"/>
      <c r="N34" s="74"/>
      <c r="P34" s="9">
        <v>21</v>
      </c>
      <c r="Q34" s="9">
        <f t="shared" si="6"/>
        <v>3</v>
      </c>
      <c r="R34" s="9">
        <f t="shared" si="7"/>
        <v>3</v>
      </c>
      <c r="S34" s="14" t="str" cm="1">
        <f t="array" ref="S34">INDEX('Report-ConceptMap-2'!$I$15:$N$269,Q34+1,R34)</f>
        <v>//-- unmatched</v>
      </c>
    </row>
    <row r="35" spans="1:19" x14ac:dyDescent="0.75">
      <c r="B35" s="9"/>
      <c r="C35" s="9"/>
      <c r="D35" s="14"/>
      <c r="E35" s="14"/>
      <c r="F35" s="75"/>
      <c r="G35" s="75"/>
      <c r="H35" s="76"/>
      <c r="K35" s="76"/>
      <c r="L35" s="76"/>
      <c r="M35" s="74"/>
      <c r="N35" s="74"/>
      <c r="P35" s="9">
        <v>22</v>
      </c>
      <c r="Q35" s="9">
        <f t="shared" si="6"/>
        <v>3</v>
      </c>
      <c r="R35" s="9">
        <f t="shared" si="7"/>
        <v>4</v>
      </c>
      <c r="S35" s="14" t="str" cm="1">
        <f t="array" ref="S35">INDEX('Report-ConceptMap-2'!$I$15:$N$269,Q35+1,R35)</f>
        <v>//-- unmatched</v>
      </c>
    </row>
    <row r="36" spans="1:19" s="1" customFormat="1" x14ac:dyDescent="0.75">
      <c r="A36"/>
      <c r="B36" s="9"/>
      <c r="C36" s="9"/>
      <c r="D36" s="14"/>
      <c r="E36" s="14"/>
      <c r="F36" s="75"/>
      <c r="G36" s="76"/>
      <c r="H36" s="76"/>
      <c r="J36"/>
      <c r="K36" s="76"/>
      <c r="L36" s="76"/>
      <c r="M36" s="74"/>
      <c r="N36" s="74"/>
      <c r="P36" s="9">
        <v>23</v>
      </c>
      <c r="Q36" s="9">
        <f t="shared" si="6"/>
        <v>3</v>
      </c>
      <c r="R36" s="9">
        <f t="shared" si="7"/>
        <v>5</v>
      </c>
      <c r="S36" s="14" t="str" cm="1">
        <f t="array" ref="S36">INDEX('Report-ConceptMap-2'!$I$15:$N$269,Q36+1,R36)</f>
        <v>* group[=].element[=].target.equivalence = #unmatched</v>
      </c>
    </row>
    <row r="37" spans="1:19" s="1" customFormat="1" x14ac:dyDescent="0.75">
      <c r="A37"/>
      <c r="B37" s="9"/>
      <c r="C37" s="9"/>
      <c r="D37" s="60"/>
      <c r="F37" s="76"/>
      <c r="G37" s="76"/>
      <c r="H37" s="76"/>
      <c r="J37"/>
      <c r="K37" s="76"/>
      <c r="L37" s="76"/>
      <c r="M37" s="74"/>
      <c r="N37" s="74"/>
      <c r="P37" s="9">
        <v>24</v>
      </c>
      <c r="Q37" s="9">
        <f t="shared" si="6"/>
        <v>3</v>
      </c>
      <c r="R37" s="9">
        <f t="shared" si="7"/>
        <v>6</v>
      </c>
      <c r="S37" s="14" t="str" cm="1">
        <f t="array" ref="S37">INDEX('Report-ConceptMap-2'!$I$15:$N$269,Q37+1,R37)</f>
        <v/>
      </c>
    </row>
    <row r="38" spans="1:19" s="1" customFormat="1" x14ac:dyDescent="0.75">
      <c r="A38"/>
      <c r="B38" s="9"/>
      <c r="C38" s="9"/>
      <c r="F38" s="76"/>
      <c r="G38" s="76"/>
      <c r="H38" s="76"/>
      <c r="J38"/>
      <c r="K38" s="76"/>
      <c r="L38" s="76"/>
      <c r="M38" s="74"/>
      <c r="N38" s="74"/>
      <c r="P38" s="9">
        <v>25</v>
      </c>
      <c r="Q38" s="9">
        <f t="shared" si="6"/>
        <v>4</v>
      </c>
      <c r="R38" s="9">
        <f t="shared" si="7"/>
        <v>1</v>
      </c>
      <c r="S38" s="14" t="str" cm="1">
        <f t="array" ref="S38">INDEX('Report-ConceptMap-2'!$I$15:$N$269,Q38+1,R38)</f>
        <v>* group[=].element[+].code = #LabReport.header.author</v>
      </c>
    </row>
    <row r="39" spans="1:19" s="1" customFormat="1" x14ac:dyDescent="0.75">
      <c r="A39"/>
      <c r="B39" s="9"/>
      <c r="C39" s="9"/>
      <c r="F39" s="76"/>
      <c r="G39" s="76"/>
      <c r="H39" s="76"/>
      <c r="J39" s="76"/>
      <c r="K39" s="76"/>
      <c r="L39" s="76"/>
      <c r="M39" s="74"/>
      <c r="N39" s="74"/>
      <c r="P39" s="9">
        <v>26</v>
      </c>
      <c r="Q39" s="9">
        <f t="shared" si="6"/>
        <v>4</v>
      </c>
      <c r="R39" s="9">
        <f t="shared" si="7"/>
        <v>2</v>
      </c>
      <c r="S39" s="14" t="str" cm="1">
        <f t="array" ref="S39">INDEX('Report-ConceptMap-2'!$I$15:$N$269,Q39+1,R39)</f>
        <v>* group[=].element[=].display = ##34#A.1.5 Author##34#</v>
      </c>
    </row>
    <row r="40" spans="1:19" s="1" customFormat="1" x14ac:dyDescent="0.75">
      <c r="A40"/>
      <c r="B40" s="9"/>
      <c r="C40" s="9"/>
      <c r="F40" s="76"/>
      <c r="G40" s="76"/>
      <c r="H40" s="76"/>
      <c r="J40" s="76"/>
      <c r="K40" s="76"/>
      <c r="L40" s="76"/>
      <c r="M40" s="74"/>
      <c r="N40" s="74"/>
      <c r="P40" s="9">
        <v>27</v>
      </c>
      <c r="Q40" s="9">
        <f t="shared" si="6"/>
        <v>4</v>
      </c>
      <c r="R40" s="9">
        <f t="shared" si="7"/>
        <v>3</v>
      </c>
      <c r="S40" s="14" t="str" cm="1">
        <f t="array" ref="S40">INDEX('Report-ConceptMap-2'!$I$15:$N$269,Q40+1,R40)</f>
        <v>* group[=].element[=].target.code = #Composition.author.resolve()</v>
      </c>
    </row>
    <row r="41" spans="1:19" s="1" customFormat="1" x14ac:dyDescent="0.75">
      <c r="A41"/>
      <c r="B41" s="9"/>
      <c r="C41" s="9"/>
      <c r="F41" s="76"/>
      <c r="G41" s="76"/>
      <c r="H41" s="76"/>
      <c r="J41" s="76"/>
      <c r="K41" s="76"/>
      <c r="L41" s="76"/>
      <c r="M41" s="74"/>
      <c r="N41" s="74"/>
      <c r="P41" s="9">
        <v>28</v>
      </c>
      <c r="Q41" s="9">
        <f t="shared" si="6"/>
        <v>4</v>
      </c>
      <c r="R41" s="9">
        <f t="shared" si="7"/>
        <v>4</v>
      </c>
      <c r="S41" s="14" t="str" cm="1">
        <f t="array" ref="S41">INDEX('Report-ConceptMap-2'!$I$15:$N$269,Q41+1,R41)</f>
        <v>* group[=].element[=].target.display = ##34###34#</v>
      </c>
    </row>
    <row r="42" spans="1:19" s="1" customFormat="1" x14ac:dyDescent="0.75">
      <c r="A42"/>
      <c r="B42" s="9"/>
      <c r="C42" s="9"/>
      <c r="F42" s="76"/>
      <c r="G42" s="76"/>
      <c r="H42" s="76"/>
      <c r="J42" s="76"/>
      <c r="K42" s="76"/>
      <c r="L42" s="76"/>
      <c r="M42" s="76"/>
      <c r="N42" s="76"/>
      <c r="P42" s="9">
        <v>29</v>
      </c>
      <c r="Q42" s="9">
        <f t="shared" si="6"/>
        <v>4</v>
      </c>
      <c r="R42" s="9">
        <f t="shared" si="7"/>
        <v>5</v>
      </c>
      <c r="S42" s="14" t="str" cm="1">
        <f t="array" ref="S42">INDEX('Report-ConceptMap-2'!$I$15:$N$269,Q42+1,R42)</f>
        <v>* group[=].element[=].target.equivalence = #relatedto</v>
      </c>
    </row>
    <row r="43" spans="1:19" s="1" customFormat="1" x14ac:dyDescent="0.75">
      <c r="A43"/>
      <c r="B43" s="9"/>
      <c r="C43"/>
      <c r="F43" s="76"/>
      <c r="G43" s="76"/>
      <c r="H43" s="76"/>
      <c r="J43" s="76"/>
      <c r="K43" s="76"/>
      <c r="L43" s="76"/>
      <c r="M43" s="76"/>
      <c r="N43" s="76"/>
      <c r="P43" s="9">
        <v>30</v>
      </c>
      <c r="Q43" s="9">
        <f t="shared" si="6"/>
        <v>4</v>
      </c>
      <c r="R43" s="9">
        <f t="shared" si="7"/>
        <v>6</v>
      </c>
      <c r="S43" s="14" t="str" cm="1">
        <f t="array" ref="S43">INDEX('Report-ConceptMap-2'!$I$15:$N$269,Q43+1,R43)</f>
        <v/>
      </c>
    </row>
    <row r="44" spans="1:19" s="1" customFormat="1" x14ac:dyDescent="0.75">
      <c r="A44"/>
      <c r="B44" s="9"/>
      <c r="C44"/>
      <c r="F44" s="76"/>
      <c r="G44" s="76"/>
      <c r="H44" s="76"/>
      <c r="J44" s="76"/>
      <c r="K44" s="76"/>
      <c r="L44" s="76"/>
      <c r="M44" s="76"/>
      <c r="N44" s="76"/>
      <c r="P44" s="9">
        <v>31</v>
      </c>
      <c r="Q44" s="9">
        <f t="shared" si="6"/>
        <v>5</v>
      </c>
      <c r="R44" s="9">
        <f t="shared" si="7"/>
        <v>1</v>
      </c>
      <c r="S44" s="14" t="str" cm="1">
        <f t="array" ref="S44">INDEX('Report-ConceptMap-2'!$I$15:$N$269,Q44+1,R44)</f>
        <v>* group[=].element[+].code = #LabReport.header.legalAuthenticator</v>
      </c>
    </row>
    <row r="45" spans="1:19" s="1" customFormat="1" x14ac:dyDescent="0.75">
      <c r="A45"/>
      <c r="B45" s="9"/>
      <c r="C45"/>
      <c r="F45" s="76"/>
      <c r="G45" s="76"/>
      <c r="H45" s="76"/>
      <c r="J45" s="76"/>
      <c r="K45" s="76"/>
      <c r="L45" s="76"/>
      <c r="M45" s="76"/>
      <c r="N45" s="76"/>
      <c r="P45" s="9">
        <v>32</v>
      </c>
      <c r="Q45" s="9">
        <f t="shared" si="6"/>
        <v>5</v>
      </c>
      <c r="R45" s="9">
        <f t="shared" si="7"/>
        <v>2</v>
      </c>
      <c r="S45" s="14" t="str" cm="1">
        <f t="array" ref="S45">INDEX('Report-ConceptMap-2'!$I$15:$N$269,Q45+1,R45)</f>
        <v>* group[=].element[=].display = ##34#A.1.6 Legal authenticator##34#</v>
      </c>
    </row>
    <row r="46" spans="1:19" s="1" customFormat="1" ht="29.5" x14ac:dyDescent="0.75">
      <c r="A46"/>
      <c r="B46" s="9"/>
      <c r="C46"/>
      <c r="F46" s="76"/>
      <c r="G46" s="76"/>
      <c r="H46" s="76"/>
      <c r="J46" s="76"/>
      <c r="K46" s="76"/>
      <c r="L46" s="76"/>
      <c r="M46" s="76"/>
      <c r="N46" s="76"/>
      <c r="P46" s="9">
        <v>33</v>
      </c>
      <c r="Q46" s="9">
        <f t="shared" si="6"/>
        <v>5</v>
      </c>
      <c r="R46" s="9">
        <f t="shared" si="7"/>
        <v>3</v>
      </c>
      <c r="S46" s="14" t="str" cm="1">
        <f t="array" ref="S46">INDEX('Report-ConceptMap-2'!$I$15:$N$269,Q46+1,R46)</f>
        <v>* group[=].element[=].target.code = #Composition.attester.where(mode='legal').party.resolve()</v>
      </c>
    </row>
    <row r="47" spans="1:19" s="1" customFormat="1" x14ac:dyDescent="0.75">
      <c r="A47"/>
      <c r="B47" s="9"/>
      <c r="C47"/>
      <c r="F47" s="76"/>
      <c r="G47" s="76"/>
      <c r="H47" s="76"/>
      <c r="J47" s="76"/>
      <c r="K47" s="76"/>
      <c r="L47" s="76"/>
      <c r="M47" s="76"/>
      <c r="N47" s="76"/>
      <c r="P47" s="9">
        <v>34</v>
      </c>
      <c r="Q47" s="9">
        <f t="shared" si="6"/>
        <v>5</v>
      </c>
      <c r="R47" s="9">
        <f t="shared" si="7"/>
        <v>4</v>
      </c>
      <c r="S47" s="14" t="str" cm="1">
        <f t="array" ref="S47">INDEX('Report-ConceptMap-2'!$I$15:$N$269,Q47+1,R47)</f>
        <v>* group[=].element[=].target.display = ##34###34#</v>
      </c>
    </row>
    <row r="48" spans="1:19" x14ac:dyDescent="0.75">
      <c r="F48" s="76"/>
      <c r="G48" s="76"/>
      <c r="H48" s="76"/>
      <c r="J48" s="76"/>
      <c r="K48" s="76"/>
      <c r="L48" s="76"/>
      <c r="M48" s="76"/>
      <c r="N48" s="76"/>
      <c r="P48" s="9">
        <v>35</v>
      </c>
      <c r="Q48" s="9">
        <f t="shared" si="6"/>
        <v>5</v>
      </c>
      <c r="R48" s="9">
        <f t="shared" si="7"/>
        <v>5</v>
      </c>
      <c r="S48" s="14" t="str" cm="1">
        <f t="array" ref="S48">INDEX('Report-ConceptMap-2'!$I$15:$N$269,Q48+1,R48)</f>
        <v>* group[=].element[=].target.equivalence = #equivalent</v>
      </c>
    </row>
    <row r="49" spans="2:19" ht="29.5" x14ac:dyDescent="0.75">
      <c r="F49" s="76"/>
      <c r="G49" s="76"/>
      <c r="H49" s="76"/>
      <c r="J49" s="76"/>
      <c r="K49" s="76"/>
      <c r="L49" s="76"/>
      <c r="M49" s="76"/>
      <c r="N49" s="76"/>
      <c r="P49" s="9">
        <v>36</v>
      </c>
      <c r="Q49" s="9">
        <f t="shared" si="6"/>
        <v>5</v>
      </c>
      <c r="R49" s="9">
        <f t="shared" si="7"/>
        <v>6</v>
      </c>
      <c r="S49" s="14" t="str" cm="1">
        <f t="array" ref="S49">INDEX('Report-ConceptMap-2'!$I$15:$N$269,Q49+1,R49)</f>
        <v>* group[=].element[=].target.comment = ##34#The person authenticated the content and accepted legal responsibility for its content.##34#</v>
      </c>
    </row>
    <row r="50" spans="2:19" x14ac:dyDescent="0.75">
      <c r="F50" s="76"/>
      <c r="G50" s="76"/>
      <c r="H50" s="76"/>
      <c r="J50" s="76"/>
      <c r="K50" s="76"/>
      <c r="L50" s="76"/>
      <c r="M50" s="76"/>
      <c r="N50" s="76"/>
      <c r="P50" s="9">
        <v>37</v>
      </c>
      <c r="Q50" s="9">
        <f t="shared" si="6"/>
        <v>6</v>
      </c>
      <c r="R50" s="9">
        <f t="shared" si="7"/>
        <v>1</v>
      </c>
      <c r="S50" s="14" t="str" cm="1">
        <f t="array" ref="S50">INDEX('Report-ConceptMap-2'!$I$15:$N$269,Q50+1,R50)</f>
        <v>* group[=].element[+].code = #LabReport.header.validator</v>
      </c>
    </row>
    <row r="51" spans="2:19" x14ac:dyDescent="0.75">
      <c r="F51" s="76"/>
      <c r="G51" s="76"/>
      <c r="H51" s="76"/>
      <c r="J51" s="76"/>
      <c r="K51" s="76"/>
      <c r="L51" s="76"/>
      <c r="M51" s="76"/>
      <c r="N51" s="76"/>
      <c r="P51" s="9">
        <v>38</v>
      </c>
      <c r="Q51" s="9">
        <f t="shared" si="6"/>
        <v>6</v>
      </c>
      <c r="R51" s="9">
        <f t="shared" si="7"/>
        <v>2</v>
      </c>
      <c r="S51" s="14" t="str" cm="1">
        <f t="array" ref="S51">INDEX('Report-ConceptMap-2'!$I$15:$N$269,Q51+1,R51)</f>
        <v>* group[=].element[=].display = ##34#A.1.7 Result validator##34#</v>
      </c>
    </row>
    <row r="52" spans="2:19" ht="29.5" x14ac:dyDescent="0.75">
      <c r="B52" t="s">
        <v>647</v>
      </c>
      <c r="C52" t="s">
        <v>648</v>
      </c>
      <c r="D52" s="1" t="s">
        <v>649</v>
      </c>
      <c r="E52" t="s">
        <v>650</v>
      </c>
      <c r="P52" s="9">
        <v>39</v>
      </c>
      <c r="Q52" s="9">
        <f t="shared" si="6"/>
        <v>6</v>
      </c>
      <c r="R52" s="9">
        <f t="shared" si="7"/>
        <v>3</v>
      </c>
      <c r="S52" s="14" t="str" cm="1">
        <f t="array" ref="S52">INDEX('Report-ConceptMap-2'!$I$15:$N$269,Q52+1,R52)</f>
        <v>* group[=].element[=].target.code = #Composition.attester.where(mode='professional').party.resolve()</v>
      </c>
    </row>
    <row r="53" spans="2:19" x14ac:dyDescent="0.75">
      <c r="P53" s="9">
        <v>40</v>
      </c>
      <c r="Q53" s="9">
        <f t="shared" si="6"/>
        <v>6</v>
      </c>
      <c r="R53" s="9">
        <f t="shared" si="7"/>
        <v>4</v>
      </c>
      <c r="S53" s="14" t="str" cm="1">
        <f t="array" ref="S53">INDEX('Report-ConceptMap-2'!$I$15:$N$269,Q53+1,R53)</f>
        <v>* group[=].element[=].target.display = ##34###34#</v>
      </c>
    </row>
    <row r="54" spans="2:19" x14ac:dyDescent="0.75">
      <c r="P54" s="9">
        <v>41</v>
      </c>
      <c r="Q54" s="9">
        <f t="shared" si="6"/>
        <v>6</v>
      </c>
      <c r="R54" s="9">
        <f t="shared" si="7"/>
        <v>5</v>
      </c>
      <c r="S54" s="14" t="str" cm="1">
        <f t="array" ref="S54">INDEX('Report-ConceptMap-2'!$I$15:$N$269,Q54+1,R54)</f>
        <v>* group[=].element[=].target.equivalence = #equivalent</v>
      </c>
    </row>
    <row r="55" spans="2:19" ht="29.5" x14ac:dyDescent="0.75">
      <c r="P55" s="9">
        <v>42</v>
      </c>
      <c r="Q55" s="9">
        <f t="shared" si="6"/>
        <v>6</v>
      </c>
      <c r="R55" s="9">
        <f t="shared" si="7"/>
        <v>6</v>
      </c>
      <c r="S55" s="14" t="str" cm="1">
        <f t="array" ref="S55">INDEX('Report-ConceptMap-2'!$I$15:$N$269,Q55+1,R55)</f>
        <v>* group[=].element[=].target.comment = ##34#The person authenticated the content in their professional capacity.##34#</v>
      </c>
    </row>
    <row r="56" spans="2:19" x14ac:dyDescent="0.75">
      <c r="P56" s="9">
        <v>43</v>
      </c>
      <c r="Q56" s="9">
        <f t="shared" si="6"/>
        <v>7</v>
      </c>
      <c r="R56" s="9">
        <f t="shared" si="7"/>
        <v>1</v>
      </c>
      <c r="S56" s="14" t="str" cm="1">
        <f t="array" ref="S56">INDEX('Report-ConceptMap-2'!$I$15:$N$269,Q56+1,R56)</f>
        <v>* group[=].element[+].code = #LabReport.header.metadata</v>
      </c>
    </row>
    <row r="57" spans="2:19" x14ac:dyDescent="0.75">
      <c r="P57" s="9">
        <v>44</v>
      </c>
      <c r="Q57" s="9">
        <f t="shared" si="6"/>
        <v>7</v>
      </c>
      <c r="R57" s="9">
        <f t="shared" si="7"/>
        <v>2</v>
      </c>
      <c r="S57" s="14" t="str" cm="1">
        <f t="array" ref="S57">INDEX('Report-ConceptMap-2'!$I$15:$N$269,Q57+1,R57)</f>
        <v>* group[=].element[=].display = ##34#A.1.8 Laboratory report metadata##34#</v>
      </c>
    </row>
    <row r="58" spans="2:19" x14ac:dyDescent="0.75">
      <c r="P58" s="9">
        <v>45</v>
      </c>
      <c r="Q58" s="9">
        <f t="shared" si="6"/>
        <v>7</v>
      </c>
      <c r="R58" s="9">
        <f t="shared" si="7"/>
        <v>3</v>
      </c>
      <c r="S58" s="14" t="str" cm="1">
        <f t="array" ref="S58">INDEX('Report-ConceptMap-2'!$I$15:$N$269,Q58+1,R58)</f>
        <v>* group[=].element[=].target.code = #Composition.$this</v>
      </c>
    </row>
    <row r="59" spans="2:19" x14ac:dyDescent="0.75">
      <c r="P59" s="9">
        <v>46</v>
      </c>
      <c r="Q59" s="9">
        <f t="shared" si="6"/>
        <v>7</v>
      </c>
      <c r="R59" s="9">
        <f t="shared" si="7"/>
        <v>4</v>
      </c>
      <c r="S59" s="14" t="str" cm="1">
        <f t="array" ref="S59">INDEX('Report-ConceptMap-2'!$I$15:$N$269,Q59+1,R59)</f>
        <v>* group[=].element[=].target.display = ##34###34#</v>
      </c>
    </row>
    <row r="60" spans="2:19" x14ac:dyDescent="0.75">
      <c r="P60" s="9">
        <v>47</v>
      </c>
      <c r="Q60" s="9">
        <f t="shared" si="6"/>
        <v>7</v>
      </c>
      <c r="R60" s="9">
        <f t="shared" si="7"/>
        <v>5</v>
      </c>
      <c r="S60" s="14" t="str" cm="1">
        <f t="array" ref="S60">INDEX('Report-ConceptMap-2'!$I$15:$N$269,Q60+1,R60)</f>
        <v>* group[=].element[=].target.equivalence = #relatedto</v>
      </c>
    </row>
    <row r="61" spans="2:19" x14ac:dyDescent="0.75">
      <c r="P61" s="9">
        <v>48</v>
      </c>
      <c r="Q61" s="9">
        <f t="shared" si="6"/>
        <v>7</v>
      </c>
      <c r="R61" s="9">
        <f t="shared" si="7"/>
        <v>6</v>
      </c>
      <c r="S61" s="14" t="str" cm="1">
        <f t="array" ref="S61">INDEX('Report-ConceptMap-2'!$I$15:$N$269,Q61+1,R61)</f>
        <v/>
      </c>
    </row>
    <row r="62" spans="2:19" x14ac:dyDescent="0.75">
      <c r="P62" s="9">
        <v>49</v>
      </c>
      <c r="Q62" s="9">
        <f t="shared" si="6"/>
        <v>8</v>
      </c>
      <c r="R62" s="9">
        <f t="shared" si="7"/>
        <v>1</v>
      </c>
      <c r="S62" s="14" t="str" cm="1">
        <f t="array" ref="S62">INDEX('Report-ConceptMap-2'!$I$15:$N$269,Q62+1,R62)</f>
        <v>* group[=].element[+].code = #LabReport.header.metadata.type</v>
      </c>
    </row>
    <row r="63" spans="2:19" x14ac:dyDescent="0.75">
      <c r="P63" s="9">
        <v>50</v>
      </c>
      <c r="Q63" s="9">
        <f t="shared" si="6"/>
        <v>8</v>
      </c>
      <c r="R63" s="9">
        <f t="shared" si="7"/>
        <v>2</v>
      </c>
      <c r="S63" s="14" t="str" cm="1">
        <f t="array" ref="S63">INDEX('Report-ConceptMap-2'!$I$15:$N$269,Q63+1,R63)</f>
        <v>* group[=].element[=].display = ##34#A.1.8.1 Document type##34#</v>
      </c>
    </row>
    <row r="64" spans="2:19" x14ac:dyDescent="0.75">
      <c r="P64" s="9">
        <v>51</v>
      </c>
      <c r="Q64" s="9">
        <f t="shared" si="6"/>
        <v>8</v>
      </c>
      <c r="R64" s="9">
        <f t="shared" si="7"/>
        <v>3</v>
      </c>
      <c r="S64" s="14" t="str" cm="1">
        <f t="array" ref="S64">INDEX('Report-ConceptMap-2'!$I$15:$N$269,Q64+1,R64)</f>
        <v>* group[=].element[=].target.code = #Composition.code</v>
      </c>
    </row>
    <row r="65" spans="16:19" x14ac:dyDescent="0.75">
      <c r="P65" s="9">
        <v>52</v>
      </c>
      <c r="Q65" s="9">
        <f t="shared" si="6"/>
        <v>8</v>
      </c>
      <c r="R65" s="9">
        <f t="shared" si="7"/>
        <v>4</v>
      </c>
      <c r="S65" s="14" t="str" cm="1">
        <f t="array" ref="S65">INDEX('Report-ConceptMap-2'!$I$15:$N$269,Q65+1,R65)</f>
        <v>* group[=].element[=].target.display = ##34###34#</v>
      </c>
    </row>
    <row r="66" spans="16:19" x14ac:dyDescent="0.75">
      <c r="P66" s="9">
        <v>53</v>
      </c>
      <c r="Q66" s="9">
        <f t="shared" si="6"/>
        <v>8</v>
      </c>
      <c r="R66" s="9">
        <f t="shared" si="7"/>
        <v>5</v>
      </c>
      <c r="S66" s="14" t="str" cm="1">
        <f t="array" ref="S66">INDEX('Report-ConceptMap-2'!$I$15:$N$269,Q66+1,R66)</f>
        <v>* group[=].element[=].target.equivalence = #equivalent</v>
      </c>
    </row>
    <row r="67" spans="16:19" x14ac:dyDescent="0.75">
      <c r="P67" s="9">
        <v>54</v>
      </c>
      <c r="Q67" s="9">
        <f t="shared" si="6"/>
        <v>8</v>
      </c>
      <c r="R67" s="9">
        <f t="shared" si="7"/>
        <v>6</v>
      </c>
      <c r="S67" s="14" t="str" cm="1">
        <f t="array" ref="S67">INDEX('Report-ConceptMap-2'!$I$15:$N$269,Q67+1,R67)</f>
        <v/>
      </c>
    </row>
    <row r="68" spans="16:19" x14ac:dyDescent="0.75">
      <c r="P68" s="9">
        <v>55</v>
      </c>
      <c r="Q68" s="9">
        <f t="shared" si="6"/>
        <v>9</v>
      </c>
      <c r="R68" s="9">
        <f t="shared" si="7"/>
        <v>1</v>
      </c>
      <c r="S68" s="14" t="str" cm="1">
        <f t="array" ref="S68">INDEX('Report-ConceptMap-2'!$I$15:$N$269,Q68+1,R68)</f>
        <v>* group[=].element[+].code = #LabReport.header.metadata.status</v>
      </c>
    </row>
    <row r="69" spans="16:19" x14ac:dyDescent="0.75">
      <c r="P69" s="9">
        <v>56</v>
      </c>
      <c r="Q69" s="9">
        <f t="shared" si="6"/>
        <v>9</v>
      </c>
      <c r="R69" s="9">
        <f t="shared" si="7"/>
        <v>2</v>
      </c>
      <c r="S69" s="14" t="str" cm="1">
        <f t="array" ref="S69">INDEX('Report-ConceptMap-2'!$I$15:$N$269,Q69+1,R69)</f>
        <v>* group[=].element[=].display = ##34#A.1.8.2 Document status##34#</v>
      </c>
    </row>
    <row r="70" spans="16:19" x14ac:dyDescent="0.75">
      <c r="P70" s="9">
        <v>57</v>
      </c>
      <c r="Q70" s="9">
        <f t="shared" si="6"/>
        <v>9</v>
      </c>
      <c r="R70" s="9">
        <f t="shared" si="7"/>
        <v>3</v>
      </c>
      <c r="S70" s="14" t="str" cm="1">
        <f t="array" ref="S70">INDEX('Report-ConceptMap-2'!$I$15:$N$269,Q70+1,R70)</f>
        <v>* group[=].element[=].target.code = #Composition.status</v>
      </c>
    </row>
    <row r="71" spans="16:19" x14ac:dyDescent="0.75">
      <c r="P71" s="9">
        <v>58</v>
      </c>
      <c r="Q71" s="9">
        <f t="shared" si="6"/>
        <v>9</v>
      </c>
      <c r="R71" s="9">
        <f t="shared" si="7"/>
        <v>4</v>
      </c>
      <c r="S71" s="14" t="str" cm="1">
        <f t="array" ref="S71">INDEX('Report-ConceptMap-2'!$I$15:$N$269,Q71+1,R71)</f>
        <v>* group[=].element[=].target.display = ##34###34#</v>
      </c>
    </row>
    <row r="72" spans="16:19" x14ac:dyDescent="0.75">
      <c r="P72" s="9">
        <v>59</v>
      </c>
      <c r="Q72" s="9">
        <f t="shared" si="6"/>
        <v>9</v>
      </c>
      <c r="R72" s="9">
        <f t="shared" si="7"/>
        <v>5</v>
      </c>
      <c r="S72" s="14" t="str" cm="1">
        <f t="array" ref="S72">INDEX('Report-ConceptMap-2'!$I$15:$N$269,Q72+1,R72)</f>
        <v>* group[=].element[=].target.equivalence = #relatedto</v>
      </c>
    </row>
    <row r="73" spans="16:19" x14ac:dyDescent="0.75">
      <c r="P73" s="9">
        <v>60</v>
      </c>
      <c r="Q73" s="9">
        <f t="shared" si="6"/>
        <v>9</v>
      </c>
      <c r="R73" s="9">
        <f t="shared" si="7"/>
        <v>6</v>
      </c>
      <c r="S73" s="14" t="str" cm="1">
        <f t="array" ref="S73">INDEX('Report-ConceptMap-2'!$I$15:$N$269,Q73+1,R73)</f>
        <v>* group[=].element[=].target.comment = ##34#to be checked…##34#</v>
      </c>
    </row>
    <row r="74" spans="16:19" x14ac:dyDescent="0.75">
      <c r="P74" s="9">
        <v>61</v>
      </c>
      <c r="Q74" s="9">
        <f t="shared" si="6"/>
        <v>10</v>
      </c>
      <c r="R74" s="9">
        <f t="shared" si="7"/>
        <v>1</v>
      </c>
      <c r="S74" s="14" t="str" cm="1">
        <f t="array" ref="S74">INDEX('Report-ConceptMap-2'!$I$15:$N$269,Q74+1,R74)</f>
        <v>* group[=].element[+].code = #LabReport.header.metadata.dateTime</v>
      </c>
    </row>
    <row r="75" spans="16:19" x14ac:dyDescent="0.75">
      <c r="P75" s="9">
        <v>62</v>
      </c>
      <c r="Q75" s="9">
        <f t="shared" si="6"/>
        <v>10</v>
      </c>
      <c r="R75" s="9">
        <f t="shared" si="7"/>
        <v>2</v>
      </c>
      <c r="S75" s="14" t="str" cm="1">
        <f t="array" ref="S75">INDEX('Report-ConceptMap-2'!$I$15:$N$269,Q75+1,R75)</f>
        <v>* group[=].element[=].display = ##34#A.1.8.3 Report date and time##34#</v>
      </c>
    </row>
    <row r="76" spans="16:19" x14ac:dyDescent="0.75">
      <c r="P76" s="9">
        <v>63</v>
      </c>
      <c r="Q76" s="9">
        <f t="shared" si="6"/>
        <v>10</v>
      </c>
      <c r="R76" s="9">
        <f t="shared" si="7"/>
        <v>3</v>
      </c>
      <c r="S76" s="14" t="str" cm="1">
        <f t="array" ref="S76">INDEX('Report-ConceptMap-2'!$I$15:$N$269,Q76+1,R76)</f>
        <v>* group[=].element[=].target.code = #Composition.date</v>
      </c>
    </row>
    <row r="77" spans="16:19" x14ac:dyDescent="0.75">
      <c r="P77" s="9">
        <v>64</v>
      </c>
      <c r="Q77" s="9">
        <f t="shared" si="6"/>
        <v>10</v>
      </c>
      <c r="R77" s="9">
        <f t="shared" si="7"/>
        <v>4</v>
      </c>
      <c r="S77" s="14" t="str" cm="1">
        <f t="array" ref="S77">INDEX('Report-ConceptMap-2'!$I$15:$N$269,Q77+1,R77)</f>
        <v>* group[=].element[=].target.display = ##34###34#</v>
      </c>
    </row>
    <row r="78" spans="16:19" x14ac:dyDescent="0.75">
      <c r="P78" s="9">
        <v>65</v>
      </c>
      <c r="Q78" s="9">
        <f t="shared" si="6"/>
        <v>10</v>
      </c>
      <c r="R78" s="9">
        <f t="shared" si="7"/>
        <v>5</v>
      </c>
      <c r="S78" s="14" t="str" cm="1">
        <f t="array" ref="S78">INDEX('Report-ConceptMap-2'!$I$15:$N$269,Q78+1,R78)</f>
        <v>* group[=].element[=].target.equivalence = #equivalent</v>
      </c>
    </row>
    <row r="79" spans="16:19" x14ac:dyDescent="0.75">
      <c r="P79" s="9">
        <v>66</v>
      </c>
      <c r="Q79" s="9">
        <f t="shared" si="6"/>
        <v>10</v>
      </c>
      <c r="R79" s="9">
        <f t="shared" si="7"/>
        <v>6</v>
      </c>
      <c r="S79" s="14" t="str" cm="1">
        <f t="array" ref="S79">INDEX('Report-ConceptMap-2'!$I$15:$N$269,Q79+1,R79)</f>
        <v/>
      </c>
    </row>
    <row r="80" spans="16:19" x14ac:dyDescent="0.75">
      <c r="P80" s="9">
        <v>67</v>
      </c>
      <c r="Q80" s="9">
        <f t="shared" ref="Q80:Q143" si="13">IF(MOD(P80,$Q$8)=0,P80/$Q$8-1,INT(P80/$Q$8))</f>
        <v>11</v>
      </c>
      <c r="R80" s="9">
        <f t="shared" ref="R80:R143" si="14">IF(MOD(P80,$Q$8)=0,$Q$8,MOD(P80,$Q$8))</f>
        <v>1</v>
      </c>
      <c r="S80" s="14" t="str" cm="1">
        <f t="array" ref="S80">INDEX('Report-ConceptMap-2'!$I$15:$N$269,Q80+1,R80)</f>
        <v>* group[=].element[+].code = #LabReport.header.metadata.title</v>
      </c>
    </row>
    <row r="81" spans="16:19" x14ac:dyDescent="0.75">
      <c r="P81" s="9">
        <v>68</v>
      </c>
      <c r="Q81" s="9">
        <f t="shared" si="13"/>
        <v>11</v>
      </c>
      <c r="R81" s="9">
        <f t="shared" si="14"/>
        <v>2</v>
      </c>
      <c r="S81" s="14" t="str" cm="1">
        <f t="array" ref="S81">INDEX('Report-ConceptMap-2'!$I$15:$N$269,Q81+1,R81)</f>
        <v>* group[=].element[=].display = ##34#A.1.8.4 Document title##34#</v>
      </c>
    </row>
    <row r="82" spans="16:19" x14ac:dyDescent="0.75">
      <c r="P82" s="9">
        <v>69</v>
      </c>
      <c r="Q82" s="9">
        <f t="shared" si="13"/>
        <v>11</v>
      </c>
      <c r="R82" s="9">
        <f t="shared" si="14"/>
        <v>3</v>
      </c>
      <c r="S82" s="14" t="str" cm="1">
        <f t="array" ref="S82">INDEX('Report-ConceptMap-2'!$I$15:$N$269,Q82+1,R82)</f>
        <v>* group[=].element[=].target.code = #Composition.title</v>
      </c>
    </row>
    <row r="83" spans="16:19" x14ac:dyDescent="0.75">
      <c r="P83" s="9">
        <v>70</v>
      </c>
      <c r="Q83" s="9">
        <f t="shared" si="13"/>
        <v>11</v>
      </c>
      <c r="R83" s="9">
        <f t="shared" si="14"/>
        <v>4</v>
      </c>
      <c r="S83" s="14" t="str" cm="1">
        <f t="array" ref="S83">INDEX('Report-ConceptMap-2'!$I$15:$N$269,Q83+1,R83)</f>
        <v>* group[=].element[=].target.display = ##34###34#</v>
      </c>
    </row>
    <row r="84" spans="16:19" x14ac:dyDescent="0.75">
      <c r="P84" s="9">
        <v>71</v>
      </c>
      <c r="Q84" s="9">
        <f t="shared" si="13"/>
        <v>11</v>
      </c>
      <c r="R84" s="9">
        <f t="shared" si="14"/>
        <v>5</v>
      </c>
      <c r="S84" s="14" t="str" cm="1">
        <f t="array" ref="S84">INDEX('Report-ConceptMap-2'!$I$15:$N$269,Q84+1,R84)</f>
        <v>* group[=].element[=].target.equivalence = #equivalent</v>
      </c>
    </row>
    <row r="85" spans="16:19" x14ac:dyDescent="0.75">
      <c r="P85" s="9">
        <v>72</v>
      </c>
      <c r="Q85" s="9">
        <f t="shared" si="13"/>
        <v>11</v>
      </c>
      <c r="R85" s="9">
        <f t="shared" si="14"/>
        <v>6</v>
      </c>
      <c r="S85" s="14" t="str" cm="1">
        <f t="array" ref="S85">INDEX('Report-ConceptMap-2'!$I$15:$N$269,Q85+1,R85)</f>
        <v/>
      </c>
    </row>
    <row r="86" spans="16:19" x14ac:dyDescent="0.75">
      <c r="P86" s="9">
        <v>73</v>
      </c>
      <c r="Q86" s="9">
        <f t="shared" si="13"/>
        <v>12</v>
      </c>
      <c r="R86" s="9">
        <f t="shared" si="14"/>
        <v>1</v>
      </c>
      <c r="S86" s="14" t="str" cm="1">
        <f t="array" ref="S86">INDEX('Report-ConceptMap-2'!$I$15:$N$269,Q86+1,R86)</f>
        <v>* group[=].element[+].code = #LabReport.header.metadata.custodian</v>
      </c>
    </row>
    <row r="87" spans="16:19" x14ac:dyDescent="0.75">
      <c r="P87" s="9">
        <v>74</v>
      </c>
      <c r="Q87" s="9">
        <f t="shared" si="13"/>
        <v>12</v>
      </c>
      <c r="R87" s="9">
        <f t="shared" si="14"/>
        <v>2</v>
      </c>
      <c r="S87" s="14" t="str" cm="1">
        <f t="array" ref="S87">INDEX('Report-ConceptMap-2'!$I$15:$N$269,Q87+1,R87)</f>
        <v>* group[=].element[=].display = ##34#A.1.8.5 Report custodian##34#</v>
      </c>
    </row>
    <row r="88" spans="16:19" x14ac:dyDescent="0.75">
      <c r="P88" s="9">
        <v>75</v>
      </c>
      <c r="Q88" s="9">
        <f t="shared" si="13"/>
        <v>12</v>
      </c>
      <c r="R88" s="9">
        <f t="shared" si="14"/>
        <v>3</v>
      </c>
      <c r="S88" s="14" t="str" cm="1">
        <f t="array" ref="S88">INDEX('Report-ConceptMap-2'!$I$15:$N$269,Q88+1,R88)</f>
        <v>* group[=].element[=].target.code = #Composition.custodian</v>
      </c>
    </row>
    <row r="89" spans="16:19" x14ac:dyDescent="0.75">
      <c r="P89" s="9">
        <v>76</v>
      </c>
      <c r="Q89" s="9">
        <f t="shared" si="13"/>
        <v>12</v>
      </c>
      <c r="R89" s="9">
        <f t="shared" si="14"/>
        <v>4</v>
      </c>
      <c r="S89" s="14" t="str" cm="1">
        <f t="array" ref="S89">INDEX('Report-ConceptMap-2'!$I$15:$N$269,Q89+1,R89)</f>
        <v>* group[=].element[=].target.display = ##34###34#</v>
      </c>
    </row>
    <row r="90" spans="16:19" x14ac:dyDescent="0.75">
      <c r="P90" s="9">
        <v>77</v>
      </c>
      <c r="Q90" s="9">
        <f t="shared" si="13"/>
        <v>12</v>
      </c>
      <c r="R90" s="9">
        <f t="shared" si="14"/>
        <v>5</v>
      </c>
      <c r="S90" s="14" t="str" cm="1">
        <f t="array" ref="S90">INDEX('Report-ConceptMap-2'!$I$15:$N$269,Q90+1,R90)</f>
        <v>* group[=].element[=].target.equivalence = #equivalent</v>
      </c>
    </row>
    <row r="91" spans="16:19" x14ac:dyDescent="0.75">
      <c r="P91" s="9">
        <v>78</v>
      </c>
      <c r="Q91" s="9">
        <f t="shared" si="13"/>
        <v>12</v>
      </c>
      <c r="R91" s="9">
        <f t="shared" si="14"/>
        <v>6</v>
      </c>
      <c r="S91" s="14" t="str" cm="1">
        <f t="array" ref="S91">INDEX('Report-ConceptMap-2'!$I$15:$N$269,Q91+1,R91)</f>
        <v/>
      </c>
    </row>
    <row r="92" spans="16:19" x14ac:dyDescent="0.75">
      <c r="P92" s="9">
        <v>79</v>
      </c>
      <c r="Q92" s="9">
        <f t="shared" si="13"/>
        <v>13</v>
      </c>
      <c r="R92" s="9">
        <f t="shared" si="14"/>
        <v>1</v>
      </c>
      <c r="S92" s="14" t="str" cm="1">
        <f t="array" ref="S92">INDEX('Report-ConceptMap-2'!$I$15:$N$269,Q92+1,R92)</f>
        <v>* group[=].element[+].code = #LabReport.order</v>
      </c>
    </row>
    <row r="93" spans="16:19" x14ac:dyDescent="0.75">
      <c r="P93" s="9">
        <v>80</v>
      </c>
      <c r="Q93" s="9">
        <f t="shared" si="13"/>
        <v>13</v>
      </c>
      <c r="R93" s="9">
        <f t="shared" si="14"/>
        <v>2</v>
      </c>
      <c r="S93" s="14" t="str" cm="1">
        <f t="array" ref="S93">INDEX('Report-ConceptMap-2'!$I$15:$N$269,Q93+1,R93)</f>
        <v>* group[=].element[=].display = ##34#A.2-A.3 Order##34#</v>
      </c>
    </row>
    <row r="94" spans="16:19" ht="44.25" x14ac:dyDescent="0.75">
      <c r="P94" s="9">
        <v>81</v>
      </c>
      <c r="Q94" s="9">
        <f t="shared" si="13"/>
        <v>13</v>
      </c>
      <c r="R94" s="9">
        <f t="shared" si="14"/>
        <v>3</v>
      </c>
      <c r="S94" s="14" t="str" cm="1">
        <f t="array" ref="S94">INDEX('Report-ConceptMap-2'!$I$15:$N$269,Q94+1,R94)</f>
        <v>* group[=].element[=].target.code = #Composition.extension(http://hl7.eu/fhir/laboratory/StructureDefinition/composition-basedOn-order-or-requisition).resolve().ofType(ServiceRequest)</v>
      </c>
    </row>
    <row r="95" spans="16:19" x14ac:dyDescent="0.75">
      <c r="P95" s="9">
        <v>82</v>
      </c>
      <c r="Q95" s="9">
        <f t="shared" si="13"/>
        <v>13</v>
      </c>
      <c r="R95" s="9">
        <f t="shared" si="14"/>
        <v>4</v>
      </c>
      <c r="S95" s="14" t="str" cm="1">
        <f t="array" ref="S95">INDEX('Report-ConceptMap-2'!$I$15:$N$269,Q95+1,R95)</f>
        <v>* group[=].element[=].target.display = ##34###34#</v>
      </c>
    </row>
    <row r="96" spans="16:19" x14ac:dyDescent="0.75">
      <c r="P96" s="9">
        <v>83</v>
      </c>
      <c r="Q96" s="9">
        <f t="shared" si="13"/>
        <v>13</v>
      </c>
      <c r="R96" s="9">
        <f t="shared" si="14"/>
        <v>5</v>
      </c>
      <c r="S96" s="14" t="str" cm="1">
        <f t="array" ref="S96">INDEX('Report-ConceptMap-2'!$I$15:$N$269,Q96+1,R96)</f>
        <v>* group[=].element[=].target.equivalence = #relatedto</v>
      </c>
    </row>
    <row r="97" spans="16:19" x14ac:dyDescent="0.75">
      <c r="P97" s="9">
        <v>84</v>
      </c>
      <c r="Q97" s="9">
        <f t="shared" si="13"/>
        <v>13</v>
      </c>
      <c r="R97" s="9">
        <f t="shared" si="14"/>
        <v>6</v>
      </c>
      <c r="S97" s="14" t="str" cm="1">
        <f t="array" ref="S97">INDEX('Report-ConceptMap-2'!$I$15:$N$269,Q97+1,R97)</f>
        <v/>
      </c>
    </row>
    <row r="98" spans="16:19" x14ac:dyDescent="0.75">
      <c r="P98" s="9">
        <v>85</v>
      </c>
      <c r="Q98" s="9">
        <f t="shared" si="13"/>
        <v>14</v>
      </c>
      <c r="R98" s="9">
        <f t="shared" si="14"/>
        <v>1</v>
      </c>
      <c r="S98" s="14" t="str" cm="1">
        <f t="array" ref="S98">INDEX('Report-ConceptMap-2'!$I$15:$N$269,Q98+1,R98)</f>
        <v>* group[=].element[+].code = #LabReport.specimen</v>
      </c>
    </row>
    <row r="99" spans="16:19" x14ac:dyDescent="0.75">
      <c r="P99" s="9">
        <v>86</v>
      </c>
      <c r="Q99" s="9">
        <f t="shared" si="13"/>
        <v>14</v>
      </c>
      <c r="R99" s="9">
        <f t="shared" si="14"/>
        <v>2</v>
      </c>
      <c r="S99" s="14" t="str" cm="1">
        <f t="array" ref="S99">INDEX('Report-ConceptMap-2'!$I$15:$N$269,Q99+1,R99)</f>
        <v>* group[=].element[=].display = ##34#A.4 Specimen information##34#</v>
      </c>
    </row>
    <row r="100" spans="16:19" ht="29.5" x14ac:dyDescent="0.75">
      <c r="P100" s="9">
        <v>87</v>
      </c>
      <c r="Q100" s="9">
        <f t="shared" si="13"/>
        <v>14</v>
      </c>
      <c r="R100" s="9">
        <f t="shared" si="14"/>
        <v>3</v>
      </c>
      <c r="S100" s="14" t="str" cm="1">
        <f t="array" ref="S100">INDEX('Report-ConceptMap-2'!$I$15:$N$269,Q100+1,R100)</f>
        <v>* group[=].element[=].target.code = #Composition.section:lab-no-subsections.entry.resolve().specimen.resolve()</v>
      </c>
    </row>
    <row r="101" spans="16:19" x14ac:dyDescent="0.75">
      <c r="P101" s="9">
        <v>88</v>
      </c>
      <c r="Q101" s="9">
        <f t="shared" si="13"/>
        <v>14</v>
      </c>
      <c r="R101" s="9">
        <f t="shared" si="14"/>
        <v>4</v>
      </c>
      <c r="S101" s="14" t="str" cm="1">
        <f t="array" ref="S101">INDEX('Report-ConceptMap-2'!$I$15:$N$269,Q101+1,R101)</f>
        <v>* group[=].element[=].target.display = ##34###34#</v>
      </c>
    </row>
    <row r="102" spans="16:19" x14ac:dyDescent="0.75">
      <c r="P102" s="9">
        <v>89</v>
      </c>
      <c r="Q102" s="9">
        <f t="shared" si="13"/>
        <v>14</v>
      </c>
      <c r="R102" s="9">
        <f t="shared" si="14"/>
        <v>5</v>
      </c>
      <c r="S102" s="14" t="str" cm="1">
        <f t="array" ref="S102">INDEX('Report-ConceptMap-2'!$I$15:$N$269,Q102+1,R102)</f>
        <v>* group[=].element[=].target.equivalence = #relatedto</v>
      </c>
    </row>
    <row r="103" spans="16:19" x14ac:dyDescent="0.75">
      <c r="P103" s="9">
        <v>90</v>
      </c>
      <c r="Q103" s="9">
        <f t="shared" si="13"/>
        <v>14</v>
      </c>
      <c r="R103" s="9">
        <f t="shared" si="14"/>
        <v>6</v>
      </c>
      <c r="S103" s="14" t="str" cm="1">
        <f t="array" ref="S103">INDEX('Report-ConceptMap-2'!$I$15:$N$269,Q103+1,R103)</f>
        <v>* group[=].element[=].target.comment = ##34#If no sub sections##34#</v>
      </c>
    </row>
    <row r="104" spans="16:19" x14ac:dyDescent="0.75">
      <c r="P104" s="9">
        <v>91</v>
      </c>
      <c r="Q104" s="9">
        <f t="shared" si="13"/>
        <v>15</v>
      </c>
      <c r="R104" s="9">
        <f t="shared" si="14"/>
        <v>1</v>
      </c>
      <c r="S104" s="14" t="str" cm="1">
        <f t="array" ref="S104">INDEX('Report-ConceptMap-2'!$I$15:$N$269,Q104+1,R104)</f>
        <v>* group[=].element[+].code = #LabReport.result</v>
      </c>
    </row>
    <row r="105" spans="16:19" x14ac:dyDescent="0.75">
      <c r="P105" s="9">
        <v>92</v>
      </c>
      <c r="Q105" s="9">
        <f t="shared" si="13"/>
        <v>15</v>
      </c>
      <c r="R105" s="9">
        <f t="shared" si="14"/>
        <v>2</v>
      </c>
      <c r="S105" s="14" t="str" cm="1">
        <f t="array" ref="S105">INDEX('Report-ConceptMap-2'!$I$15:$N$269,Q105+1,R105)</f>
        <v>* group[=].element[=].display = ##34#A.5 Results data elements##34#</v>
      </c>
    </row>
    <row r="106" spans="16:19" ht="29.5" x14ac:dyDescent="0.75">
      <c r="P106" s="9">
        <v>93</v>
      </c>
      <c r="Q106" s="9">
        <f t="shared" si="13"/>
        <v>15</v>
      </c>
      <c r="R106" s="9">
        <f t="shared" si="14"/>
        <v>3</v>
      </c>
      <c r="S106" s="14" t="str" cm="1">
        <f t="array" ref="S106">INDEX('Report-ConceptMap-2'!$I$15:$N$269,Q106+1,R106)</f>
        <v>* group[=].element[=].target.code = #Composition.section:lab-no-subsections.entry.resolve()</v>
      </c>
    </row>
    <row r="107" spans="16:19" x14ac:dyDescent="0.75">
      <c r="P107" s="9">
        <v>94</v>
      </c>
      <c r="Q107" s="9">
        <f t="shared" si="13"/>
        <v>15</v>
      </c>
      <c r="R107" s="9">
        <f t="shared" si="14"/>
        <v>4</v>
      </c>
      <c r="S107" s="14" t="str" cm="1">
        <f t="array" ref="S107">INDEX('Report-ConceptMap-2'!$I$15:$N$269,Q107+1,R107)</f>
        <v>* group[=].element[=].target.display = ##34###34#</v>
      </c>
    </row>
    <row r="108" spans="16:19" x14ac:dyDescent="0.75">
      <c r="P108" s="9">
        <v>95</v>
      </c>
      <c r="Q108" s="9">
        <f t="shared" si="13"/>
        <v>15</v>
      </c>
      <c r="R108" s="9">
        <f t="shared" si="14"/>
        <v>5</v>
      </c>
      <c r="S108" s="14" t="str" cm="1">
        <f t="array" ref="S108">INDEX('Report-ConceptMap-2'!$I$15:$N$269,Q108+1,R108)</f>
        <v>* group[=].element[=].target.equivalence = #relatedto</v>
      </c>
    </row>
    <row r="109" spans="16:19" x14ac:dyDescent="0.75">
      <c r="P109" s="9">
        <v>96</v>
      </c>
      <c r="Q109" s="9">
        <f t="shared" si="13"/>
        <v>15</v>
      </c>
      <c r="R109" s="9">
        <f t="shared" si="14"/>
        <v>6</v>
      </c>
      <c r="S109" s="14" t="str" cm="1">
        <f t="array" ref="S109">INDEX('Report-ConceptMap-2'!$I$15:$N$269,Q109+1,R109)</f>
        <v>* group[=].element[=].target.comment = ##34#If no sub sections##34#</v>
      </c>
    </row>
    <row r="110" spans="16:19" x14ac:dyDescent="0.75">
      <c r="P110" s="9">
        <v>97</v>
      </c>
      <c r="Q110" s="9">
        <f t="shared" si="13"/>
        <v>16</v>
      </c>
      <c r="R110" s="9">
        <f t="shared" si="14"/>
        <v>1</v>
      </c>
      <c r="S110" s="14" t="str" cm="1">
        <f t="array" ref="S110">INDEX('Report-ConceptMap-2'!$I$15:$N$269,Q110+1,R110)</f>
        <v>* group[=].element[+].code = #LabReport.specimen</v>
      </c>
    </row>
    <row r="111" spans="16:19" x14ac:dyDescent="0.75">
      <c r="P111" s="9">
        <v>98</v>
      </c>
      <c r="Q111" s="9">
        <f t="shared" si="13"/>
        <v>16</v>
      </c>
      <c r="R111" s="9">
        <f t="shared" si="14"/>
        <v>2</v>
      </c>
      <c r="S111" s="14" t="str" cm="1">
        <f t="array" ref="S111">INDEX('Report-ConceptMap-2'!$I$15:$N$269,Q111+1,R111)</f>
        <v>* group[=].element[=].display = ##34#A.4 Specimen information##34#</v>
      </c>
    </row>
    <row r="112" spans="16:19" ht="29.5" x14ac:dyDescent="0.75">
      <c r="P112" s="9">
        <v>99</v>
      </c>
      <c r="Q112" s="9">
        <f t="shared" si="13"/>
        <v>16</v>
      </c>
      <c r="R112" s="9">
        <f t="shared" si="14"/>
        <v>3</v>
      </c>
      <c r="S112" s="14" t="str" cm="1">
        <f t="array" ref="S112">INDEX('Report-ConceptMap-2'!$I$15:$N$269,Q112+1,R112)</f>
        <v>* group[=].element[=].target.code = #Composition.section:lab-subsections.section.entry.resolve().specimen.resolve()</v>
      </c>
    </row>
    <row r="113" spans="16:19" x14ac:dyDescent="0.75">
      <c r="P113" s="9">
        <v>100</v>
      </c>
      <c r="Q113" s="9">
        <f t="shared" si="13"/>
        <v>16</v>
      </c>
      <c r="R113" s="9">
        <f t="shared" si="14"/>
        <v>4</v>
      </c>
      <c r="S113" s="14" t="str" cm="1">
        <f t="array" ref="S113">INDEX('Report-ConceptMap-2'!$I$15:$N$269,Q113+1,R113)</f>
        <v>* group[=].element[=].target.display = ##34###34#</v>
      </c>
    </row>
    <row r="114" spans="16:19" x14ac:dyDescent="0.75">
      <c r="P114" s="9">
        <v>101</v>
      </c>
      <c r="Q114" s="9">
        <f t="shared" si="13"/>
        <v>16</v>
      </c>
      <c r="R114" s="9">
        <f t="shared" si="14"/>
        <v>5</v>
      </c>
      <c r="S114" s="14" t="str" cm="1">
        <f t="array" ref="S114">INDEX('Report-ConceptMap-2'!$I$15:$N$269,Q114+1,R114)</f>
        <v>* group[=].element[=].target.equivalence = #relatedto</v>
      </c>
    </row>
    <row r="115" spans="16:19" x14ac:dyDescent="0.75">
      <c r="P115" s="9">
        <v>102</v>
      </c>
      <c r="Q115" s="9">
        <f t="shared" si="13"/>
        <v>16</v>
      </c>
      <c r="R115" s="9">
        <f t="shared" si="14"/>
        <v>6</v>
      </c>
      <c r="S115" s="14" t="str" cm="1">
        <f t="array" ref="S115">INDEX('Report-ConceptMap-2'!$I$15:$N$269,Q115+1,R115)</f>
        <v>* group[=].element[=].target.comment = ##34#If sub sections##34#</v>
      </c>
    </row>
    <row r="116" spans="16:19" x14ac:dyDescent="0.75">
      <c r="P116" s="9">
        <v>103</v>
      </c>
      <c r="Q116" s="9">
        <f t="shared" si="13"/>
        <v>17</v>
      </c>
      <c r="R116" s="9">
        <f t="shared" si="14"/>
        <v>1</v>
      </c>
      <c r="S116" s="14" t="str" cm="1">
        <f t="array" ref="S116">INDEX('Report-ConceptMap-2'!$I$15:$N$269,Q116+1,R116)</f>
        <v>* group[=].element[+].code = #LabReport.result</v>
      </c>
    </row>
    <row r="117" spans="16:19" x14ac:dyDescent="0.75">
      <c r="P117" s="9">
        <v>104</v>
      </c>
      <c r="Q117" s="9">
        <f t="shared" si="13"/>
        <v>17</v>
      </c>
      <c r="R117" s="9">
        <f t="shared" si="14"/>
        <v>2</v>
      </c>
      <c r="S117" s="14" t="str" cm="1">
        <f t="array" ref="S117">INDEX('Report-ConceptMap-2'!$I$15:$N$269,Q117+1,R117)</f>
        <v>* group[=].element[=].display = ##34#A.5 Results data elements##34#</v>
      </c>
    </row>
    <row r="118" spans="16:19" ht="29.5" x14ac:dyDescent="0.75">
      <c r="P118" s="9">
        <v>105</v>
      </c>
      <c r="Q118" s="9">
        <f t="shared" si="13"/>
        <v>17</v>
      </c>
      <c r="R118" s="9">
        <f t="shared" si="14"/>
        <v>3</v>
      </c>
      <c r="S118" s="14" t="str" cm="1">
        <f t="array" ref="S118">INDEX('Report-ConceptMap-2'!$I$15:$N$269,Q118+1,R118)</f>
        <v>* group[=].element[=].target.code = #Composition.section:lab-subsections.section.entry.resolve()</v>
      </c>
    </row>
    <row r="119" spans="16:19" x14ac:dyDescent="0.75">
      <c r="P119" s="9">
        <v>106</v>
      </c>
      <c r="Q119" s="9">
        <f t="shared" si="13"/>
        <v>17</v>
      </c>
      <c r="R119" s="9">
        <f t="shared" si="14"/>
        <v>4</v>
      </c>
      <c r="S119" s="14" t="str" cm="1">
        <f t="array" ref="S119">INDEX('Report-ConceptMap-2'!$I$15:$N$269,Q119+1,R119)</f>
        <v>* group[=].element[=].target.display = ##34###34#</v>
      </c>
    </row>
    <row r="120" spans="16:19" x14ac:dyDescent="0.75">
      <c r="P120" s="9">
        <v>107</v>
      </c>
      <c r="Q120" s="9">
        <f t="shared" si="13"/>
        <v>17</v>
      </c>
      <c r="R120" s="9">
        <f t="shared" si="14"/>
        <v>5</v>
      </c>
      <c r="S120" s="14" t="str" cm="1">
        <f t="array" ref="S120">INDEX('Report-ConceptMap-2'!$I$15:$N$269,Q120+1,R120)</f>
        <v>* group[=].element[=].target.equivalence = #relatedto</v>
      </c>
    </row>
    <row r="121" spans="16:19" x14ac:dyDescent="0.75">
      <c r="P121" s="9">
        <v>108</v>
      </c>
      <c r="Q121" s="9">
        <f t="shared" si="13"/>
        <v>17</v>
      </c>
      <c r="R121" s="9">
        <f t="shared" si="14"/>
        <v>6</v>
      </c>
      <c r="S121" s="14" t="str" cm="1">
        <f t="array" ref="S121">INDEX('Report-ConceptMap-2'!$I$15:$N$269,Q121+1,R121)</f>
        <v>* group[=].element[=].target.comment = ##34#If sub sections##34#</v>
      </c>
    </row>
    <row r="122" spans="16:19" x14ac:dyDescent="0.75">
      <c r="P122" s="9">
        <v>109</v>
      </c>
      <c r="Q122" s="9">
        <f t="shared" si="13"/>
        <v>18</v>
      </c>
      <c r="R122" s="9">
        <f t="shared" si="14"/>
        <v>1</v>
      </c>
      <c r="S122" s="14" cm="1">
        <f t="array" ref="S122">INDEX('Report-ConceptMap-2'!$I$15:$N$269,Q122+1,R122)</f>
        <v>0</v>
      </c>
    </row>
    <row r="123" spans="16:19" x14ac:dyDescent="0.75">
      <c r="P123" s="9">
        <v>110</v>
      </c>
      <c r="Q123" s="9">
        <f t="shared" si="13"/>
        <v>18</v>
      </c>
      <c r="R123" s="9">
        <f t="shared" si="14"/>
        <v>2</v>
      </c>
      <c r="S123" s="14" cm="1">
        <f t="array" ref="S123">INDEX('Report-ConceptMap-2'!$I$15:$N$269,Q123+1,R123)</f>
        <v>0</v>
      </c>
    </row>
    <row r="124" spans="16:19" x14ac:dyDescent="0.75">
      <c r="P124" s="9">
        <v>111</v>
      </c>
      <c r="Q124" s="9">
        <f t="shared" si="13"/>
        <v>18</v>
      </c>
      <c r="R124" s="9">
        <f t="shared" si="14"/>
        <v>3</v>
      </c>
      <c r="S124" s="14" cm="1">
        <f t="array" ref="S124">INDEX('Report-ConceptMap-2'!$I$15:$N$269,Q124+1,R124)</f>
        <v>0</v>
      </c>
    </row>
    <row r="125" spans="16:19" x14ac:dyDescent="0.75">
      <c r="P125" s="9">
        <v>112</v>
      </c>
      <c r="Q125" s="9">
        <f t="shared" si="13"/>
        <v>18</v>
      </c>
      <c r="R125" s="9">
        <f t="shared" si="14"/>
        <v>4</v>
      </c>
      <c r="S125" s="14" cm="1">
        <f t="array" ref="S125">INDEX('Report-ConceptMap-2'!$I$15:$N$269,Q125+1,R125)</f>
        <v>0</v>
      </c>
    </row>
    <row r="126" spans="16:19" x14ac:dyDescent="0.75">
      <c r="P126" s="9">
        <v>113</v>
      </c>
      <c r="Q126" s="9">
        <f t="shared" si="13"/>
        <v>18</v>
      </c>
      <c r="R126" s="9">
        <f t="shared" si="14"/>
        <v>5</v>
      </c>
      <c r="S126" s="14" cm="1">
        <f t="array" ref="S126">INDEX('Report-ConceptMap-2'!$I$15:$N$269,Q126+1,R126)</f>
        <v>0</v>
      </c>
    </row>
    <row r="127" spans="16:19" x14ac:dyDescent="0.75">
      <c r="P127" s="9">
        <v>114</v>
      </c>
      <c r="Q127" s="9">
        <f t="shared" si="13"/>
        <v>18</v>
      </c>
      <c r="R127" s="9">
        <f t="shared" si="14"/>
        <v>6</v>
      </c>
      <c r="S127" s="14" cm="1">
        <f t="array" ref="S127">INDEX('Report-ConceptMap-2'!$I$15:$N$269,Q127+1,R127)</f>
        <v>0</v>
      </c>
    </row>
    <row r="128" spans="16:19" x14ac:dyDescent="0.75">
      <c r="P128" s="9">
        <v>115</v>
      </c>
      <c r="Q128" s="9">
        <f t="shared" si="13"/>
        <v>19</v>
      </c>
      <c r="R128" s="9">
        <f t="shared" si="14"/>
        <v>1</v>
      </c>
      <c r="S128" s="14" cm="1">
        <f t="array" ref="S128">INDEX('Report-ConceptMap-2'!$I$15:$N$269,Q128+1,R128)</f>
        <v>0</v>
      </c>
    </row>
    <row r="129" spans="16:19" x14ac:dyDescent="0.75">
      <c r="P129" s="9">
        <v>116</v>
      </c>
      <c r="Q129" s="9">
        <f t="shared" si="13"/>
        <v>19</v>
      </c>
      <c r="R129" s="9">
        <f t="shared" si="14"/>
        <v>2</v>
      </c>
      <c r="S129" s="14" cm="1">
        <f t="array" ref="S129">INDEX('Report-ConceptMap-2'!$I$15:$N$269,Q129+1,R129)</f>
        <v>0</v>
      </c>
    </row>
    <row r="130" spans="16:19" x14ac:dyDescent="0.75">
      <c r="P130" s="9">
        <v>117</v>
      </c>
      <c r="Q130" s="9">
        <f t="shared" si="13"/>
        <v>19</v>
      </c>
      <c r="R130" s="9">
        <f t="shared" si="14"/>
        <v>3</v>
      </c>
      <c r="S130" s="14" cm="1">
        <f t="array" ref="S130">INDEX('Report-ConceptMap-2'!$I$15:$N$269,Q130+1,R130)</f>
        <v>0</v>
      </c>
    </row>
    <row r="131" spans="16:19" x14ac:dyDescent="0.75">
      <c r="P131" s="9">
        <v>118</v>
      </c>
      <c r="Q131" s="9">
        <f t="shared" si="13"/>
        <v>19</v>
      </c>
      <c r="R131" s="9">
        <f t="shared" si="14"/>
        <v>4</v>
      </c>
      <c r="S131" s="14" cm="1">
        <f t="array" ref="S131">INDEX('Report-ConceptMap-2'!$I$15:$N$269,Q131+1,R131)</f>
        <v>0</v>
      </c>
    </row>
    <row r="132" spans="16:19" x14ac:dyDescent="0.75">
      <c r="P132" s="9">
        <v>119</v>
      </c>
      <c r="Q132" s="9">
        <f t="shared" si="13"/>
        <v>19</v>
      </c>
      <c r="R132" s="9">
        <f t="shared" si="14"/>
        <v>5</v>
      </c>
      <c r="S132" s="14" cm="1">
        <f t="array" ref="S132">INDEX('Report-ConceptMap-2'!$I$15:$N$269,Q132+1,R132)</f>
        <v>0</v>
      </c>
    </row>
    <row r="133" spans="16:19" x14ac:dyDescent="0.75">
      <c r="P133" s="9">
        <v>120</v>
      </c>
      <c r="Q133" s="9">
        <f t="shared" si="13"/>
        <v>19</v>
      </c>
      <c r="R133" s="9">
        <f t="shared" si="14"/>
        <v>6</v>
      </c>
      <c r="S133" s="14" cm="1">
        <f t="array" ref="S133">INDEX('Report-ConceptMap-2'!$I$15:$N$269,Q133+1,R133)</f>
        <v>0</v>
      </c>
    </row>
    <row r="134" spans="16:19" x14ac:dyDescent="0.75">
      <c r="P134" s="9">
        <v>121</v>
      </c>
      <c r="Q134" s="9">
        <f t="shared" si="13"/>
        <v>20</v>
      </c>
      <c r="R134" s="9">
        <f t="shared" si="14"/>
        <v>1</v>
      </c>
      <c r="S134" s="14" cm="1">
        <f t="array" ref="S134">INDEX('Report-ConceptMap-2'!$I$15:$N$269,Q134+1,R134)</f>
        <v>0</v>
      </c>
    </row>
    <row r="135" spans="16:19" x14ac:dyDescent="0.75">
      <c r="P135" s="9">
        <v>122</v>
      </c>
      <c r="Q135" s="9">
        <f t="shared" si="13"/>
        <v>20</v>
      </c>
      <c r="R135" s="9">
        <f t="shared" si="14"/>
        <v>2</v>
      </c>
      <c r="S135" s="14" cm="1">
        <f t="array" ref="S135">INDEX('Report-ConceptMap-2'!$I$15:$N$269,Q135+1,R135)</f>
        <v>0</v>
      </c>
    </row>
    <row r="136" spans="16:19" x14ac:dyDescent="0.75">
      <c r="P136" s="9">
        <v>123</v>
      </c>
      <c r="Q136" s="9">
        <f t="shared" si="13"/>
        <v>20</v>
      </c>
      <c r="R136" s="9">
        <f t="shared" si="14"/>
        <v>3</v>
      </c>
      <c r="S136" s="14" cm="1">
        <f t="array" ref="S136">INDEX('Report-ConceptMap-2'!$I$15:$N$269,Q136+1,R136)</f>
        <v>0</v>
      </c>
    </row>
    <row r="137" spans="16:19" x14ac:dyDescent="0.75">
      <c r="P137" s="9">
        <v>124</v>
      </c>
      <c r="Q137" s="9">
        <f t="shared" si="13"/>
        <v>20</v>
      </c>
      <c r="R137" s="9">
        <f t="shared" si="14"/>
        <v>4</v>
      </c>
      <c r="S137" s="14" cm="1">
        <f t="array" ref="S137">INDEX('Report-ConceptMap-2'!$I$15:$N$269,Q137+1,R137)</f>
        <v>0</v>
      </c>
    </row>
    <row r="138" spans="16:19" x14ac:dyDescent="0.75">
      <c r="P138" s="9">
        <v>125</v>
      </c>
      <c r="Q138" s="9">
        <f t="shared" si="13"/>
        <v>20</v>
      </c>
      <c r="R138" s="9">
        <f t="shared" si="14"/>
        <v>5</v>
      </c>
      <c r="S138" s="14" cm="1">
        <f t="array" ref="S138">INDEX('Report-ConceptMap-2'!$I$15:$N$269,Q138+1,R138)</f>
        <v>0</v>
      </c>
    </row>
    <row r="139" spans="16:19" x14ac:dyDescent="0.75">
      <c r="P139" s="9">
        <v>126</v>
      </c>
      <c r="Q139" s="9">
        <f t="shared" si="13"/>
        <v>20</v>
      </c>
      <c r="R139" s="9">
        <f t="shared" si="14"/>
        <v>6</v>
      </c>
      <c r="S139" s="14" cm="1">
        <f t="array" ref="S139">INDEX('Report-ConceptMap-2'!$I$15:$N$269,Q139+1,R139)</f>
        <v>0</v>
      </c>
    </row>
    <row r="140" spans="16:19" x14ac:dyDescent="0.75">
      <c r="P140" s="9">
        <v>127</v>
      </c>
      <c r="Q140" s="9">
        <f t="shared" si="13"/>
        <v>21</v>
      </c>
      <c r="R140" s="9">
        <f t="shared" si="14"/>
        <v>1</v>
      </c>
      <c r="S140" s="14" cm="1">
        <f t="array" ref="S140">INDEX('Report-ConceptMap-2'!$I$15:$N$269,Q140+1,R140)</f>
        <v>0</v>
      </c>
    </row>
    <row r="141" spans="16:19" x14ac:dyDescent="0.75">
      <c r="P141" s="9">
        <v>128</v>
      </c>
      <c r="Q141" s="9">
        <f t="shared" si="13"/>
        <v>21</v>
      </c>
      <c r="R141" s="9">
        <f t="shared" si="14"/>
        <v>2</v>
      </c>
      <c r="S141" s="14" cm="1">
        <f t="array" ref="S141">INDEX('Report-ConceptMap-2'!$I$15:$N$269,Q141+1,R141)</f>
        <v>0</v>
      </c>
    </row>
    <row r="142" spans="16:19" x14ac:dyDescent="0.75">
      <c r="P142" s="9">
        <v>129</v>
      </c>
      <c r="Q142" s="9">
        <f t="shared" si="13"/>
        <v>21</v>
      </c>
      <c r="R142" s="9">
        <f t="shared" si="14"/>
        <v>3</v>
      </c>
      <c r="S142" s="14" cm="1">
        <f t="array" ref="S142">INDEX('Report-ConceptMap-2'!$I$15:$N$269,Q142+1,R142)</f>
        <v>0</v>
      </c>
    </row>
    <row r="143" spans="16:19" x14ac:dyDescent="0.75">
      <c r="P143" s="9">
        <v>130</v>
      </c>
      <c r="Q143" s="9">
        <f t="shared" si="13"/>
        <v>21</v>
      </c>
      <c r="R143" s="9">
        <f t="shared" si="14"/>
        <v>4</v>
      </c>
      <c r="S143" s="14" cm="1">
        <f t="array" ref="S143">INDEX('Report-ConceptMap-2'!$I$15:$N$269,Q143+1,R143)</f>
        <v>0</v>
      </c>
    </row>
    <row r="144" spans="16:19" x14ac:dyDescent="0.75">
      <c r="P144" s="9">
        <v>131</v>
      </c>
      <c r="Q144" s="9">
        <f t="shared" ref="Q144:Q189" si="15">IF(MOD(P144,$Q$8)=0,P144/$Q$8-1,INT(P144/$Q$8))</f>
        <v>21</v>
      </c>
      <c r="R144" s="9">
        <f t="shared" ref="R144:R189" si="16">IF(MOD(P144,$Q$8)=0,$Q$8,MOD(P144,$Q$8))</f>
        <v>5</v>
      </c>
      <c r="S144" s="14" cm="1">
        <f t="array" ref="S144">INDEX('Report-ConceptMap-2'!$I$15:$N$269,Q144+1,R144)</f>
        <v>0</v>
      </c>
    </row>
    <row r="145" spans="16:19" x14ac:dyDescent="0.75">
      <c r="P145" s="9">
        <v>132</v>
      </c>
      <c r="Q145" s="9">
        <f t="shared" si="15"/>
        <v>21</v>
      </c>
      <c r="R145" s="9">
        <f t="shared" si="16"/>
        <v>6</v>
      </c>
      <c r="S145" s="14" cm="1">
        <f t="array" ref="S145">INDEX('Report-ConceptMap-2'!$I$15:$N$269,Q145+1,R145)</f>
        <v>0</v>
      </c>
    </row>
    <row r="146" spans="16:19" x14ac:dyDescent="0.75">
      <c r="P146" s="9">
        <v>133</v>
      </c>
      <c r="Q146" s="9">
        <f t="shared" si="15"/>
        <v>22</v>
      </c>
      <c r="R146" s="9">
        <f t="shared" si="16"/>
        <v>1</v>
      </c>
      <c r="S146" s="14" cm="1">
        <f t="array" ref="S146">INDEX('Report-ConceptMap-2'!$I$15:$N$269,Q146+1,R146)</f>
        <v>0</v>
      </c>
    </row>
    <row r="147" spans="16:19" x14ac:dyDescent="0.75">
      <c r="P147" s="9">
        <v>134</v>
      </c>
      <c r="Q147" s="9">
        <f t="shared" si="15"/>
        <v>22</v>
      </c>
      <c r="R147" s="9">
        <f t="shared" si="16"/>
        <v>2</v>
      </c>
      <c r="S147" s="14" cm="1">
        <f t="array" ref="S147">INDEX('Report-ConceptMap-2'!$I$15:$N$269,Q147+1,R147)</f>
        <v>0</v>
      </c>
    </row>
    <row r="148" spans="16:19" x14ac:dyDescent="0.75">
      <c r="P148" s="9">
        <v>135</v>
      </c>
      <c r="Q148" s="9">
        <f t="shared" si="15"/>
        <v>22</v>
      </c>
      <c r="R148" s="9">
        <f t="shared" si="16"/>
        <v>3</v>
      </c>
      <c r="S148" s="14" cm="1">
        <f t="array" ref="S148">INDEX('Report-ConceptMap-2'!$I$15:$N$269,Q148+1,R148)</f>
        <v>0</v>
      </c>
    </row>
    <row r="149" spans="16:19" x14ac:dyDescent="0.75">
      <c r="P149" s="9">
        <v>136</v>
      </c>
      <c r="Q149" s="9">
        <f t="shared" si="15"/>
        <v>22</v>
      </c>
      <c r="R149" s="9">
        <f t="shared" si="16"/>
        <v>4</v>
      </c>
      <c r="S149" s="14" cm="1">
        <f t="array" ref="S149">INDEX('Report-ConceptMap-2'!$I$15:$N$269,Q149+1,R149)</f>
        <v>0</v>
      </c>
    </row>
    <row r="150" spans="16:19" x14ac:dyDescent="0.75">
      <c r="P150" s="9">
        <v>137</v>
      </c>
      <c r="Q150" s="9">
        <f t="shared" si="15"/>
        <v>22</v>
      </c>
      <c r="R150" s="9">
        <f t="shared" si="16"/>
        <v>5</v>
      </c>
      <c r="S150" s="14" cm="1">
        <f t="array" ref="S150">INDEX('Report-ConceptMap-2'!$I$15:$N$269,Q150+1,R150)</f>
        <v>0</v>
      </c>
    </row>
    <row r="151" spans="16:19" x14ac:dyDescent="0.75">
      <c r="P151" s="9">
        <v>138</v>
      </c>
      <c r="Q151" s="9">
        <f t="shared" si="15"/>
        <v>22</v>
      </c>
      <c r="R151" s="9">
        <f t="shared" si="16"/>
        <v>6</v>
      </c>
      <c r="S151" s="14" cm="1">
        <f t="array" ref="S151">INDEX('Report-ConceptMap-2'!$I$15:$N$269,Q151+1,R151)</f>
        <v>0</v>
      </c>
    </row>
    <row r="152" spans="16:19" x14ac:dyDescent="0.75">
      <c r="P152" s="9">
        <v>139</v>
      </c>
      <c r="Q152" s="9">
        <f t="shared" si="15"/>
        <v>23</v>
      </c>
      <c r="R152" s="9">
        <f t="shared" si="16"/>
        <v>1</v>
      </c>
      <c r="S152" s="14" cm="1">
        <f t="array" ref="S152">INDEX('Report-ConceptMap-2'!$I$15:$N$269,Q152+1,R152)</f>
        <v>0</v>
      </c>
    </row>
    <row r="153" spans="16:19" x14ac:dyDescent="0.75">
      <c r="P153" s="9">
        <v>140</v>
      </c>
      <c r="Q153" s="9">
        <f t="shared" si="15"/>
        <v>23</v>
      </c>
      <c r="R153" s="9">
        <f t="shared" si="16"/>
        <v>2</v>
      </c>
      <c r="S153" s="14" cm="1">
        <f t="array" ref="S153">INDEX('Report-ConceptMap-2'!$I$15:$N$269,Q153+1,R153)</f>
        <v>0</v>
      </c>
    </row>
    <row r="154" spans="16:19" x14ac:dyDescent="0.75">
      <c r="P154" s="9">
        <v>141</v>
      </c>
      <c r="Q154" s="9">
        <f t="shared" si="15"/>
        <v>23</v>
      </c>
      <c r="R154" s="9">
        <f t="shared" si="16"/>
        <v>3</v>
      </c>
      <c r="S154" s="14" cm="1">
        <f t="array" ref="S154">INDEX('Report-ConceptMap-2'!$I$15:$N$269,Q154+1,R154)</f>
        <v>0</v>
      </c>
    </row>
    <row r="155" spans="16:19" x14ac:dyDescent="0.75">
      <c r="P155" s="9">
        <v>142</v>
      </c>
      <c r="Q155" s="9">
        <f t="shared" si="15"/>
        <v>23</v>
      </c>
      <c r="R155" s="9">
        <f t="shared" si="16"/>
        <v>4</v>
      </c>
      <c r="S155" s="14" cm="1">
        <f t="array" ref="S155">INDEX('Report-ConceptMap-2'!$I$15:$N$269,Q155+1,R155)</f>
        <v>0</v>
      </c>
    </row>
    <row r="156" spans="16:19" x14ac:dyDescent="0.75">
      <c r="P156" s="9">
        <v>143</v>
      </c>
      <c r="Q156" s="9">
        <f t="shared" si="15"/>
        <v>23</v>
      </c>
      <c r="R156" s="9">
        <f t="shared" si="16"/>
        <v>5</v>
      </c>
      <c r="S156" s="14" cm="1">
        <f t="array" ref="S156">INDEX('Report-ConceptMap-2'!$I$15:$N$269,Q156+1,R156)</f>
        <v>0</v>
      </c>
    </row>
    <row r="157" spans="16:19" x14ac:dyDescent="0.75">
      <c r="P157" s="9">
        <v>144</v>
      </c>
      <c r="Q157" s="9">
        <f t="shared" si="15"/>
        <v>23</v>
      </c>
      <c r="R157" s="9">
        <f t="shared" si="16"/>
        <v>6</v>
      </c>
      <c r="S157" s="14" cm="1">
        <f t="array" ref="S157">INDEX('Report-ConceptMap-2'!$I$15:$N$269,Q157+1,R157)</f>
        <v>0</v>
      </c>
    </row>
    <row r="158" spans="16:19" x14ac:dyDescent="0.75">
      <c r="P158" s="9">
        <v>145</v>
      </c>
      <c r="Q158" s="9">
        <f t="shared" si="15"/>
        <v>24</v>
      </c>
      <c r="R158" s="9">
        <f t="shared" si="16"/>
        <v>1</v>
      </c>
      <c r="S158" s="14" cm="1">
        <f t="array" ref="S158">INDEX('Report-ConceptMap-2'!$I$15:$N$269,Q158+1,R158)</f>
        <v>0</v>
      </c>
    </row>
    <row r="159" spans="16:19" x14ac:dyDescent="0.75">
      <c r="P159" s="9">
        <v>146</v>
      </c>
      <c r="Q159" s="9">
        <f t="shared" si="15"/>
        <v>24</v>
      </c>
      <c r="R159" s="9">
        <f t="shared" si="16"/>
        <v>2</v>
      </c>
      <c r="S159" s="14" cm="1">
        <f t="array" ref="S159">INDEX('Report-ConceptMap-2'!$I$15:$N$269,Q159+1,R159)</f>
        <v>0</v>
      </c>
    </row>
    <row r="160" spans="16:19" x14ac:dyDescent="0.75">
      <c r="P160" s="9">
        <v>147</v>
      </c>
      <c r="Q160" s="9">
        <f t="shared" si="15"/>
        <v>24</v>
      </c>
      <c r="R160" s="9">
        <f t="shared" si="16"/>
        <v>3</v>
      </c>
      <c r="S160" s="14" cm="1">
        <f t="array" ref="S160">INDEX('Report-ConceptMap-2'!$I$15:$N$269,Q160+1,R160)</f>
        <v>0</v>
      </c>
    </row>
    <row r="161" spans="16:19" x14ac:dyDescent="0.75">
      <c r="P161" s="9">
        <v>148</v>
      </c>
      <c r="Q161" s="9">
        <f t="shared" si="15"/>
        <v>24</v>
      </c>
      <c r="R161" s="9">
        <f t="shared" si="16"/>
        <v>4</v>
      </c>
      <c r="S161" s="14" cm="1">
        <f t="array" ref="S161">INDEX('Report-ConceptMap-2'!$I$15:$N$269,Q161+1,R161)</f>
        <v>0</v>
      </c>
    </row>
    <row r="162" spans="16:19" x14ac:dyDescent="0.75">
      <c r="P162" s="9">
        <v>149</v>
      </c>
      <c r="Q162" s="9">
        <f t="shared" si="15"/>
        <v>24</v>
      </c>
      <c r="R162" s="9">
        <f t="shared" si="16"/>
        <v>5</v>
      </c>
      <c r="S162" s="14" cm="1">
        <f t="array" ref="S162">INDEX('Report-ConceptMap-2'!$I$15:$N$269,Q162+1,R162)</f>
        <v>0</v>
      </c>
    </row>
    <row r="163" spans="16:19" x14ac:dyDescent="0.75">
      <c r="P163" s="9">
        <v>150</v>
      </c>
      <c r="Q163" s="9">
        <f t="shared" si="15"/>
        <v>24</v>
      </c>
      <c r="R163" s="9">
        <f t="shared" si="16"/>
        <v>6</v>
      </c>
      <c r="S163" s="14" cm="1">
        <f t="array" ref="S163">INDEX('Report-ConceptMap-2'!$I$15:$N$269,Q163+1,R163)</f>
        <v>0</v>
      </c>
    </row>
    <row r="164" spans="16:19" x14ac:dyDescent="0.75">
      <c r="P164" s="9">
        <v>151</v>
      </c>
      <c r="Q164" s="9">
        <f t="shared" si="15"/>
        <v>25</v>
      </c>
      <c r="R164" s="9">
        <f t="shared" si="16"/>
        <v>1</v>
      </c>
      <c r="S164" s="14" cm="1">
        <f t="array" ref="S164">INDEX('Report-ConceptMap-2'!$I$15:$N$269,Q164+1,R164)</f>
        <v>0</v>
      </c>
    </row>
    <row r="165" spans="16:19" x14ac:dyDescent="0.75">
      <c r="P165" s="9">
        <v>152</v>
      </c>
      <c r="Q165" s="9">
        <f t="shared" si="15"/>
        <v>25</v>
      </c>
      <c r="R165" s="9">
        <f t="shared" si="16"/>
        <v>2</v>
      </c>
      <c r="S165" s="14" cm="1">
        <f t="array" ref="S165">INDEX('Report-ConceptMap-2'!$I$15:$N$269,Q165+1,R165)</f>
        <v>0</v>
      </c>
    </row>
    <row r="166" spans="16:19" x14ac:dyDescent="0.75">
      <c r="P166" s="9">
        <v>153</v>
      </c>
      <c r="Q166" s="9">
        <f t="shared" si="15"/>
        <v>25</v>
      </c>
      <c r="R166" s="9">
        <f t="shared" si="16"/>
        <v>3</v>
      </c>
      <c r="S166" s="14" cm="1">
        <f t="array" ref="S166">INDEX('Report-ConceptMap-2'!$I$15:$N$269,Q166+1,R166)</f>
        <v>0</v>
      </c>
    </row>
    <row r="167" spans="16:19" x14ac:dyDescent="0.75">
      <c r="P167" s="9">
        <v>154</v>
      </c>
      <c r="Q167" s="9">
        <f t="shared" si="15"/>
        <v>25</v>
      </c>
      <c r="R167" s="9">
        <f t="shared" si="16"/>
        <v>4</v>
      </c>
      <c r="S167" s="14" cm="1">
        <f t="array" ref="S167">INDEX('Report-ConceptMap-2'!$I$15:$N$269,Q167+1,R167)</f>
        <v>0</v>
      </c>
    </row>
    <row r="168" spans="16:19" x14ac:dyDescent="0.75">
      <c r="P168" s="9">
        <v>155</v>
      </c>
      <c r="Q168" s="9">
        <f t="shared" si="15"/>
        <v>25</v>
      </c>
      <c r="R168" s="9">
        <f t="shared" si="16"/>
        <v>5</v>
      </c>
      <c r="S168" s="14" cm="1">
        <f t="array" ref="S168">INDEX('Report-ConceptMap-2'!$I$15:$N$269,Q168+1,R168)</f>
        <v>0</v>
      </c>
    </row>
    <row r="169" spans="16:19" x14ac:dyDescent="0.75">
      <c r="P169" s="9">
        <v>156</v>
      </c>
      <c r="Q169" s="9">
        <f t="shared" si="15"/>
        <v>25</v>
      </c>
      <c r="R169" s="9">
        <f t="shared" si="16"/>
        <v>6</v>
      </c>
      <c r="S169" s="14" cm="1">
        <f t="array" ref="S169">INDEX('Report-ConceptMap-2'!$I$15:$N$269,Q169+1,R169)</f>
        <v>0</v>
      </c>
    </row>
    <row r="170" spans="16:19" x14ac:dyDescent="0.75">
      <c r="P170" s="9">
        <v>157</v>
      </c>
      <c r="Q170" s="9">
        <f t="shared" si="15"/>
        <v>26</v>
      </c>
      <c r="R170" s="9">
        <f t="shared" si="16"/>
        <v>1</v>
      </c>
      <c r="S170" s="14" cm="1">
        <f t="array" ref="S170">INDEX('Report-ConceptMap-2'!$I$15:$N$269,Q170+1,R170)</f>
        <v>0</v>
      </c>
    </row>
    <row r="171" spans="16:19" x14ac:dyDescent="0.75">
      <c r="P171" s="9">
        <v>158</v>
      </c>
      <c r="Q171" s="9">
        <f t="shared" si="15"/>
        <v>26</v>
      </c>
      <c r="R171" s="9">
        <f t="shared" si="16"/>
        <v>2</v>
      </c>
      <c r="S171" s="14" cm="1">
        <f t="array" ref="S171">INDEX('Report-ConceptMap-2'!$I$15:$N$269,Q171+1,R171)</f>
        <v>0</v>
      </c>
    </row>
    <row r="172" spans="16:19" x14ac:dyDescent="0.75">
      <c r="P172" s="9">
        <v>159</v>
      </c>
      <c r="Q172" s="9">
        <f t="shared" si="15"/>
        <v>26</v>
      </c>
      <c r="R172" s="9">
        <f t="shared" si="16"/>
        <v>3</v>
      </c>
      <c r="S172" s="14" cm="1">
        <f t="array" ref="S172">INDEX('Report-ConceptMap-2'!$I$15:$N$269,Q172+1,R172)</f>
        <v>0</v>
      </c>
    </row>
    <row r="173" spans="16:19" x14ac:dyDescent="0.75">
      <c r="P173" s="9">
        <v>160</v>
      </c>
      <c r="Q173" s="9">
        <f t="shared" si="15"/>
        <v>26</v>
      </c>
      <c r="R173" s="9">
        <f t="shared" si="16"/>
        <v>4</v>
      </c>
      <c r="S173" s="14" cm="1">
        <f t="array" ref="S173">INDEX('Report-ConceptMap-2'!$I$15:$N$269,Q173+1,R173)</f>
        <v>0</v>
      </c>
    </row>
    <row r="174" spans="16:19" x14ac:dyDescent="0.75">
      <c r="P174" s="9">
        <v>161</v>
      </c>
      <c r="Q174" s="9">
        <f t="shared" si="15"/>
        <v>26</v>
      </c>
      <c r="R174" s="9">
        <f t="shared" si="16"/>
        <v>5</v>
      </c>
      <c r="S174" s="14" cm="1">
        <f t="array" ref="S174">INDEX('Report-ConceptMap-2'!$I$15:$N$269,Q174+1,R174)</f>
        <v>0</v>
      </c>
    </row>
    <row r="175" spans="16:19" x14ac:dyDescent="0.75">
      <c r="P175" s="9">
        <v>162</v>
      </c>
      <c r="Q175" s="9">
        <f t="shared" si="15"/>
        <v>26</v>
      </c>
      <c r="R175" s="9">
        <f t="shared" si="16"/>
        <v>6</v>
      </c>
      <c r="S175" s="14" cm="1">
        <f t="array" ref="S175">INDEX('Report-ConceptMap-2'!$I$15:$N$269,Q175+1,R175)</f>
        <v>0</v>
      </c>
    </row>
    <row r="176" spans="16:19" x14ac:dyDescent="0.75">
      <c r="P176" s="9">
        <v>163</v>
      </c>
      <c r="Q176" s="9">
        <f t="shared" si="15"/>
        <v>27</v>
      </c>
      <c r="R176" s="9">
        <f t="shared" si="16"/>
        <v>1</v>
      </c>
      <c r="S176" s="14" cm="1">
        <f t="array" ref="S176">INDEX('Report-ConceptMap-2'!$I$15:$N$269,Q176+1,R176)</f>
        <v>0</v>
      </c>
    </row>
    <row r="177" spans="16:19" x14ac:dyDescent="0.75">
      <c r="P177" s="9">
        <v>164</v>
      </c>
      <c r="Q177" s="9">
        <f t="shared" si="15"/>
        <v>27</v>
      </c>
      <c r="R177" s="9">
        <f t="shared" si="16"/>
        <v>2</v>
      </c>
      <c r="S177" s="14" cm="1">
        <f t="array" ref="S177">INDEX('Report-ConceptMap-2'!$I$15:$N$269,Q177+1,R177)</f>
        <v>0</v>
      </c>
    </row>
    <row r="178" spans="16:19" x14ac:dyDescent="0.75">
      <c r="P178" s="9">
        <v>165</v>
      </c>
      <c r="Q178" s="9">
        <f t="shared" si="15"/>
        <v>27</v>
      </c>
      <c r="R178" s="9">
        <f t="shared" si="16"/>
        <v>3</v>
      </c>
      <c r="S178" s="14" cm="1">
        <f t="array" ref="S178">INDEX('Report-ConceptMap-2'!$I$15:$N$269,Q178+1,R178)</f>
        <v>0</v>
      </c>
    </row>
    <row r="179" spans="16:19" x14ac:dyDescent="0.75">
      <c r="P179" s="9">
        <v>166</v>
      </c>
      <c r="Q179" s="9">
        <f t="shared" si="15"/>
        <v>27</v>
      </c>
      <c r="R179" s="9">
        <f t="shared" si="16"/>
        <v>4</v>
      </c>
      <c r="S179" s="14" cm="1">
        <f t="array" ref="S179">INDEX('Report-ConceptMap-2'!$I$15:$N$269,Q179+1,R179)</f>
        <v>0</v>
      </c>
    </row>
    <row r="180" spans="16:19" x14ac:dyDescent="0.75">
      <c r="P180" s="9">
        <v>167</v>
      </c>
      <c r="Q180" s="9">
        <f t="shared" si="15"/>
        <v>27</v>
      </c>
      <c r="R180" s="9">
        <f t="shared" si="16"/>
        <v>5</v>
      </c>
      <c r="S180" s="14" cm="1">
        <f t="array" ref="S180">INDEX('Report-ConceptMap-2'!$I$15:$N$269,Q180+1,R180)</f>
        <v>0</v>
      </c>
    </row>
    <row r="181" spans="16:19" x14ac:dyDescent="0.75">
      <c r="P181" s="9">
        <v>168</v>
      </c>
      <c r="Q181" s="9">
        <f t="shared" si="15"/>
        <v>27</v>
      </c>
      <c r="R181" s="9">
        <f t="shared" si="16"/>
        <v>6</v>
      </c>
      <c r="S181" s="14" cm="1">
        <f t="array" ref="S181">INDEX('Report-ConceptMap-2'!$I$15:$N$269,Q181+1,R181)</f>
        <v>0</v>
      </c>
    </row>
    <row r="182" spans="16:19" x14ac:dyDescent="0.75">
      <c r="P182" s="9">
        <v>169</v>
      </c>
      <c r="Q182" s="9">
        <f t="shared" si="15"/>
        <v>28</v>
      </c>
      <c r="R182" s="9">
        <f t="shared" si="16"/>
        <v>1</v>
      </c>
      <c r="S182" s="14" cm="1">
        <f t="array" ref="S182">INDEX('Report-ConceptMap-2'!$I$15:$N$269,Q182+1,R182)</f>
        <v>0</v>
      </c>
    </row>
    <row r="183" spans="16:19" x14ac:dyDescent="0.75">
      <c r="P183" s="9">
        <v>170</v>
      </c>
      <c r="Q183" s="9">
        <f t="shared" si="15"/>
        <v>28</v>
      </c>
      <c r="R183" s="9">
        <f t="shared" si="16"/>
        <v>2</v>
      </c>
      <c r="S183" s="14" cm="1">
        <f t="array" ref="S183">INDEX('Report-ConceptMap-2'!$I$15:$N$269,Q183+1,R183)</f>
        <v>0</v>
      </c>
    </row>
    <row r="184" spans="16:19" x14ac:dyDescent="0.75">
      <c r="P184" s="9">
        <v>171</v>
      </c>
      <c r="Q184" s="9">
        <f t="shared" si="15"/>
        <v>28</v>
      </c>
      <c r="R184" s="9">
        <f t="shared" si="16"/>
        <v>3</v>
      </c>
      <c r="S184" s="14" cm="1">
        <f t="array" ref="S184">INDEX('Report-ConceptMap-2'!$I$15:$N$269,Q184+1,R184)</f>
        <v>0</v>
      </c>
    </row>
    <row r="185" spans="16:19" x14ac:dyDescent="0.75">
      <c r="P185" s="9">
        <v>172</v>
      </c>
      <c r="Q185" s="9">
        <f t="shared" si="15"/>
        <v>28</v>
      </c>
      <c r="R185" s="9">
        <f t="shared" si="16"/>
        <v>4</v>
      </c>
      <c r="S185" s="14" cm="1">
        <f t="array" ref="S185">INDEX('Report-ConceptMap-2'!$I$15:$N$269,Q185+1,R185)</f>
        <v>0</v>
      </c>
    </row>
    <row r="186" spans="16:19" x14ac:dyDescent="0.75">
      <c r="P186" s="9">
        <v>173</v>
      </c>
      <c r="Q186" s="9">
        <f t="shared" si="15"/>
        <v>28</v>
      </c>
      <c r="R186" s="9">
        <f t="shared" si="16"/>
        <v>5</v>
      </c>
      <c r="S186" s="14" cm="1">
        <f t="array" ref="S186">INDEX('Report-ConceptMap-2'!$I$15:$N$269,Q186+1,R186)</f>
        <v>0</v>
      </c>
    </row>
    <row r="187" spans="16:19" x14ac:dyDescent="0.75">
      <c r="P187" s="9">
        <v>174</v>
      </c>
      <c r="Q187" s="9">
        <f t="shared" si="15"/>
        <v>28</v>
      </c>
      <c r="R187" s="9">
        <f t="shared" si="16"/>
        <v>6</v>
      </c>
      <c r="S187" s="14" cm="1">
        <f t="array" ref="S187">INDEX('Report-ConceptMap-2'!$I$15:$N$269,Q187+1,R187)</f>
        <v>0</v>
      </c>
    </row>
    <row r="188" spans="16:19" x14ac:dyDescent="0.75">
      <c r="P188" s="9">
        <v>175</v>
      </c>
      <c r="Q188" s="9">
        <f t="shared" si="15"/>
        <v>29</v>
      </c>
      <c r="R188" s="9">
        <f t="shared" si="16"/>
        <v>1</v>
      </c>
      <c r="S188" s="14" cm="1">
        <f t="array" ref="S188">INDEX('Report-ConceptMap-2'!$I$15:$N$269,Q188+1,R188)</f>
        <v>0</v>
      </c>
    </row>
    <row r="189" spans="16:19" x14ac:dyDescent="0.75">
      <c r="P189" s="9">
        <v>176</v>
      </c>
      <c r="Q189" s="9">
        <f t="shared" si="15"/>
        <v>29</v>
      </c>
      <c r="R189" s="9">
        <f t="shared" si="16"/>
        <v>2</v>
      </c>
      <c r="S189" s="14" cm="1">
        <f t="array" ref="S189">INDEX('Report-ConceptMap-2'!$I$15:$N$269,Q189+1,R189)</f>
        <v>0</v>
      </c>
    </row>
  </sheetData>
  <hyperlinks>
    <hyperlink ref="C6" r:id="rId1" xr:uid="{C45E566D-E06A-4329-88C7-EEB6948E5590}"/>
  </hyperlinks>
  <pageMargins left="0.7" right="0.7" top="0.75" bottom="0.75" header="0.3" footer="0.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B685E5-2B67-4366-AD5B-F1D14AF3EB30}">
  <sheetPr codeName="Foglio17">
    <tabColor theme="0" tint="-0.34998626667073579"/>
  </sheetPr>
  <dimension ref="B1:G257"/>
  <sheetViews>
    <sheetView workbookViewId="0">
      <selection activeCell="F128" sqref="F128"/>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2" t="s">
        <v>37</v>
      </c>
    </row>
    <row r="2" spans="2:7" ht="16.75" thickBot="1" x14ac:dyDescent="0.9">
      <c r="B2" s="33" t="s">
        <v>661</v>
      </c>
      <c r="G2" s="56" t="s">
        <v>690</v>
      </c>
    </row>
    <row r="3" spans="2:7" x14ac:dyDescent="0.75">
      <c r="B3" s="33" t="s">
        <v>37</v>
      </c>
    </row>
    <row r="4" spans="2:7" x14ac:dyDescent="0.75">
      <c r="B4" s="77" t="str">
        <f>"Instance: "&amp;'Report-ConceptMap-1'!C4</f>
        <v>Instance: ConceptMap-eu-labRpt2FHIR</v>
      </c>
    </row>
    <row r="5" spans="2:7" x14ac:dyDescent="0.75">
      <c r="B5" s="77" t="s">
        <v>662</v>
      </c>
    </row>
    <row r="6" spans="2:7" x14ac:dyDescent="0.75">
      <c r="B6" s="77" t="s">
        <v>663</v>
      </c>
    </row>
    <row r="7" spans="2:7" x14ac:dyDescent="0.75">
      <c r="B7" s="77" t="s">
        <v>677</v>
      </c>
    </row>
    <row r="8" spans="2:7" x14ac:dyDescent="0.75">
      <c r="B8" s="77" t="str">
        <f>"* name = ##34#"&amp;'Report-ConceptMap-1'!C3&amp;"##34#"</f>
        <v>* name = ##34#LabRpt2FHIR##34#</v>
      </c>
    </row>
    <row r="9" spans="2:7" x14ac:dyDescent="0.75">
      <c r="B9" s="77" t="str">
        <f>"* title = ##34#"&amp;'Report-ConceptMap-1'!C5&amp;"##34#"</f>
        <v>* title = ##34#eHN Lab Report to this guide Map##34#</v>
      </c>
    </row>
    <row r="10" spans="2:7" x14ac:dyDescent="0.75">
      <c r="B10" s="77" t="s">
        <v>664</v>
      </c>
    </row>
    <row r="11" spans="2:7" x14ac:dyDescent="0.75">
      <c r="B11" s="77" t="s">
        <v>665</v>
      </c>
    </row>
    <row r="12" spans="2:7" x14ac:dyDescent="0.75">
      <c r="B12" s="77" t="str">
        <f>"* description = ##34#"&amp;'Report-ConceptMap-1'!C8&amp;"##34#"</f>
        <v>* description = ##34#eHN Lab Report to this guide Map##34#</v>
      </c>
    </row>
    <row r="13" spans="2:7" x14ac:dyDescent="0.75">
      <c r="B13" s="77" t="str">
        <f>"* purpose = ##34#"&amp;'Report-ConceptMap-1'!C9&amp;"##34#"</f>
        <v>* purpose = ##34#It shows how the Laboratory Report data set defined by the EU eHN guidelines is mapped into this guide##34#</v>
      </c>
    </row>
    <row r="14" spans="2:7" x14ac:dyDescent="0.75">
      <c r="B14" s="78" t="str">
        <f>"* sourceUri = ##34#"&amp;'Report-ConceptMap-1'!E3&amp;"##34#"</f>
        <v>* sourceUri = ##34#http://hl7.eu/fhir/laboratory/StructureDefinition/LabReport##34#</v>
      </c>
    </row>
    <row r="15" spans="2:7" x14ac:dyDescent="0.75">
      <c r="B15" s="78" t="str">
        <f>"* targetUri = ##34#"&amp;'Report-ConceptMap-1'!E4&amp;"##34#"</f>
        <v>* targetUri = ##34#http://hl7.eu/fhir/laboratory/StructureDefinition/Bundle-eu-lab##34#</v>
      </c>
    </row>
    <row r="16" spans="2:7" x14ac:dyDescent="0.75">
      <c r="B16" s="77"/>
    </row>
    <row r="17" spans="2:7" x14ac:dyDescent="0.75">
      <c r="B17" s="79" t="str">
        <f>"* group[+].source = ##34#"&amp;'Report-ConceptMap-1'!E6&amp;"##34#"</f>
        <v>* group[+].source = ##34#http://hl7.eu/fhir/laboratory/StructureDefinition/LabReport##34#</v>
      </c>
    </row>
    <row r="18" spans="2:7" x14ac:dyDescent="0.75">
      <c r="B18" s="79" t="str">
        <f>"* group[=].target = ##34#"&amp;'Report-ConceptMap-1'!E7&amp;"##34#"</f>
        <v>* group[=].target = ##34#http://hl7.eu/fhir/laboratory/StructureDefinition/DiagnosticReport-eu-lab##34#</v>
      </c>
    </row>
    <row r="19" spans="2:7" x14ac:dyDescent="0.75">
      <c r="B19" s="81"/>
    </row>
    <row r="20" spans="2:7" x14ac:dyDescent="0.75">
      <c r="B20" s="14" t="str">
        <f>IF('Report-ConceptMap-1'!S15=0,"//---END",'Report-ConceptMap-1'!S15)</f>
        <v>* group[=].element[+].code = #LabReport.header</v>
      </c>
    </row>
    <row r="21" spans="2:7" x14ac:dyDescent="0.75">
      <c r="B21" s="14" t="str">
        <f>IF('Report-ConceptMap-1'!S16=0,"//---END",'Report-ConceptMap-1'!S16)</f>
        <v>* group[=].element[=].display = ##34#A.1 Report header data elements##34#</v>
      </c>
    </row>
    <row r="22" spans="2:7" x14ac:dyDescent="0.75">
      <c r="B22" s="14" t="str">
        <f>IF('Report-ConceptMap-1'!S17=0,"//---END",'Report-ConceptMap-1'!S17)</f>
        <v>* group[=].element[=].target.code = #DiagnosticReport</v>
      </c>
    </row>
    <row r="23" spans="2:7" x14ac:dyDescent="0.75">
      <c r="B23" s="14" t="str">
        <f>IF('Report-ConceptMap-1'!S18=0,"//---END",'Report-ConceptMap-1'!S18)</f>
        <v>* group[=].element[=].target.display = ##34###34#</v>
      </c>
    </row>
    <row r="24" spans="2:7" x14ac:dyDescent="0.75">
      <c r="B24" s="14" t="str">
        <f>IF('Report-ConceptMap-1'!S19=0,"//---END",'Report-ConceptMap-1'!S19)</f>
        <v>* group[=].element[=].target.equivalence = #relatedto</v>
      </c>
    </row>
    <row r="25" spans="2:7" x14ac:dyDescent="0.75">
      <c r="B25" s="14" t="str">
        <f>IF('Report-ConceptMap-1'!S20=0,"//---END",'Report-ConceptMap-1'!S20)</f>
        <v/>
      </c>
      <c r="G25" s="10"/>
    </row>
    <row r="26" spans="2:7" x14ac:dyDescent="0.75">
      <c r="B26" s="14" t="str">
        <f>IF('Report-ConceptMap-1'!S21=0,"//---END",'Report-ConceptMap-1'!S21)</f>
        <v>* group[=].element[+].code = #LabReport.header.subject</v>
      </c>
    </row>
    <row r="27" spans="2:7" x14ac:dyDescent="0.75">
      <c r="B27" s="14" t="str">
        <f>IF('Report-ConceptMap-1'!S22=0,"//---END",'Report-ConceptMap-1'!S22)</f>
        <v>* group[=].element[=].display = ##34#A.1.1 - A1.2 Patient/subject##34#</v>
      </c>
    </row>
    <row r="28" spans="2:7" x14ac:dyDescent="0.75">
      <c r="B28" s="14" t="str">
        <f>IF('Report-ConceptMap-1'!S23=0,"//---END",'Report-ConceptMap-1'!S23)</f>
        <v>* group[=].element[=].target.code = #DiagnosticReport.subject</v>
      </c>
    </row>
    <row r="29" spans="2:7" x14ac:dyDescent="0.75">
      <c r="B29" s="14" t="str">
        <f>IF('Report-ConceptMap-1'!S24=0,"//---END",'Report-ConceptMap-1'!S24)</f>
        <v>* group[=].element[=].target.display = ##34###34#</v>
      </c>
    </row>
    <row r="30" spans="2:7" x14ac:dyDescent="0.75">
      <c r="B30" s="14" t="str">
        <f>IF('Report-ConceptMap-1'!S25=0,"//---END",'Report-ConceptMap-1'!S25)</f>
        <v>* group[=].element[=].target.equivalence = #relatedto</v>
      </c>
    </row>
    <row r="31" spans="2:7" x14ac:dyDescent="0.75">
      <c r="B31" s="14" t="str">
        <f>IF('Report-ConceptMap-1'!S26=0,"//---END",'Report-ConceptMap-1'!S26)</f>
        <v/>
      </c>
    </row>
    <row r="32" spans="2:7" x14ac:dyDescent="0.75">
      <c r="B32" s="14" t="str">
        <f>IF('Report-ConceptMap-1'!S27=0,"//---END",'Report-ConceptMap-1'!S27)</f>
        <v>* group[=].element[+].code = #LabReport.header.payer</v>
      </c>
    </row>
    <row r="33" spans="2:2" x14ac:dyDescent="0.75">
      <c r="B33" s="14" t="str">
        <f>IF('Report-ConceptMap-1'!S28=0,"//---END",'Report-ConceptMap-1'!S28)</f>
        <v>* group[=].element[=].display = ##34#A.1.3 Health insurance and payment information##34#</v>
      </c>
    </row>
    <row r="34" spans="2:2" x14ac:dyDescent="0.75">
      <c r="B34" s="14" t="str">
        <f>IF('Report-ConceptMap-1'!S29=0,"//---END",'Report-ConceptMap-1'!S29)</f>
        <v>* group[=].element[=].target.code = #DiagnosticReport.basedOn.resolve().ofType(ServiceRequest).insurance.resolve().ofType(Coverage)</v>
      </c>
    </row>
    <row r="35" spans="2:2" x14ac:dyDescent="0.75">
      <c r="B35" s="14" t="str">
        <f>IF('Report-ConceptMap-1'!S30=0,"//---END",'Report-ConceptMap-1'!S30)</f>
        <v>* group[=].element[=].target.display = ##34###34#</v>
      </c>
    </row>
    <row r="36" spans="2:2" x14ac:dyDescent="0.75">
      <c r="B36" s="14" t="str">
        <f>IF('Report-ConceptMap-1'!S31=0,"//---END",'Report-ConceptMap-1'!S31)</f>
        <v>* group[=].element[=].target.equivalence = #relatedto</v>
      </c>
    </row>
    <row r="37" spans="2:2" x14ac:dyDescent="0.75">
      <c r="B37" s="14" t="str">
        <f>IF('Report-ConceptMap-1'!S32=0,"//---END",'Report-ConceptMap-1'!S32)</f>
        <v/>
      </c>
    </row>
    <row r="38" spans="2:2" x14ac:dyDescent="0.75">
      <c r="B38" s="14" t="str">
        <f>IF('Report-ConceptMap-1'!S33=0,"//---END",'Report-ConceptMap-1'!S33)</f>
        <v>//---END</v>
      </c>
    </row>
    <row r="39" spans="2:2" x14ac:dyDescent="0.75">
      <c r="B39" s="14" t="str">
        <f>IF('Report-ConceptMap-1'!S34=0,"//---END",'Report-ConceptMap-1'!S34)</f>
        <v>* group[=].element[=].display = ##34#A.1.4 Information recipient##34#</v>
      </c>
    </row>
    <row r="40" spans="2:2" x14ac:dyDescent="0.75">
      <c r="B40" s="14" t="str">
        <f>IF('Report-ConceptMap-1'!S35=0,"//---END",'Report-ConceptMap-1'!S35)</f>
        <v>//-- unmatched</v>
      </c>
    </row>
    <row r="41" spans="2:2" x14ac:dyDescent="0.75">
      <c r="B41" s="14" t="str">
        <f>IF('Report-ConceptMap-1'!S36=0,"//---END",'Report-ConceptMap-1'!S36)</f>
        <v>//-- unmatched</v>
      </c>
    </row>
    <row r="42" spans="2:2" x14ac:dyDescent="0.75">
      <c r="B42" s="14" t="str">
        <f>IF('Report-ConceptMap-1'!S37=0,"//---END",'Report-ConceptMap-1'!S37)</f>
        <v>* group[=].element[=].target.equivalence = #unmatched</v>
      </c>
    </row>
    <row r="43" spans="2:2" x14ac:dyDescent="0.75">
      <c r="B43" s="14" t="str">
        <f>IF('Report-ConceptMap-1'!S38=0,"//---END",'Report-ConceptMap-1'!S38)</f>
        <v/>
      </c>
    </row>
    <row r="44" spans="2:2" x14ac:dyDescent="0.75">
      <c r="B44" s="14" t="str">
        <f>IF('Report-ConceptMap-1'!S39=0,"//---END",'Report-ConceptMap-1'!S39)</f>
        <v>* group[=].element[+].code = #LabReport.header.author</v>
      </c>
    </row>
    <row r="45" spans="2:2" x14ac:dyDescent="0.75">
      <c r="B45" s="14" t="str">
        <f>IF('Report-ConceptMap-1'!S40=0,"//---END",'Report-ConceptMap-1'!S40)</f>
        <v>* group[=].element[=].display = ##34#A.1.5 Author##34#</v>
      </c>
    </row>
    <row r="46" spans="2:2" x14ac:dyDescent="0.75">
      <c r="B46" s="14" t="str">
        <f>IF('Report-ConceptMap-1'!S41=0,"//---END",'Report-ConceptMap-1'!S41)</f>
        <v>* group[=].element[=].target.code = #DiagnosticReport.resultsInterpreter.resolve()</v>
      </c>
    </row>
    <row r="47" spans="2:2" x14ac:dyDescent="0.75">
      <c r="B47" s="14" t="str">
        <f>IF('Report-ConceptMap-1'!S42=0,"//---END",'Report-ConceptMap-1'!S42)</f>
        <v>* group[=].element[=].target.display = ##34###34#</v>
      </c>
    </row>
    <row r="48" spans="2:2" x14ac:dyDescent="0.75">
      <c r="B48" s="14" t="str">
        <f>IF('Report-ConceptMap-1'!S43=0,"//---END",'Report-ConceptMap-1'!S43)</f>
        <v>* group[=].element[=].target.equivalence = #relatedto</v>
      </c>
    </row>
    <row r="49" spans="2:2" x14ac:dyDescent="0.75">
      <c r="B49" s="14" t="str">
        <f>IF('Report-ConceptMap-1'!S44=0,"//---END",'Report-ConceptMap-1'!S44)</f>
        <v>* group[=].element[=].target.comment = ##34#If the author is the interpreter##34#</v>
      </c>
    </row>
    <row r="50" spans="2:2" x14ac:dyDescent="0.75">
      <c r="B50" s="14" t="str">
        <f>IF('Report-ConceptMap-1'!S45=0,"//---END",'Report-ConceptMap-1'!S45)</f>
        <v>* group[=].element[+].code = #LabReport.header.author</v>
      </c>
    </row>
    <row r="51" spans="2:2" x14ac:dyDescent="0.75">
      <c r="B51" s="14" t="str">
        <f>IF('Report-ConceptMap-1'!S46=0,"//---END",'Report-ConceptMap-1'!S46)</f>
        <v>* group[=].element[=].display = ##34#A.1.5 Author##34#</v>
      </c>
    </row>
    <row r="52" spans="2:2" x14ac:dyDescent="0.75">
      <c r="B52" s="14" t="str">
        <f>IF('Report-ConceptMap-1'!S47=0,"//---END",'Report-ConceptMap-1'!S47)</f>
        <v>* group[=].element[=].target.code = #DiagnosticReport.performer.resolve()</v>
      </c>
    </row>
    <row r="53" spans="2:2" x14ac:dyDescent="0.75">
      <c r="B53" s="14" t="str">
        <f>IF('Report-ConceptMap-1'!S48=0,"//---END",'Report-ConceptMap-1'!S48)</f>
        <v>* group[=].element[=].target.display = ##34###34#</v>
      </c>
    </row>
    <row r="54" spans="2:2" x14ac:dyDescent="0.75">
      <c r="B54" s="14" t="str">
        <f>IF('Report-ConceptMap-1'!S49=0,"//---END",'Report-ConceptMap-1'!S49)</f>
        <v>* group[=].element[=].target.equivalence = #relatedto</v>
      </c>
    </row>
    <row r="55" spans="2:2" x14ac:dyDescent="0.75">
      <c r="B55" s="14" t="str">
        <f>IF('Report-ConceptMap-1'!S50=0,"//---END",'Report-ConceptMap-1'!S50)</f>
        <v>* group[=].element[=].target.comment = ##34#If the author is the perfomer##34#</v>
      </c>
    </row>
    <row r="56" spans="2:2" x14ac:dyDescent="0.75">
      <c r="B56" s="14" t="str">
        <f>IF('Report-ConceptMap-1'!S51=0,"//---END",'Report-ConceptMap-1'!S51)</f>
        <v>* group[=].element[+].code = #LabReport.header.legalAuthenticator</v>
      </c>
    </row>
    <row r="57" spans="2:2" x14ac:dyDescent="0.75">
      <c r="B57" s="14" t="str">
        <f>IF('Report-ConceptMap-1'!S52=0,"//---END",'Report-ConceptMap-1'!S52)</f>
        <v>* group[=].element[=].display = ##34#A.1.6 Legal authenticator##34#</v>
      </c>
    </row>
    <row r="58" spans="2:2" x14ac:dyDescent="0.75">
      <c r="B58" s="14" t="str">
        <f>IF('Report-ConceptMap-1'!S53=0,"//---END",'Report-ConceptMap-1'!S53)</f>
        <v>//-- unmatched</v>
      </c>
    </row>
    <row r="59" spans="2:2" x14ac:dyDescent="0.75">
      <c r="B59" s="14" t="str">
        <f>IF('Report-ConceptMap-1'!S54=0,"//---END",'Report-ConceptMap-1'!S54)</f>
        <v>//-- unmatched</v>
      </c>
    </row>
    <row r="60" spans="2:2" x14ac:dyDescent="0.75">
      <c r="B60" s="14" t="str">
        <f>IF('Report-ConceptMap-1'!S55=0,"//---END",'Report-ConceptMap-1'!S55)</f>
        <v>* group[=].element[=].target.equivalence = #unmatched</v>
      </c>
    </row>
    <row r="61" spans="2:2" x14ac:dyDescent="0.75">
      <c r="B61" s="14" t="str">
        <f>IF('Report-ConceptMap-1'!S56=0,"//---END",'Report-ConceptMap-1'!S56)</f>
        <v>* group[=].element[=].target.comment = ##34#Mapped in the Composition resource##34#</v>
      </c>
    </row>
    <row r="62" spans="2:2" x14ac:dyDescent="0.75">
      <c r="B62" s="14" t="str">
        <f>IF('Report-ConceptMap-1'!S57=0,"//---END",'Report-ConceptMap-1'!S57)</f>
        <v>* group[=].element[+].code = #LabReport.header.validator</v>
      </c>
    </row>
    <row r="63" spans="2:2" x14ac:dyDescent="0.75">
      <c r="B63" s="14" t="str">
        <f>IF('Report-ConceptMap-1'!S58=0,"//---END",'Report-ConceptMap-1'!S58)</f>
        <v>* group[=].element[=].display = ##34#A.1.7 Result validator##34#</v>
      </c>
    </row>
    <row r="64" spans="2:2" x14ac:dyDescent="0.75">
      <c r="B64" s="14" t="str">
        <f>IF('Report-ConceptMap-1'!S59=0,"//---END",'Report-ConceptMap-1'!S59)</f>
        <v>//-- unmatched</v>
      </c>
    </row>
    <row r="65" spans="2:4" x14ac:dyDescent="0.75">
      <c r="B65" s="14" t="str">
        <f>IF('Report-ConceptMap-1'!S60=0,"//---END",'Report-ConceptMap-1'!S60)</f>
        <v>//-- unmatched</v>
      </c>
    </row>
    <row r="66" spans="2:4" x14ac:dyDescent="0.75">
      <c r="B66" s="14" t="str">
        <f>IF('Report-ConceptMap-1'!S61=0,"//---END",'Report-ConceptMap-1'!S61)</f>
        <v>* group[=].element[=].target.equivalence = #unmatched</v>
      </c>
    </row>
    <row r="67" spans="2:4" x14ac:dyDescent="0.75">
      <c r="B67" s="14" t="str">
        <f>IF('Report-ConceptMap-1'!S62=0,"//---END",'Report-ConceptMap-1'!S62)</f>
        <v>* group[=].element[=].target.comment = ##34#Mapped in the Composition resource##34#</v>
      </c>
    </row>
    <row r="68" spans="2:4" x14ac:dyDescent="0.75">
      <c r="B68" s="14" t="str">
        <f>IF('Report-ConceptMap-1'!S63=0,"//---END",'Report-ConceptMap-1'!S63)</f>
        <v>* group[=].element[+].code = #LabReport.header.metadata</v>
      </c>
    </row>
    <row r="69" spans="2:4" x14ac:dyDescent="0.75">
      <c r="B69" s="14" t="str">
        <f>IF('Report-ConceptMap-1'!S64=0,"//---END",'Report-ConceptMap-1'!S64)</f>
        <v>* group[=].element[=].display = ##34#A.1.8 Laboratory report metadata##34#</v>
      </c>
    </row>
    <row r="70" spans="2:4" x14ac:dyDescent="0.75">
      <c r="B70" s="14" t="str">
        <f>IF('Report-ConceptMap-1'!S65=0,"//---END",'Report-ConceptMap-1'!S65)</f>
        <v>* group[=].element[=].target.code = #DiagnosticReport.$this</v>
      </c>
      <c r="D70" s="76"/>
    </row>
    <row r="71" spans="2:4" x14ac:dyDescent="0.75">
      <c r="B71" s="14" t="str">
        <f>IF('Report-ConceptMap-1'!S66=0,"//---END",'Report-ConceptMap-1'!S66)</f>
        <v>* group[=].element[=].target.display = ##34###34#</v>
      </c>
    </row>
    <row r="72" spans="2:4" x14ac:dyDescent="0.75">
      <c r="B72" s="14" t="str">
        <f>IF('Report-ConceptMap-1'!S67=0,"//---END",'Report-ConceptMap-1'!S67)</f>
        <v>* group[=].element[=].target.equivalence = #relatedto</v>
      </c>
    </row>
    <row r="73" spans="2:4" x14ac:dyDescent="0.75">
      <c r="B73" s="14" t="str">
        <f>IF('Report-ConceptMap-1'!S68=0,"//---END",'Report-ConceptMap-1'!S68)</f>
        <v/>
      </c>
    </row>
    <row r="74" spans="2:4" x14ac:dyDescent="0.75">
      <c r="B74" s="14" t="str">
        <f>IF('Report-ConceptMap-1'!S69=0,"//---END",'Report-ConceptMap-1'!S69)</f>
        <v>* group[=].element[+].code = #LabReport.header.metadata.type</v>
      </c>
    </row>
    <row r="75" spans="2:4" x14ac:dyDescent="0.75">
      <c r="B75" s="14" t="str">
        <f>IF('Report-ConceptMap-1'!S70=0,"//---END",'Report-ConceptMap-1'!S70)</f>
        <v>* group[=].element[=].display = ##34#A.1.8.1 Document type##34#</v>
      </c>
    </row>
    <row r="76" spans="2:4" x14ac:dyDescent="0.75">
      <c r="B76" s="14" t="str">
        <f>IF('Report-ConceptMap-1'!S71=0,"//---END",'Report-ConceptMap-1'!S71)</f>
        <v>* group[=].element[=].target.code = #DiagnosticReport.code</v>
      </c>
    </row>
    <row r="77" spans="2:4" x14ac:dyDescent="0.75">
      <c r="B77" s="14" t="str">
        <f>IF('Report-ConceptMap-1'!S72=0,"//---END",'Report-ConceptMap-1'!S72)</f>
        <v>* group[=].element[=].target.display = ##34###34#</v>
      </c>
    </row>
    <row r="78" spans="2:4" x14ac:dyDescent="0.75">
      <c r="B78" s="14" t="str">
        <f>IF('Report-ConceptMap-1'!S73=0,"//---END",'Report-ConceptMap-1'!S73)</f>
        <v>* group[=].element[=].target.equivalence = #equivalent</v>
      </c>
    </row>
    <row r="79" spans="2:4" x14ac:dyDescent="0.75">
      <c r="B79" s="14" t="str">
        <f>IF('Report-ConceptMap-1'!S74=0,"//---END",'Report-ConceptMap-1'!S74)</f>
        <v/>
      </c>
    </row>
    <row r="80" spans="2:4" x14ac:dyDescent="0.75">
      <c r="B80" s="14" t="str">
        <f>IF('Report-ConceptMap-1'!S75=0,"//---END",'Report-ConceptMap-1'!S75)</f>
        <v>* group[=].element[+].code = #LabReport.header.metadata.status</v>
      </c>
    </row>
    <row r="81" spans="2:2" x14ac:dyDescent="0.75">
      <c r="B81" s="14" t="str">
        <f>IF('Report-ConceptMap-1'!S76=0,"//---END",'Report-ConceptMap-1'!S76)</f>
        <v>* group[=].element[=].display = ##34#A.1.8.2 Document status##34#</v>
      </c>
    </row>
    <row r="82" spans="2:2" x14ac:dyDescent="0.75">
      <c r="B82" s="14" t="str">
        <f>IF('Report-ConceptMap-1'!S77=0,"//---END",'Report-ConceptMap-1'!S77)</f>
        <v>* group[=].element[=].target.code = #DiagnosticReport.status</v>
      </c>
    </row>
    <row r="83" spans="2:2" x14ac:dyDescent="0.75">
      <c r="B83" s="14" t="str">
        <f>IF('Report-ConceptMap-1'!S78=0,"//---END",'Report-ConceptMap-1'!S78)</f>
        <v>* group[=].element[=].target.display = ##34###34#</v>
      </c>
    </row>
    <row r="84" spans="2:2" x14ac:dyDescent="0.75">
      <c r="B84" s="14" t="str">
        <f>IF('Report-ConceptMap-1'!S79=0,"//---END",'Report-ConceptMap-1'!S79)</f>
        <v>* group[=].element[=].target.equivalence = #relatedto</v>
      </c>
    </row>
    <row r="85" spans="2:2" x14ac:dyDescent="0.75">
      <c r="B85" s="14" t="str">
        <f>IF('Report-ConceptMap-1'!S80=0,"//---END",'Report-ConceptMap-1'!S80)</f>
        <v/>
      </c>
    </row>
    <row r="86" spans="2:2" x14ac:dyDescent="0.75">
      <c r="B86" s="14" t="str">
        <f>IF('Report-ConceptMap-1'!S81=0,"//---END",'Report-ConceptMap-1'!S81)</f>
        <v>* group[=].element[+].code = #LabReport.header.metadata.dateTime</v>
      </c>
    </row>
    <row r="87" spans="2:2" x14ac:dyDescent="0.75">
      <c r="B87" s="14" t="str">
        <f>IF('Report-ConceptMap-1'!S82=0,"//---END",'Report-ConceptMap-1'!S82)</f>
        <v>* group[=].element[=].display = ##34#A.1.8.3 Report date and time##34#</v>
      </c>
    </row>
    <row r="88" spans="2:2" x14ac:dyDescent="0.75">
      <c r="B88" s="14" t="str">
        <f>IF('Report-ConceptMap-1'!S83=0,"//---END",'Report-ConceptMap-1'!S83)</f>
        <v>* group[=].element[=].target.code = #DiagnosticReport.effectiveDateTime</v>
      </c>
    </row>
    <row r="89" spans="2:2" x14ac:dyDescent="0.75">
      <c r="B89" s="14" t="str">
        <f>IF('Report-ConceptMap-1'!S84=0,"//---END",'Report-ConceptMap-1'!S84)</f>
        <v>* group[=].element[=].target.display = ##34###34#</v>
      </c>
    </row>
    <row r="90" spans="2:2" x14ac:dyDescent="0.75">
      <c r="B90" s="14" t="str">
        <f>IF('Report-ConceptMap-1'!S85=0,"//---END",'Report-ConceptMap-1'!S85)</f>
        <v>* group[=].element[=].target.equivalence = #equivalent</v>
      </c>
    </row>
    <row r="91" spans="2:2" x14ac:dyDescent="0.75">
      <c r="B91" s="14" t="str">
        <f>IF('Report-ConceptMap-1'!S86=0,"//---END",'Report-ConceptMap-1'!S86)</f>
        <v/>
      </c>
    </row>
    <row r="92" spans="2:2" x14ac:dyDescent="0.75">
      <c r="B92" s="14" t="str">
        <f>IF('Report-ConceptMap-1'!S87=0,"//---END",'Report-ConceptMap-1'!S87)</f>
        <v>* group[=].element[+].code = #LabReport.header.metadata.title</v>
      </c>
    </row>
    <row r="93" spans="2:2" x14ac:dyDescent="0.75">
      <c r="B93" s="14" t="str">
        <f>IF('Report-ConceptMap-1'!S88=0,"//---END",'Report-ConceptMap-1'!S88)</f>
        <v>* group[=].element[=].display = ##34#A.1.8.4 Document title##34#</v>
      </c>
    </row>
    <row r="94" spans="2:2" x14ac:dyDescent="0.75">
      <c r="B94" s="14" t="str">
        <f>IF('Report-ConceptMap-1'!S89=0,"//---END",'Report-ConceptMap-1'!S89)</f>
        <v>//-- unmatched</v>
      </c>
    </row>
    <row r="95" spans="2:2" x14ac:dyDescent="0.75">
      <c r="B95" s="14" t="str">
        <f>IF('Report-ConceptMap-1'!S90=0,"//---END",'Report-ConceptMap-1'!S90)</f>
        <v>//-- unmatched</v>
      </c>
    </row>
    <row r="96" spans="2:2" x14ac:dyDescent="0.75">
      <c r="B96" s="14" t="str">
        <f>IF('Report-ConceptMap-1'!S91=0,"//---END",'Report-ConceptMap-1'!S91)</f>
        <v>* group[=].element[=].target.equivalence = #unmatched</v>
      </c>
    </row>
    <row r="97" spans="2:2" x14ac:dyDescent="0.75">
      <c r="B97" s="14" t="str">
        <f>IF('Report-ConceptMap-1'!S92=0,"//---END",'Report-ConceptMap-1'!S92)</f>
        <v>* group[=].element[=].target.comment = ##34#Mapped in the Composition resource##34#</v>
      </c>
    </row>
    <row r="98" spans="2:2" x14ac:dyDescent="0.75">
      <c r="B98" s="14" t="str">
        <f>IF('Report-ConceptMap-1'!S93=0,"//---END",'Report-ConceptMap-1'!S93)</f>
        <v>* group[=].element[+].code = #LabReport.header.metadata.custodian</v>
      </c>
    </row>
    <row r="99" spans="2:2" x14ac:dyDescent="0.75">
      <c r="B99" s="14" t="str">
        <f>IF('Report-ConceptMap-1'!S94=0,"//---END",'Report-ConceptMap-1'!S94)</f>
        <v>* group[=].element[=].display = ##34#A.1.8.5 Report custodian##34#</v>
      </c>
    </row>
    <row r="100" spans="2:2" x14ac:dyDescent="0.75">
      <c r="B100" s="14" t="str">
        <f>IF('Report-ConceptMap-1'!S95=0,"//---END",'Report-ConceptMap-1'!S95)</f>
        <v>//-- unmatched</v>
      </c>
    </row>
    <row r="101" spans="2:2" x14ac:dyDescent="0.75">
      <c r="B101" s="14" t="str">
        <f>IF('Report-ConceptMap-1'!S96=0,"//---END",'Report-ConceptMap-1'!S96)</f>
        <v>//-- unmatched</v>
      </c>
    </row>
    <row r="102" spans="2:2" x14ac:dyDescent="0.75">
      <c r="B102" s="14" t="str">
        <f>IF('Report-ConceptMap-1'!S97=0,"//---END",'Report-ConceptMap-1'!S97)</f>
        <v>* group[=].element[=].target.equivalence = #unmatched</v>
      </c>
    </row>
    <row r="103" spans="2:2" x14ac:dyDescent="0.75">
      <c r="B103" s="14" t="str">
        <f>IF('Report-ConceptMap-1'!S98=0,"//---END",'Report-ConceptMap-1'!S98)</f>
        <v>* group[=].element[=].target.comment = ##34#Mapped in the Composition resource##34#</v>
      </c>
    </row>
    <row r="104" spans="2:2" x14ac:dyDescent="0.75">
      <c r="B104" s="14" t="str">
        <f>IF('Report-ConceptMap-1'!S99=0,"//---END",'Report-ConceptMap-1'!S99)</f>
        <v>* group[=].element[+].code = #LabReport.order</v>
      </c>
    </row>
    <row r="105" spans="2:2" x14ac:dyDescent="0.75">
      <c r="B105" s="14" t="str">
        <f>IF('Report-ConceptMap-1'!S100=0,"//---END",'Report-ConceptMap-1'!S100)</f>
        <v>* group[=].element[=].display = ##34#A.2-A.3 Order##34#</v>
      </c>
    </row>
    <row r="106" spans="2:2" x14ac:dyDescent="0.75">
      <c r="B106" s="14" t="str">
        <f>IF('Report-ConceptMap-1'!S101=0,"//---END",'Report-ConceptMap-1'!S101)</f>
        <v>* group[=].element[=].target.code = #DiagnosticReport.basedOn.resolve().ofType(ServiceRequest)</v>
      </c>
    </row>
    <row r="107" spans="2:2" x14ac:dyDescent="0.75">
      <c r="B107" s="14" t="str">
        <f>IF('Report-ConceptMap-1'!S102=0,"//---END",'Report-ConceptMap-1'!S102)</f>
        <v>* group[=].element[=].target.display = ##34###34#</v>
      </c>
    </row>
    <row r="108" spans="2:2" x14ac:dyDescent="0.75">
      <c r="B108" s="14" t="str">
        <f>IF('Report-ConceptMap-1'!S103=0,"//---END",'Report-ConceptMap-1'!S103)</f>
        <v>* group[=].element[=].target.equivalence = #relatedto</v>
      </c>
    </row>
    <row r="109" spans="2:2" x14ac:dyDescent="0.75">
      <c r="B109" s="14" t="str">
        <f>IF('Report-ConceptMap-1'!S104=0,"//---END",'Report-ConceptMap-1'!S104)</f>
        <v/>
      </c>
    </row>
    <row r="110" spans="2:2" x14ac:dyDescent="0.75">
      <c r="B110" s="14" t="str">
        <f>IF('Report-ConceptMap-1'!S105=0,"//---END",'Report-ConceptMap-1'!S105)</f>
        <v>* group[=].element[+].code = #LabReport.specimen</v>
      </c>
    </row>
    <row r="111" spans="2:2" x14ac:dyDescent="0.75">
      <c r="B111" s="14" t="str">
        <f>IF('Report-ConceptMap-1'!S106=0,"//---END",'Report-ConceptMap-1'!S106)</f>
        <v>* group[=].element[=].display = ##34#A.4 Specimen information##34#</v>
      </c>
    </row>
    <row r="112" spans="2:2" x14ac:dyDescent="0.75">
      <c r="B112" s="14" t="str">
        <f>IF('Report-ConceptMap-1'!S107=0,"//---END",'Report-ConceptMap-1'!S107)</f>
        <v>* group[=].element[=].target.code = #DiagnosticReport.specimen.resolve()</v>
      </c>
    </row>
    <row r="113" spans="2:2" x14ac:dyDescent="0.75">
      <c r="B113" s="14" t="str">
        <f>IF('Report-ConceptMap-1'!S108=0,"//---END",'Report-ConceptMap-1'!S108)</f>
        <v>* group[=].element[=].target.display = ##34###34#</v>
      </c>
    </row>
    <row r="114" spans="2:2" x14ac:dyDescent="0.75">
      <c r="B114" s="14" t="str">
        <f>IF('Report-ConceptMap-1'!S109=0,"//---END",'Report-ConceptMap-1'!S109)</f>
        <v>* group[=].element[=].target.equivalence = #relatedto</v>
      </c>
    </row>
    <row r="115" spans="2:2" x14ac:dyDescent="0.75">
      <c r="B115" s="14" t="str">
        <f>IF('Report-ConceptMap-1'!S110=0,"//---END",'Report-ConceptMap-1'!S110)</f>
        <v/>
      </c>
    </row>
    <row r="116" spans="2:2" x14ac:dyDescent="0.75">
      <c r="B116" s="14" t="str">
        <f>IF('Report-ConceptMap-1'!S111=0,"//---END",'Report-ConceptMap-1'!S111)</f>
        <v>* group[=].element[+].code = #LabReport.result</v>
      </c>
    </row>
    <row r="117" spans="2:2" x14ac:dyDescent="0.75">
      <c r="B117" s="14" t="str">
        <f>IF('Report-ConceptMap-1'!S112=0,"//---END",'Report-ConceptMap-1'!S112)</f>
        <v>* group[=].element[=].display = ##34#A.5 Results data elements##34#</v>
      </c>
    </row>
    <row r="118" spans="2:2" x14ac:dyDescent="0.75">
      <c r="B118" s="14" t="str">
        <f>IF('Report-ConceptMap-1'!S113=0,"//---END",'Report-ConceptMap-1'!S113)</f>
        <v>* group[=].element[=].target.code = #DiagnosticReport.result.resolve()</v>
      </c>
    </row>
    <row r="119" spans="2:2" x14ac:dyDescent="0.75">
      <c r="B119" s="14" t="str">
        <f>IF('Report-ConceptMap-1'!S114=0,"//---END",'Report-ConceptMap-1'!S114)</f>
        <v>* group[=].element[=].target.display = ##34###34#</v>
      </c>
    </row>
    <row r="120" spans="2:2" x14ac:dyDescent="0.75">
      <c r="B120" s="14" t="str">
        <f>IF('Report-ConceptMap-1'!S115=0,"//---END",'Report-ConceptMap-1'!S115)</f>
        <v>* group[=].element[=].target.equivalence = #relatedto</v>
      </c>
    </row>
    <row r="121" spans="2:2" x14ac:dyDescent="0.75">
      <c r="B121" s="14" t="str">
        <f>IF('Report-ConceptMap-1'!S116=0,"//---END",'Report-ConceptMap-1'!S116)</f>
        <v/>
      </c>
    </row>
    <row r="122" spans="2:2" x14ac:dyDescent="0.75">
      <c r="B122" s="14" t="str">
        <f>IF('Report-ConceptMap-1'!S117=0,"//---END",'Report-ConceptMap-1'!S117)</f>
        <v>* group[=].element[+].code = #LabReport.specimen</v>
      </c>
    </row>
    <row r="123" spans="2:2" x14ac:dyDescent="0.75">
      <c r="B123" s="14" t="str">
        <f>IF('Report-ConceptMap-1'!S118=0,"//---END",'Report-ConceptMap-1'!S118)</f>
        <v>* group[=].element[=].display = ##34#A.4 Specimen information##34#</v>
      </c>
    </row>
    <row r="124" spans="2:2" x14ac:dyDescent="0.75">
      <c r="B124" s="14" t="str">
        <f>IF('Report-ConceptMap-1'!S119=0,"//---END",'Report-ConceptMap-1'!S119)</f>
        <v>* group[=].element[=].target.code = #DiagnosticReport.result.resolve().ofType(Observation).specimen</v>
      </c>
    </row>
    <row r="125" spans="2:2" x14ac:dyDescent="0.75">
      <c r="B125" s="14" t="str">
        <f>IF('Report-ConceptMap-1'!S120=0,"//---END",'Report-ConceptMap-1'!S120)</f>
        <v>* group[=].element[=].target.display = ##34###34#</v>
      </c>
    </row>
    <row r="126" spans="2:2" x14ac:dyDescent="0.75">
      <c r="B126" s="14" t="str">
        <f>IF('Report-ConceptMap-1'!S121=0,"//---END",'Report-ConceptMap-1'!S121)</f>
        <v>* group[=].element[=].target.equivalence = #relatedto</v>
      </c>
    </row>
    <row r="127" spans="2:2" x14ac:dyDescent="0.75">
      <c r="B127" s="14" t="str">
        <f>IF('Report-ConceptMap-1'!S122=0,"//---END",'Report-ConceptMap-1'!S122)</f>
        <v/>
      </c>
    </row>
    <row r="128" spans="2:2" x14ac:dyDescent="0.75">
      <c r="B128" s="14" t="str">
        <f>IF('Report-ConceptMap-1'!S123=0,"//---END",'Report-ConceptMap-1'!S123)</f>
        <v>//---END</v>
      </c>
    </row>
    <row r="129" spans="2:2" x14ac:dyDescent="0.75">
      <c r="B129" s="14" t="str">
        <f>IF('Report-ConceptMap-1'!S124=0,"//---END",'Report-ConceptMap-1'!S124)</f>
        <v>//---END</v>
      </c>
    </row>
    <row r="130" spans="2:2" x14ac:dyDescent="0.75">
      <c r="B130" s="14" t="str">
        <f>IF('Report-ConceptMap-1'!S125=0,"//---END",'Report-ConceptMap-1'!S125)</f>
        <v>//---END</v>
      </c>
    </row>
    <row r="131" spans="2:2" x14ac:dyDescent="0.75">
      <c r="B131" s="1"/>
    </row>
    <row r="134" spans="2:2" x14ac:dyDescent="0.75">
      <c r="B134" s="77"/>
    </row>
    <row r="135" spans="2:2" x14ac:dyDescent="0.75">
      <c r="B135" s="79" t="str">
        <f>"* group[+].source = ##34#"&amp;'Report-ConceptMap-2'!E6&amp;"##34#"</f>
        <v>* group[+].source = ##34#http://hl7.eu/fhir/laboratory/StructureDefinition/LabReport##34#</v>
      </c>
    </row>
    <row r="136" spans="2:2" x14ac:dyDescent="0.75">
      <c r="B136" s="79" t="str">
        <f>"* group[=].target = ##34#"&amp;'Report-ConceptMap-2'!E7&amp;"##34#"</f>
        <v>* group[=].target = ##34#http://hl7.eu/fhir/laboratory/StructureDefinition/Composition-eu-lab##34#</v>
      </c>
    </row>
    <row r="137" spans="2:2" x14ac:dyDescent="0.75">
      <c r="B137" s="81"/>
    </row>
    <row r="139" spans="2:2" x14ac:dyDescent="0.75">
      <c r="B139" s="14" t="str">
        <f>IF('Report-ConceptMap-2'!S15=0,"//---END",'Report-ConceptMap-2'!S15)</f>
        <v>* group[=].element[+].code = #LabReport.header</v>
      </c>
    </row>
    <row r="140" spans="2:2" x14ac:dyDescent="0.75">
      <c r="B140" s="14" t="str">
        <f>IF('Report-ConceptMap-2'!S16=0,"//---END",'Report-ConceptMap-2'!S16)</f>
        <v>* group[=].element[=].display = ##34#A.1 Report header data elements##34#</v>
      </c>
    </row>
    <row r="141" spans="2:2" x14ac:dyDescent="0.75">
      <c r="B141" s="14" t="str">
        <f>IF('Report-ConceptMap-2'!S17=0,"//---END",'Report-ConceptMap-2'!S17)</f>
        <v>* group[=].element[=].target.code = #Composition</v>
      </c>
    </row>
    <row r="142" spans="2:2" x14ac:dyDescent="0.75">
      <c r="B142" s="14" t="str">
        <f>IF('Report-ConceptMap-2'!S18=0,"//---END",'Report-ConceptMap-2'!S18)</f>
        <v>* group[=].element[=].target.display = ##34###34#</v>
      </c>
    </row>
    <row r="143" spans="2:2" x14ac:dyDescent="0.75">
      <c r="B143" s="14" t="str">
        <f>IF('Report-ConceptMap-2'!S19=0,"//---END",'Report-ConceptMap-2'!S19)</f>
        <v>* group[=].element[=].target.equivalence = #relatedto</v>
      </c>
    </row>
    <row r="144" spans="2:2" x14ac:dyDescent="0.75">
      <c r="B144" s="14" t="str">
        <f>IF('Report-ConceptMap-2'!S20=0,"//---END",'Report-ConceptMap-2'!S20)</f>
        <v>* group[=].element[+].code = #LabReport.header.subject</v>
      </c>
    </row>
    <row r="145" spans="2:2" x14ac:dyDescent="0.75">
      <c r="B145" s="14" t="str">
        <f>IF('Report-ConceptMap-2'!S21=0,"//---END",'Report-ConceptMap-2'!S21)</f>
        <v>* group[=].element[=].display = ##34#A.1.1 - A1.2 Patient/subject##34#</v>
      </c>
    </row>
    <row r="146" spans="2:2" x14ac:dyDescent="0.75">
      <c r="B146" s="14" t="str">
        <f>IF('Report-ConceptMap-2'!S22=0,"//---END",'Report-ConceptMap-2'!S22)</f>
        <v>* group[=].element[=].target.code = #Composition.subject</v>
      </c>
    </row>
    <row r="147" spans="2:2" x14ac:dyDescent="0.75">
      <c r="B147" s="14" t="str">
        <f>IF('Report-ConceptMap-2'!S23=0,"//---END",'Report-ConceptMap-2'!S23)</f>
        <v>* group[=].element[=].target.display = ##34###34#</v>
      </c>
    </row>
    <row r="148" spans="2:2" x14ac:dyDescent="0.75">
      <c r="B148" s="14" t="str">
        <f>IF('Report-ConceptMap-2'!S24=0,"//---END",'Report-ConceptMap-2'!S24)</f>
        <v>* group[=].element[=].target.equivalence = #relatedto</v>
      </c>
    </row>
    <row r="149" spans="2:2" x14ac:dyDescent="0.75">
      <c r="B149" s="14" t="str">
        <f>IF('Report-ConceptMap-2'!S25=0,"//---END",'Report-ConceptMap-2'!S25)</f>
        <v/>
      </c>
    </row>
    <row r="150" spans="2:2" x14ac:dyDescent="0.75">
      <c r="B150" s="14" t="str">
        <f>IF('Report-ConceptMap-2'!S26=0,"//---END",'Report-ConceptMap-2'!S26)</f>
        <v>* group[=].element[+].code = #LabReport.header.payer</v>
      </c>
    </row>
    <row r="151" spans="2:2" x14ac:dyDescent="0.75">
      <c r="B151" s="14" t="str">
        <f>IF('Report-ConceptMap-2'!S27=0,"//---END",'Report-ConceptMap-2'!S27)</f>
        <v>* group[=].element[=].display = ##34#A.1.3 Health insurance and payment information##34#</v>
      </c>
    </row>
    <row r="152" spans="2:2" ht="29.5" x14ac:dyDescent="0.75">
      <c r="B152" s="14" t="str">
        <f>IF('Report-ConceptMap-2'!S28=0,"//---END",'Report-ConceptMap-2'!S28)</f>
        <v>* group[=].element[=].target.code = #Composition.extension(http://hl7.eu/fhir/laboratory/StructureDefinition/composition-basedOn-order-or-requisition).resolve().ofType(ServiceRequest).insurance.resolve().ofType(Coverage)</v>
      </c>
    </row>
    <row r="153" spans="2:2" x14ac:dyDescent="0.75">
      <c r="B153" s="14" t="str">
        <f>IF('Report-ConceptMap-2'!S29=0,"//---END",'Report-ConceptMap-2'!S29)</f>
        <v>* group[=].element[=].target.display = ##34###34#</v>
      </c>
    </row>
    <row r="154" spans="2:2" x14ac:dyDescent="0.75">
      <c r="B154" s="14" t="str">
        <f>IF('Report-ConceptMap-2'!S30=0,"//---END",'Report-ConceptMap-2'!S30)</f>
        <v>* group[=].element[=].target.equivalence = #relatedto</v>
      </c>
    </row>
    <row r="155" spans="2:2" x14ac:dyDescent="0.75">
      <c r="B155" s="14" t="str">
        <f>IF('Report-ConceptMap-2'!S31=0,"//---END",'Report-ConceptMap-2'!S31)</f>
        <v/>
      </c>
    </row>
    <row r="156" spans="2:2" x14ac:dyDescent="0.75">
      <c r="B156" s="14" t="str">
        <f>IF('Report-ConceptMap-2'!S32=0,"//---END",'Report-ConceptMap-2'!S32)</f>
        <v>* group[=].element[+].code = #LabReport.header.informationRecipient</v>
      </c>
    </row>
    <row r="157" spans="2:2" x14ac:dyDescent="0.75">
      <c r="B157" s="14" t="str">
        <f>IF('Report-ConceptMap-2'!S33=0,"//---END",'Report-ConceptMap-2'!S33)</f>
        <v>* group[=].element[=].display = ##34#A.1.4 Information recipient##34#</v>
      </c>
    </row>
    <row r="158" spans="2:2" x14ac:dyDescent="0.75">
      <c r="B158" s="14" t="str">
        <f>IF('Report-ConceptMap-2'!S34=0,"//---END",'Report-ConceptMap-2'!S34)</f>
        <v>//-- unmatched</v>
      </c>
    </row>
    <row r="159" spans="2:2" x14ac:dyDescent="0.75">
      <c r="B159" s="14" t="str">
        <f>IF('Report-ConceptMap-2'!S35=0,"//---END",'Report-ConceptMap-2'!S35)</f>
        <v>//-- unmatched</v>
      </c>
    </row>
    <row r="160" spans="2:2" x14ac:dyDescent="0.75">
      <c r="B160" s="14" t="str">
        <f>IF('Report-ConceptMap-2'!S36=0,"//---END",'Report-ConceptMap-2'!S36)</f>
        <v>* group[=].element[=].target.equivalence = #unmatched</v>
      </c>
    </row>
    <row r="161" spans="2:2" x14ac:dyDescent="0.75">
      <c r="B161" s="14" t="str">
        <f>IF('Report-ConceptMap-2'!S37=0,"//---END",'Report-ConceptMap-2'!S37)</f>
        <v/>
      </c>
    </row>
    <row r="162" spans="2:2" x14ac:dyDescent="0.75">
      <c r="B162" s="14" t="str">
        <f>IF('Report-ConceptMap-2'!S38=0,"//---END",'Report-ConceptMap-2'!S38)</f>
        <v>* group[=].element[+].code = #LabReport.header.author</v>
      </c>
    </row>
    <row r="163" spans="2:2" x14ac:dyDescent="0.75">
      <c r="B163" s="14" t="str">
        <f>IF('Report-ConceptMap-2'!S39=0,"//---END",'Report-ConceptMap-2'!S39)</f>
        <v>* group[=].element[=].display = ##34#A.1.5 Author##34#</v>
      </c>
    </row>
    <row r="164" spans="2:2" x14ac:dyDescent="0.75">
      <c r="B164" s="14" t="str">
        <f>IF('Report-ConceptMap-2'!S40=0,"//---END",'Report-ConceptMap-2'!S40)</f>
        <v>* group[=].element[=].target.code = #Composition.author.resolve()</v>
      </c>
    </row>
    <row r="165" spans="2:2" x14ac:dyDescent="0.75">
      <c r="B165" s="14" t="str">
        <f>IF('Report-ConceptMap-2'!S41=0,"//---END",'Report-ConceptMap-2'!S41)</f>
        <v>* group[=].element[=].target.display = ##34###34#</v>
      </c>
    </row>
    <row r="166" spans="2:2" x14ac:dyDescent="0.75">
      <c r="B166" s="14" t="str">
        <f>IF('Report-ConceptMap-2'!S42=0,"//---END",'Report-ConceptMap-2'!S42)</f>
        <v>* group[=].element[=].target.equivalence = #relatedto</v>
      </c>
    </row>
    <row r="167" spans="2:2" x14ac:dyDescent="0.75">
      <c r="B167" s="14" t="str">
        <f>IF('Report-ConceptMap-2'!S43=0,"//---END",'Report-ConceptMap-2'!S43)</f>
        <v/>
      </c>
    </row>
    <row r="168" spans="2:2" x14ac:dyDescent="0.75">
      <c r="B168" s="14" t="str">
        <f>IF('Report-ConceptMap-2'!S44=0,"//---END",'Report-ConceptMap-2'!S44)</f>
        <v>* group[=].element[+].code = #LabReport.header.legalAuthenticator</v>
      </c>
    </row>
    <row r="169" spans="2:2" x14ac:dyDescent="0.75">
      <c r="B169" s="14" t="str">
        <f>IF('Report-ConceptMap-2'!S45=0,"//---END",'Report-ConceptMap-2'!S45)</f>
        <v>* group[=].element[=].display = ##34#A.1.6 Legal authenticator##34#</v>
      </c>
    </row>
    <row r="170" spans="2:2" x14ac:dyDescent="0.75">
      <c r="B170" s="14" t="str">
        <f>IF('Report-ConceptMap-2'!S46=0,"//---END",'Report-ConceptMap-2'!S46)</f>
        <v>* group[=].element[=].target.code = #Composition.attester.where(mode='legal').party.resolve()</v>
      </c>
    </row>
    <row r="171" spans="2:2" x14ac:dyDescent="0.75">
      <c r="B171" s="14" t="str">
        <f>IF('Report-ConceptMap-2'!S47=0,"//---END",'Report-ConceptMap-2'!S47)</f>
        <v>* group[=].element[=].target.display = ##34###34#</v>
      </c>
    </row>
    <row r="172" spans="2:2" x14ac:dyDescent="0.75">
      <c r="B172" s="14" t="str">
        <f>IF('Report-ConceptMap-2'!S48=0,"//---END",'Report-ConceptMap-2'!S48)</f>
        <v>* group[=].element[=].target.equivalence = #equivalent</v>
      </c>
    </row>
    <row r="173" spans="2:2" x14ac:dyDescent="0.75">
      <c r="B173" s="14" t="str">
        <f>IF('Report-ConceptMap-2'!S49=0,"//---END",'Report-ConceptMap-2'!S49)</f>
        <v>* group[=].element[=].target.comment = ##34#The person authenticated the content and accepted legal responsibility for its content.##34#</v>
      </c>
    </row>
    <row r="174" spans="2:2" x14ac:dyDescent="0.75">
      <c r="B174" s="14" t="str">
        <f>IF('Report-ConceptMap-2'!S50=0,"//---END",'Report-ConceptMap-2'!S50)</f>
        <v>* group[=].element[+].code = #LabReport.header.validator</v>
      </c>
    </row>
    <row r="175" spans="2:2" x14ac:dyDescent="0.75">
      <c r="B175" s="14" t="str">
        <f>IF('Report-ConceptMap-2'!S51=0,"//---END",'Report-ConceptMap-2'!S51)</f>
        <v>* group[=].element[=].display = ##34#A.1.7 Result validator##34#</v>
      </c>
    </row>
    <row r="176" spans="2:2" x14ac:dyDescent="0.75">
      <c r="B176" s="14" t="str">
        <f>IF('Report-ConceptMap-2'!S52=0,"//---END",'Report-ConceptMap-2'!S52)</f>
        <v>* group[=].element[=].target.code = #Composition.attester.where(mode='professional').party.resolve()</v>
      </c>
    </row>
    <row r="177" spans="2:2" x14ac:dyDescent="0.75">
      <c r="B177" s="14" t="str">
        <f>IF('Report-ConceptMap-2'!S53=0,"//---END",'Report-ConceptMap-2'!S53)</f>
        <v>* group[=].element[=].target.display = ##34###34#</v>
      </c>
    </row>
    <row r="178" spans="2:2" x14ac:dyDescent="0.75">
      <c r="B178" s="14" t="str">
        <f>IF('Report-ConceptMap-2'!S54=0,"//---END",'Report-ConceptMap-2'!S54)</f>
        <v>* group[=].element[=].target.equivalence = #equivalent</v>
      </c>
    </row>
    <row r="179" spans="2:2" x14ac:dyDescent="0.75">
      <c r="B179" s="14" t="str">
        <f>IF('Report-ConceptMap-2'!S55=0,"//---END",'Report-ConceptMap-2'!S55)</f>
        <v>* group[=].element[=].target.comment = ##34#The person authenticated the content in their professional capacity.##34#</v>
      </c>
    </row>
    <row r="180" spans="2:2" x14ac:dyDescent="0.75">
      <c r="B180" s="14" t="str">
        <f>IF('Report-ConceptMap-2'!S56=0,"//---END",'Report-ConceptMap-2'!S56)</f>
        <v>* group[=].element[+].code = #LabReport.header.metadata</v>
      </c>
    </row>
    <row r="181" spans="2:2" x14ac:dyDescent="0.75">
      <c r="B181" s="14" t="str">
        <f>IF('Report-ConceptMap-2'!S57=0,"//---END",'Report-ConceptMap-2'!S57)</f>
        <v>* group[=].element[=].display = ##34#A.1.8 Laboratory report metadata##34#</v>
      </c>
    </row>
    <row r="182" spans="2:2" x14ac:dyDescent="0.75">
      <c r="B182" s="14" t="str">
        <f>IF('Report-ConceptMap-2'!S58=0,"//---END",'Report-ConceptMap-2'!S58)</f>
        <v>* group[=].element[=].target.code = #Composition.$this</v>
      </c>
    </row>
    <row r="183" spans="2:2" x14ac:dyDescent="0.75">
      <c r="B183" s="14" t="str">
        <f>IF('Report-ConceptMap-2'!S59=0,"//---END",'Report-ConceptMap-2'!S59)</f>
        <v>* group[=].element[=].target.display = ##34###34#</v>
      </c>
    </row>
    <row r="184" spans="2:2" x14ac:dyDescent="0.75">
      <c r="B184" s="14" t="str">
        <f>IF('Report-ConceptMap-2'!S60=0,"//---END",'Report-ConceptMap-2'!S60)</f>
        <v>* group[=].element[=].target.equivalence = #relatedto</v>
      </c>
    </row>
    <row r="185" spans="2:2" x14ac:dyDescent="0.75">
      <c r="B185" s="14" t="str">
        <f>IF('Report-ConceptMap-2'!S61=0,"//---END",'Report-ConceptMap-2'!S61)</f>
        <v/>
      </c>
    </row>
    <row r="186" spans="2:2" x14ac:dyDescent="0.75">
      <c r="B186" s="14" t="str">
        <f>IF('Report-ConceptMap-2'!S62=0,"//---END",'Report-ConceptMap-2'!S62)</f>
        <v>* group[=].element[+].code = #LabReport.header.metadata.type</v>
      </c>
    </row>
    <row r="187" spans="2:2" x14ac:dyDescent="0.75">
      <c r="B187" s="14" t="str">
        <f>IF('Report-ConceptMap-2'!S63=0,"//---END",'Report-ConceptMap-2'!S63)</f>
        <v>* group[=].element[=].display = ##34#A.1.8.1 Document type##34#</v>
      </c>
    </row>
    <row r="188" spans="2:2" x14ac:dyDescent="0.75">
      <c r="B188" s="14" t="str">
        <f>IF('Report-ConceptMap-2'!S64=0,"//---END",'Report-ConceptMap-2'!S64)</f>
        <v>* group[=].element[=].target.code = #Composition.code</v>
      </c>
    </row>
    <row r="189" spans="2:2" x14ac:dyDescent="0.75">
      <c r="B189" s="14" t="str">
        <f>IF('Report-ConceptMap-2'!S65=0,"//---END",'Report-ConceptMap-2'!S65)</f>
        <v>* group[=].element[=].target.display = ##34###34#</v>
      </c>
    </row>
    <row r="190" spans="2:2" x14ac:dyDescent="0.75">
      <c r="B190" s="14" t="str">
        <f>IF('Report-ConceptMap-2'!S66=0,"//---END",'Report-ConceptMap-2'!S66)</f>
        <v>* group[=].element[=].target.equivalence = #equivalent</v>
      </c>
    </row>
    <row r="191" spans="2:2" x14ac:dyDescent="0.75">
      <c r="B191" s="14" t="str">
        <f>IF('Report-ConceptMap-2'!S67=0,"//---END",'Report-ConceptMap-2'!S67)</f>
        <v/>
      </c>
    </row>
    <row r="192" spans="2:2" x14ac:dyDescent="0.75">
      <c r="B192" s="14" t="str">
        <f>IF('Report-ConceptMap-2'!S68=0,"//---END",'Report-ConceptMap-2'!S68)</f>
        <v>* group[=].element[+].code = #LabReport.header.metadata.status</v>
      </c>
    </row>
    <row r="193" spans="2:2" x14ac:dyDescent="0.75">
      <c r="B193" s="14" t="str">
        <f>IF('Report-ConceptMap-2'!S69=0,"//---END",'Report-ConceptMap-2'!S69)</f>
        <v>* group[=].element[=].display = ##34#A.1.8.2 Document status##34#</v>
      </c>
    </row>
    <row r="194" spans="2:2" x14ac:dyDescent="0.75">
      <c r="B194" s="14" t="str">
        <f>IF('Report-ConceptMap-2'!S70=0,"//---END",'Report-ConceptMap-2'!S70)</f>
        <v>* group[=].element[=].target.code = #Composition.status</v>
      </c>
    </row>
    <row r="195" spans="2:2" x14ac:dyDescent="0.75">
      <c r="B195" s="14" t="str">
        <f>IF('Report-ConceptMap-2'!S71=0,"//---END",'Report-ConceptMap-2'!S71)</f>
        <v>* group[=].element[=].target.display = ##34###34#</v>
      </c>
    </row>
    <row r="196" spans="2:2" x14ac:dyDescent="0.75">
      <c r="B196" s="14" t="str">
        <f>IF('Report-ConceptMap-2'!S72=0,"//---END",'Report-ConceptMap-2'!S72)</f>
        <v>* group[=].element[=].target.equivalence = #relatedto</v>
      </c>
    </row>
    <row r="197" spans="2:2" x14ac:dyDescent="0.75">
      <c r="B197" s="14" t="str">
        <f>IF('Report-ConceptMap-2'!S73=0,"//---END",'Report-ConceptMap-2'!S73)</f>
        <v>* group[=].element[=].target.comment = ##34#to be checked…##34#</v>
      </c>
    </row>
    <row r="198" spans="2:2" x14ac:dyDescent="0.75">
      <c r="B198" s="14" t="str">
        <f>IF('Report-ConceptMap-2'!S74=0,"//---END",'Report-ConceptMap-2'!S74)</f>
        <v>* group[=].element[+].code = #LabReport.header.metadata.dateTime</v>
      </c>
    </row>
    <row r="199" spans="2:2" x14ac:dyDescent="0.75">
      <c r="B199" s="14" t="str">
        <f>IF('Report-ConceptMap-2'!S75=0,"//---END",'Report-ConceptMap-2'!S75)</f>
        <v>* group[=].element[=].display = ##34#A.1.8.3 Report date and time##34#</v>
      </c>
    </row>
    <row r="200" spans="2:2" x14ac:dyDescent="0.75">
      <c r="B200" s="14" t="str">
        <f>IF('Report-ConceptMap-2'!S76=0,"//---END",'Report-ConceptMap-2'!S76)</f>
        <v>* group[=].element[=].target.code = #Composition.date</v>
      </c>
    </row>
    <row r="201" spans="2:2" x14ac:dyDescent="0.75">
      <c r="B201" s="14" t="str">
        <f>IF('Report-ConceptMap-2'!S77=0,"//---END",'Report-ConceptMap-2'!S77)</f>
        <v>* group[=].element[=].target.display = ##34###34#</v>
      </c>
    </row>
    <row r="202" spans="2:2" x14ac:dyDescent="0.75">
      <c r="B202" s="14" t="str">
        <f>IF('Report-ConceptMap-2'!S78=0,"//---END",'Report-ConceptMap-2'!S78)</f>
        <v>* group[=].element[=].target.equivalence = #equivalent</v>
      </c>
    </row>
    <row r="203" spans="2:2" x14ac:dyDescent="0.75">
      <c r="B203" s="14" t="str">
        <f>IF('Report-ConceptMap-2'!S79=0,"//---END",'Report-ConceptMap-2'!S79)</f>
        <v/>
      </c>
    </row>
    <row r="204" spans="2:2" x14ac:dyDescent="0.75">
      <c r="B204" s="14" t="str">
        <f>IF('Report-ConceptMap-2'!S80=0,"//---END",'Report-ConceptMap-2'!S80)</f>
        <v>* group[=].element[+].code = #LabReport.header.metadata.title</v>
      </c>
    </row>
    <row r="205" spans="2:2" x14ac:dyDescent="0.75">
      <c r="B205" s="14" t="str">
        <f>IF('Report-ConceptMap-2'!S81=0,"//---END",'Report-ConceptMap-2'!S81)</f>
        <v>* group[=].element[=].display = ##34#A.1.8.4 Document title##34#</v>
      </c>
    </row>
    <row r="206" spans="2:2" x14ac:dyDescent="0.75">
      <c r="B206" s="14" t="str">
        <f>IF('Report-ConceptMap-2'!S82=0,"//---END",'Report-ConceptMap-2'!S82)</f>
        <v>* group[=].element[=].target.code = #Composition.title</v>
      </c>
    </row>
    <row r="207" spans="2:2" x14ac:dyDescent="0.75">
      <c r="B207" s="14" t="str">
        <f>IF('Report-ConceptMap-2'!S83=0,"//---END",'Report-ConceptMap-2'!S83)</f>
        <v>* group[=].element[=].target.display = ##34###34#</v>
      </c>
    </row>
    <row r="208" spans="2:2" x14ac:dyDescent="0.75">
      <c r="B208" s="14" t="str">
        <f>IF('Report-ConceptMap-2'!S84=0,"//---END",'Report-ConceptMap-2'!S84)</f>
        <v>* group[=].element[=].target.equivalence = #equivalent</v>
      </c>
    </row>
    <row r="209" spans="2:2" x14ac:dyDescent="0.75">
      <c r="B209" s="14" t="str">
        <f>IF('Report-ConceptMap-2'!S85=0,"//---END",'Report-ConceptMap-2'!S85)</f>
        <v/>
      </c>
    </row>
    <row r="210" spans="2:2" x14ac:dyDescent="0.75">
      <c r="B210" s="14" t="str">
        <f>IF('Report-ConceptMap-2'!S86=0,"//---END",'Report-ConceptMap-2'!S86)</f>
        <v>* group[=].element[+].code = #LabReport.header.metadata.custodian</v>
      </c>
    </row>
    <row r="211" spans="2:2" x14ac:dyDescent="0.75">
      <c r="B211" s="14" t="str">
        <f>IF('Report-ConceptMap-2'!S87=0,"//---END",'Report-ConceptMap-2'!S87)</f>
        <v>* group[=].element[=].display = ##34#A.1.8.5 Report custodian##34#</v>
      </c>
    </row>
    <row r="212" spans="2:2" x14ac:dyDescent="0.75">
      <c r="B212" s="14" t="str">
        <f>IF('Report-ConceptMap-2'!S88=0,"//---END",'Report-ConceptMap-2'!S88)</f>
        <v>* group[=].element[=].target.code = #Composition.custodian</v>
      </c>
    </row>
    <row r="213" spans="2:2" x14ac:dyDescent="0.75">
      <c r="B213" s="14" t="str">
        <f>IF('Report-ConceptMap-2'!S89=0,"//---END",'Report-ConceptMap-2'!S89)</f>
        <v>* group[=].element[=].target.display = ##34###34#</v>
      </c>
    </row>
    <row r="214" spans="2:2" x14ac:dyDescent="0.75">
      <c r="B214" s="14" t="str">
        <f>IF('Report-ConceptMap-2'!S90=0,"//---END",'Report-ConceptMap-2'!S90)</f>
        <v>* group[=].element[=].target.equivalence = #equivalent</v>
      </c>
    </row>
    <row r="215" spans="2:2" x14ac:dyDescent="0.75">
      <c r="B215" s="14" t="str">
        <f>IF('Report-ConceptMap-2'!S91=0,"//---END",'Report-ConceptMap-2'!S91)</f>
        <v/>
      </c>
    </row>
    <row r="216" spans="2:2" x14ac:dyDescent="0.75">
      <c r="B216" s="14" t="str">
        <f>IF('Report-ConceptMap-2'!S92=0,"//---END",'Report-ConceptMap-2'!S92)</f>
        <v>* group[=].element[+].code = #LabReport.order</v>
      </c>
    </row>
    <row r="217" spans="2:2" x14ac:dyDescent="0.75">
      <c r="B217" s="14" t="str">
        <f>IF('Report-ConceptMap-2'!S93=0,"//---END",'Report-ConceptMap-2'!S93)</f>
        <v>* group[=].element[=].display = ##34#A.2-A.3 Order##34#</v>
      </c>
    </row>
    <row r="218" spans="2:2" ht="29.5" x14ac:dyDescent="0.75">
      <c r="B218" s="14" t="str">
        <f>IF('Report-ConceptMap-2'!S94=0,"//---END",'Report-ConceptMap-2'!S94)</f>
        <v>* group[=].element[=].target.code = #Composition.extension(http://hl7.eu/fhir/laboratory/StructureDefinition/composition-basedOn-order-or-requisition).resolve().ofType(ServiceRequest)</v>
      </c>
    </row>
    <row r="219" spans="2:2" x14ac:dyDescent="0.75">
      <c r="B219" s="14" t="str">
        <f>IF('Report-ConceptMap-2'!S95=0,"//---END",'Report-ConceptMap-2'!S95)</f>
        <v>* group[=].element[=].target.display = ##34###34#</v>
      </c>
    </row>
    <row r="220" spans="2:2" x14ac:dyDescent="0.75">
      <c r="B220" s="14" t="str">
        <f>IF('Report-ConceptMap-2'!S96=0,"//---END",'Report-ConceptMap-2'!S96)</f>
        <v>* group[=].element[=].target.equivalence = #relatedto</v>
      </c>
    </row>
    <row r="221" spans="2:2" x14ac:dyDescent="0.75">
      <c r="B221" s="14" t="str">
        <f>IF('Report-ConceptMap-2'!S97=0,"//---END",'Report-ConceptMap-2'!S97)</f>
        <v/>
      </c>
    </row>
    <row r="222" spans="2:2" x14ac:dyDescent="0.75">
      <c r="B222" s="14" t="str">
        <f>IF('Report-ConceptMap-2'!S98=0,"//---END",'Report-ConceptMap-2'!S98)</f>
        <v>* group[=].element[+].code = #LabReport.specimen</v>
      </c>
    </row>
    <row r="223" spans="2:2" x14ac:dyDescent="0.75">
      <c r="B223" s="14" t="str">
        <f>IF('Report-ConceptMap-2'!S99=0,"//---END",'Report-ConceptMap-2'!S99)</f>
        <v>* group[=].element[=].display = ##34#A.4 Specimen information##34#</v>
      </c>
    </row>
    <row r="224" spans="2:2" x14ac:dyDescent="0.75">
      <c r="B224" s="14" t="str">
        <f>IF('Report-ConceptMap-2'!S100=0,"//---END",'Report-ConceptMap-2'!S100)</f>
        <v>* group[=].element[=].target.code = #Composition.section:lab-no-subsections.entry.resolve().specimen.resolve()</v>
      </c>
    </row>
    <row r="225" spans="2:2" x14ac:dyDescent="0.75">
      <c r="B225" s="14" t="str">
        <f>IF('Report-ConceptMap-2'!S101=0,"//---END",'Report-ConceptMap-2'!S101)</f>
        <v>* group[=].element[=].target.display = ##34###34#</v>
      </c>
    </row>
    <row r="226" spans="2:2" x14ac:dyDescent="0.75">
      <c r="B226" s="14" t="str">
        <f>IF('Report-ConceptMap-2'!S102=0,"//---END",'Report-ConceptMap-2'!S102)</f>
        <v>* group[=].element[=].target.equivalence = #relatedto</v>
      </c>
    </row>
    <row r="227" spans="2:2" x14ac:dyDescent="0.75">
      <c r="B227" s="14" t="str">
        <f>IF('Report-ConceptMap-2'!S103=0,"//---END",'Report-ConceptMap-2'!S103)</f>
        <v>* group[=].element[=].target.comment = ##34#If no sub sections##34#</v>
      </c>
    </row>
    <row r="228" spans="2:2" x14ac:dyDescent="0.75">
      <c r="B228" s="14" t="str">
        <f>IF('Report-ConceptMap-2'!S104=0,"//---END",'Report-ConceptMap-2'!S104)</f>
        <v>* group[=].element[+].code = #LabReport.result</v>
      </c>
    </row>
    <row r="229" spans="2:2" x14ac:dyDescent="0.75">
      <c r="B229" s="14" t="str">
        <f>IF('Report-ConceptMap-2'!S105=0,"//---END",'Report-ConceptMap-2'!S105)</f>
        <v>* group[=].element[=].display = ##34#A.5 Results data elements##34#</v>
      </c>
    </row>
    <row r="230" spans="2:2" x14ac:dyDescent="0.75">
      <c r="B230" s="14" t="str">
        <f>IF('Report-ConceptMap-2'!S106=0,"//---END",'Report-ConceptMap-2'!S106)</f>
        <v>* group[=].element[=].target.code = #Composition.section:lab-no-subsections.entry.resolve()</v>
      </c>
    </row>
    <row r="231" spans="2:2" x14ac:dyDescent="0.75">
      <c r="B231" s="14" t="str">
        <f>IF('Report-ConceptMap-2'!S107=0,"//---END",'Report-ConceptMap-2'!S107)</f>
        <v>* group[=].element[=].target.display = ##34###34#</v>
      </c>
    </row>
    <row r="232" spans="2:2" x14ac:dyDescent="0.75">
      <c r="B232" s="14" t="str">
        <f>IF('Report-ConceptMap-2'!S108=0,"//---END",'Report-ConceptMap-2'!S108)</f>
        <v>* group[=].element[=].target.equivalence = #relatedto</v>
      </c>
    </row>
    <row r="233" spans="2:2" x14ac:dyDescent="0.75">
      <c r="B233" s="14" t="str">
        <f>IF('Report-ConceptMap-2'!S109=0,"//---END",'Report-ConceptMap-2'!S109)</f>
        <v>* group[=].element[=].target.comment = ##34#If no sub sections##34#</v>
      </c>
    </row>
    <row r="234" spans="2:2" x14ac:dyDescent="0.75">
      <c r="B234" s="14" t="str">
        <f>IF('Report-ConceptMap-2'!S110=0,"//---END",'Report-ConceptMap-2'!S110)</f>
        <v>* group[=].element[+].code = #LabReport.specimen</v>
      </c>
    </row>
    <row r="235" spans="2:2" x14ac:dyDescent="0.75">
      <c r="B235" s="14" t="str">
        <f>IF('Report-ConceptMap-2'!S111=0,"//---END",'Report-ConceptMap-2'!S111)</f>
        <v>* group[=].element[=].display = ##34#A.4 Specimen information##34#</v>
      </c>
    </row>
    <row r="236" spans="2:2" x14ac:dyDescent="0.75">
      <c r="B236" s="14" t="str">
        <f>IF('Report-ConceptMap-2'!S112=0,"//---END",'Report-ConceptMap-2'!S112)</f>
        <v>* group[=].element[=].target.code = #Composition.section:lab-subsections.section.entry.resolve().specimen.resolve()</v>
      </c>
    </row>
    <row r="237" spans="2:2" x14ac:dyDescent="0.75">
      <c r="B237" s="14" t="str">
        <f>IF('Report-ConceptMap-2'!S113=0,"//---END",'Report-ConceptMap-2'!S113)</f>
        <v>* group[=].element[=].target.display = ##34###34#</v>
      </c>
    </row>
    <row r="238" spans="2:2" x14ac:dyDescent="0.75">
      <c r="B238" s="14" t="str">
        <f>IF('Report-ConceptMap-2'!S114=0,"//---END",'Report-ConceptMap-2'!S114)</f>
        <v>* group[=].element[=].target.equivalence = #relatedto</v>
      </c>
    </row>
    <row r="239" spans="2:2" x14ac:dyDescent="0.75">
      <c r="B239" s="14" t="str">
        <f>IF('Report-ConceptMap-2'!S115=0,"//---END",'Report-ConceptMap-2'!S115)</f>
        <v>* group[=].element[=].target.comment = ##34#If sub sections##34#</v>
      </c>
    </row>
    <row r="240" spans="2:2" x14ac:dyDescent="0.75">
      <c r="B240" s="14" t="str">
        <f>IF('Report-ConceptMap-2'!S116=0,"//---END",'Report-ConceptMap-2'!S116)</f>
        <v>* group[=].element[+].code = #LabReport.result</v>
      </c>
    </row>
    <row r="241" spans="2:2" x14ac:dyDescent="0.75">
      <c r="B241" s="14" t="str">
        <f>IF('Report-ConceptMap-2'!S117=0,"//---END",'Report-ConceptMap-2'!S117)</f>
        <v>* group[=].element[=].display = ##34#A.5 Results data elements##34#</v>
      </c>
    </row>
    <row r="242" spans="2:2" x14ac:dyDescent="0.75">
      <c r="B242" s="14" t="str">
        <f>IF('Report-ConceptMap-2'!S118=0,"//---END",'Report-ConceptMap-2'!S118)</f>
        <v>* group[=].element[=].target.code = #Composition.section:lab-subsections.section.entry.resolve()</v>
      </c>
    </row>
    <row r="243" spans="2:2" x14ac:dyDescent="0.75">
      <c r="B243" s="14" t="str">
        <f>IF('Report-ConceptMap-2'!S119=0,"//---END",'Report-ConceptMap-2'!S119)</f>
        <v>* group[=].element[=].target.display = ##34###34#</v>
      </c>
    </row>
    <row r="244" spans="2:2" x14ac:dyDescent="0.75">
      <c r="B244" s="14" t="str">
        <f>IF('Report-ConceptMap-2'!S120=0,"//---END",'Report-ConceptMap-2'!S120)</f>
        <v>* group[=].element[=].target.equivalence = #relatedto</v>
      </c>
    </row>
    <row r="245" spans="2:2" x14ac:dyDescent="0.75">
      <c r="B245" s="14" t="str">
        <f>IF('Report-ConceptMap-2'!S121=0,"//---END",'Report-ConceptMap-2'!S121)</f>
        <v>* group[=].element[=].target.comment = ##34#If sub sections##34#</v>
      </c>
    </row>
    <row r="246" spans="2:2" x14ac:dyDescent="0.75">
      <c r="B246" s="14" t="str">
        <f>IF('Report-ConceptMap-2'!S122=0,"//---END",'Report-ConceptMap-2'!S122)</f>
        <v>//---END</v>
      </c>
    </row>
    <row r="247" spans="2:2" x14ac:dyDescent="0.75">
      <c r="B247" s="14" t="str">
        <f>IF('Report-ConceptMap-2'!S123=0,"//---END",'Report-ConceptMap-2'!S123)</f>
        <v>//---END</v>
      </c>
    </row>
    <row r="248" spans="2:2" x14ac:dyDescent="0.75">
      <c r="B248" s="14" t="str">
        <f>IF('Report-ConceptMap-2'!S124=0,"//---END",'Report-ConceptMap-2'!S124)</f>
        <v>//---END</v>
      </c>
    </row>
    <row r="249" spans="2:2" x14ac:dyDescent="0.75">
      <c r="B249" s="14" t="str">
        <f>IF('Report-ConceptMap-2'!S125=0,"//---END",'Report-ConceptMap-2'!S125)</f>
        <v>//---END</v>
      </c>
    </row>
    <row r="250" spans="2:2" x14ac:dyDescent="0.75">
      <c r="B250" s="14" t="str">
        <f>IF('Report-ConceptMap-2'!S126=0,"//---END",'Report-ConceptMap-2'!S126)</f>
        <v>//---END</v>
      </c>
    </row>
    <row r="251" spans="2:2" x14ac:dyDescent="0.75">
      <c r="B251" s="14" t="str">
        <f>IF('Report-ConceptMap-2'!S127=0,"//---END",'Report-ConceptMap-2'!S127)</f>
        <v>//---END</v>
      </c>
    </row>
    <row r="252" spans="2:2" x14ac:dyDescent="0.75">
      <c r="B252" s="14" t="str">
        <f>IF('Report-ConceptMap-2'!S128=0,"//---END",'Report-ConceptMap-2'!S128)</f>
        <v>//---END</v>
      </c>
    </row>
    <row r="253" spans="2:2" x14ac:dyDescent="0.75">
      <c r="B253" s="14" t="str">
        <f>IF('Report-ConceptMap-2'!S129=0,"//---END",'Report-ConceptMap-2'!S129)</f>
        <v>//---END</v>
      </c>
    </row>
    <row r="254" spans="2:2" x14ac:dyDescent="0.75">
      <c r="B254" s="14" t="str">
        <f>IF('Report-ConceptMap-2'!S130=0,"//---END",'Report-ConceptMap-2'!S130)</f>
        <v>//---END</v>
      </c>
    </row>
    <row r="255" spans="2:2" x14ac:dyDescent="0.75">
      <c r="B255" s="14" t="str">
        <f>IF('Report-ConceptMap-2'!S131=0,"//---END",'Report-ConceptMap-2'!S131)</f>
        <v>//---END</v>
      </c>
    </row>
    <row r="256" spans="2:2" x14ac:dyDescent="0.75">
      <c r="B256" s="14" t="str">
        <f>IF('Report-ConceptMap-2'!S132=0,"//---END",'Report-ConceptMap-2'!S132)</f>
        <v>//---END</v>
      </c>
    </row>
    <row r="257" spans="2:2" x14ac:dyDescent="0.75">
      <c r="B257" s="14" t="str">
        <f>IF('Report-ConceptMap-2'!S133=0,"//---END",'Report-ConceptMap-2'!S133)</f>
        <v>//---END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1793"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7BFD2F-ED15-46F5-B2A4-3C2D2918CDCF}">
  <sheetPr codeName="Foglio25">
    <tabColor theme="7" tint="0.39997558519241921"/>
  </sheetPr>
  <dimension ref="A1:L33"/>
  <sheetViews>
    <sheetView workbookViewId="0"/>
  </sheetViews>
  <sheetFormatPr defaultRowHeight="14.75" x14ac:dyDescent="0.75"/>
  <cols>
    <col min="1" max="1" width="16.54296875" customWidth="1"/>
    <col min="2" max="2" width="59.5" customWidth="1"/>
    <col min="3" max="3" width="44.6328125" customWidth="1"/>
    <col min="4" max="4" width="71.58984375" style="1" bestFit="1" customWidth="1"/>
    <col min="5" max="5" width="10.816406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11" x14ac:dyDescent="0.75">
      <c r="I1" s="32" t="s">
        <v>37</v>
      </c>
    </row>
    <row r="2" spans="1:11" x14ac:dyDescent="0.75">
      <c r="I2" s="33" t="s">
        <v>36</v>
      </c>
    </row>
    <row r="3" spans="1:11" ht="15.5" thickBot="1" x14ac:dyDescent="0.9">
      <c r="I3" s="33" t="str">
        <f>I1</f>
        <v>// -------------------------------------------------------------------------------</v>
      </c>
    </row>
    <row r="4" spans="1:11" x14ac:dyDescent="0.75">
      <c r="A4" s="6" t="s">
        <v>14</v>
      </c>
      <c r="B4" s="17" t="s">
        <v>286</v>
      </c>
      <c r="I4" s="25" t="str">
        <f>CONCATENATE("Logical: ",B4)</f>
        <v>Logical: SubjectLabEhn</v>
      </c>
    </row>
    <row r="5" spans="1:11" x14ac:dyDescent="0.75">
      <c r="A5" s="18" t="s">
        <v>19</v>
      </c>
      <c r="B5" s="34" t="s">
        <v>12</v>
      </c>
      <c r="I5" s="25" t="str">
        <f>CONCATENATE("Id: ",B5)</f>
        <v>Id: Subject</v>
      </c>
    </row>
    <row r="6" spans="1:11" x14ac:dyDescent="0.75">
      <c r="A6" s="18" t="s">
        <v>13</v>
      </c>
      <c r="B6" s="19" t="s">
        <v>432</v>
      </c>
      <c r="I6" s="26" t="str">
        <f>CONCATENATE("Title: ##34#",B6,"##34#")</f>
        <v>Title: ##34#Subject of care (A1.1 - A1.2)##34#</v>
      </c>
    </row>
    <row r="7" spans="1:11" ht="15.5" thickBot="1" x14ac:dyDescent="0.9">
      <c r="A7" s="20" t="s">
        <v>5</v>
      </c>
      <c r="B7" s="21" t="s">
        <v>287</v>
      </c>
      <c r="C7" s="12" t="s">
        <v>6</v>
      </c>
      <c r="D7" s="2" t="s">
        <v>7</v>
      </c>
      <c r="E7" s="3" t="s">
        <v>8</v>
      </c>
      <c r="F7" s="3" t="s">
        <v>9</v>
      </c>
      <c r="G7" s="3" t="s">
        <v>10</v>
      </c>
      <c r="I7" s="26" t="str">
        <f>CONCATENATE("Description: "," ##334#",B7,"##334#",)</f>
        <v>Description:  ##334#Patient or Subject of care##334#</v>
      </c>
    </row>
    <row r="8" spans="1:11" ht="29.5" x14ac:dyDescent="0.75">
      <c r="A8" s="9">
        <v>1</v>
      </c>
      <c r="B8" s="9" t="s">
        <v>292</v>
      </c>
      <c r="C8" s="16" t="s">
        <v>309</v>
      </c>
      <c r="D8" s="14" t="s">
        <v>309</v>
      </c>
      <c r="E8" s="9">
        <v>1</v>
      </c>
      <c r="F8" s="9">
        <v>1</v>
      </c>
      <c r="G8" s="9" t="s">
        <v>4</v>
      </c>
      <c r="H8" s="23"/>
      <c r="I8" s="14" t="str">
        <f>CONCATENATE("* ",B8, " ",E8,"..",F8," ",G8," ##34#",C8,"##34# ##334#",D8,"##334#")</f>
        <v>* identification 1..1 BackboneElement ##34#A.1.1 Identification of the patient/subject##34# ##334#A.1.1 Identification of the patient/subject##334#</v>
      </c>
    </row>
    <row r="9" spans="1:11" ht="59" x14ac:dyDescent="0.75">
      <c r="A9" s="9">
        <v>2</v>
      </c>
      <c r="B9" s="9" t="s">
        <v>294</v>
      </c>
      <c r="C9" s="16" t="s">
        <v>308</v>
      </c>
      <c r="D9" s="14" t="s">
        <v>293</v>
      </c>
      <c r="E9" s="9">
        <v>0</v>
      </c>
      <c r="F9" s="9" t="s">
        <v>11</v>
      </c>
      <c r="G9" s="9" t="s">
        <v>3</v>
      </c>
      <c r="H9" s="23"/>
      <c r="I9" s="14" t="str">
        <f t="shared" ref="I9:I19" si="0">CONCATENATE("* ",B9, " ",E9,"..",F9," ",G9," ##34#",C9,"##34# ##334#",D9,"##334#")</f>
        <v>* identification.familyName 0..* string ##34#A.1.1.1 Familyname/surname##34# ##334#The family name/surname/last name of the patient. This field can contain more than one element or multiple fields could be present.##334#</v>
      </c>
    </row>
    <row r="10" spans="1:11" ht="44.25" x14ac:dyDescent="0.75">
      <c r="A10" s="9">
        <v>3</v>
      </c>
      <c r="B10" s="9" t="s">
        <v>295</v>
      </c>
      <c r="C10" s="16" t="s">
        <v>526</v>
      </c>
      <c r="D10" s="14" t="s">
        <v>310</v>
      </c>
      <c r="E10" s="9">
        <v>0</v>
      </c>
      <c r="F10" s="9" t="s">
        <v>11</v>
      </c>
      <c r="G10" s="9" t="s">
        <v>3</v>
      </c>
      <c r="H10" s="23"/>
      <c r="I10" s="14" t="str">
        <f t="shared" si="0"/>
        <v>* identification.givenName 0..* string ##34#A.1.1.2 Given name##34# ##334#The given name/first name of the patient (also known as forename or first name). This field can contain more than one element. ##334#</v>
      </c>
    </row>
    <row r="11" spans="1:11" ht="73.75" x14ac:dyDescent="0.75">
      <c r="A11" s="9">
        <v>4</v>
      </c>
      <c r="B11" s="9" t="s">
        <v>296</v>
      </c>
      <c r="C11" s="16" t="s">
        <v>527</v>
      </c>
      <c r="D11" s="14" t="s">
        <v>311</v>
      </c>
      <c r="E11" s="9">
        <v>0</v>
      </c>
      <c r="F11" s="9">
        <v>1</v>
      </c>
      <c r="G11" s="9" t="s">
        <v>2</v>
      </c>
      <c r="H11" s="23"/>
      <c r="I11" s="14" t="str">
        <f t="shared" si="0"/>
        <v>* identification.dateOfBirth 0..1 dateTime ##34#A.1.1.3 Date of birth##34# ##334#The date of birth of the patient [ISO TS 22220]. As age of the patient might be important for correct interpretation of the test result values, complete date of birth should be provided. - Preferred system(s): Complete date, without time, following the ISO 8601 ##334#</v>
      </c>
    </row>
    <row r="12" spans="1:11" ht="59" x14ac:dyDescent="0.75">
      <c r="A12" s="9">
        <v>5</v>
      </c>
      <c r="B12" s="9" t="s">
        <v>297</v>
      </c>
      <c r="C12" s="9" t="s">
        <v>528</v>
      </c>
      <c r="D12" s="14" t="s">
        <v>312</v>
      </c>
      <c r="E12" s="9">
        <v>0</v>
      </c>
      <c r="F12" s="9">
        <v>1</v>
      </c>
      <c r="G12" s="9" t="s">
        <v>0</v>
      </c>
      <c r="H12" s="23"/>
      <c r="I12" s="14" t="str">
        <f t="shared" si="0"/>
        <v>* identification.identifier 0..1 Identifier ##34#A.1.1.4 Personal identifier##34# ##334#An identifier of the patient that is unique within a defined scope. Example: National ID (birth number) for Czech patient. Multiple identifiers could be provided. ##334#</v>
      </c>
    </row>
    <row r="13" spans="1:11" ht="73.75" x14ac:dyDescent="0.75">
      <c r="A13" s="9">
        <v>6</v>
      </c>
      <c r="B13" s="9" t="s">
        <v>298</v>
      </c>
      <c r="C13" s="16" t="s">
        <v>288</v>
      </c>
      <c r="D13" s="14" t="s">
        <v>313</v>
      </c>
      <c r="E13" s="9">
        <v>0</v>
      </c>
      <c r="F13" s="9">
        <v>1</v>
      </c>
      <c r="G13" s="9" t="s">
        <v>1</v>
      </c>
      <c r="H13" s="23"/>
      <c r="I13" s="14" t="str">
        <f t="shared" si="0"/>
        <v>* identification.gender 0..1 CodeableConcept ##34#A.1.1.5 Gender##34# ##334#This field must contain a recognised valid value for 'administrative gender'. 
If different, 'physiological gender' should be communicated elsewhere
Preferred system(s): - Preferred system(s): HL7 Administrative Gender ##334#</v>
      </c>
    </row>
    <row r="14" spans="1:11" ht="44.25" x14ac:dyDescent="0.75">
      <c r="A14" s="9">
        <v>7</v>
      </c>
      <c r="B14" s="9" t="s">
        <v>637</v>
      </c>
      <c r="C14" s="16" t="s">
        <v>560</v>
      </c>
      <c r="D14" s="52" t="s">
        <v>560</v>
      </c>
      <c r="E14" s="9">
        <v>0</v>
      </c>
      <c r="F14" s="9" t="s">
        <v>11</v>
      </c>
      <c r="G14" s="9" t="s">
        <v>4</v>
      </c>
      <c r="H14" s="23"/>
      <c r="I14" s="14" t="str">
        <f t="shared" si="0"/>
        <v>* addressTelecom 0..* BackboneElement ##34#A.1.2 Patient/subject related contact information##34# ##334#A.1.2 Patient/subject related contact information##334#</v>
      </c>
    </row>
    <row r="15" spans="1:11" ht="103.25" x14ac:dyDescent="0.75">
      <c r="A15" s="9">
        <v>8</v>
      </c>
      <c r="B15" s="9" t="s">
        <v>638</v>
      </c>
      <c r="C15" s="9" t="s">
        <v>289</v>
      </c>
      <c r="D15" s="14" t="s">
        <v>314</v>
      </c>
      <c r="E15" s="9">
        <v>0</v>
      </c>
      <c r="F15" s="9" t="s">
        <v>11</v>
      </c>
      <c r="G15" s="9" t="s">
        <v>64</v>
      </c>
      <c r="H15" s="23"/>
      <c r="I15" s="14" t="str">
        <f t="shared" si="0"/>
        <v>* addressTelecom.address 0..* Address ##34#A.1.2.1 Address##34# ##334#Mailing and home or office addresses. The addresses are always sequences of address parts (e.g. street address line, country, ZIP code, city) even if postal address formats may vary depending on the country. An address may or may not include a specific use code; if this attribute is not present it is assumed to be the default address useful for any purpose. - Preferred system(s):  ISO 3166##334#</v>
      </c>
      <c r="J15" s="16"/>
      <c r="K15" s="9"/>
    </row>
    <row r="16" spans="1:11" ht="29.5" customHeight="1" x14ac:dyDescent="0.75">
      <c r="A16" s="9">
        <v>9</v>
      </c>
      <c r="B16" s="9" t="s">
        <v>639</v>
      </c>
      <c r="C16" s="9" t="s">
        <v>290</v>
      </c>
      <c r="D16" s="14" t="s">
        <v>291</v>
      </c>
      <c r="E16" s="9">
        <v>0</v>
      </c>
      <c r="F16" s="9" t="s">
        <v>11</v>
      </c>
      <c r="G16" s="53" t="s">
        <v>325</v>
      </c>
      <c r="H16" s="9"/>
      <c r="I16" s="14" t="str">
        <f t="shared" si="0"/>
        <v>* addressTelecom.telecom 0..* ContactPoint ##34#A.1.2.2 Telecom##34# ##334#Telecommunication contact information (addresses) associated to a person. Multiple telecommunication addresses might be provided. - Preferred system(s): ##334#</v>
      </c>
    </row>
    <row r="17" spans="2:9" x14ac:dyDescent="0.75">
      <c r="I17" s="14" t="str">
        <f t="shared" si="0"/>
        <v>*  ..  ##34###34# ##334###334#</v>
      </c>
    </row>
    <row r="18" spans="2:9" x14ac:dyDescent="0.75">
      <c r="I18" s="14" t="str">
        <f t="shared" si="0"/>
        <v>*  ..  ##34###34# ##334###334#</v>
      </c>
    </row>
    <row r="19" spans="2:9" x14ac:dyDescent="0.75">
      <c r="I19" s="14" t="str">
        <f t="shared" si="0"/>
        <v>*  ..  ##34###34# ##334###334#</v>
      </c>
    </row>
    <row r="20" spans="2:9" x14ac:dyDescent="0.75">
      <c r="I20"/>
    </row>
    <row r="21" spans="2:9" x14ac:dyDescent="0.75">
      <c r="B21" t="str">
        <f t="shared" ref="B21:B33" si="1">CONCATENATE(C21," ",D21)</f>
        <v xml:space="preserve"> </v>
      </c>
      <c r="I21"/>
    </row>
    <row r="22" spans="2:9" ht="15.5" thickBot="1" x14ac:dyDescent="0.9">
      <c r="B22" t="str">
        <f t="shared" si="1"/>
        <v xml:space="preserve"> </v>
      </c>
      <c r="I22"/>
    </row>
    <row r="23" spans="2:9" ht="16.75" thickBot="1" x14ac:dyDescent="0.9">
      <c r="C23" s="49" t="s">
        <v>309</v>
      </c>
      <c r="D23" s="49" t="s">
        <v>309</v>
      </c>
      <c r="E23" s="50"/>
      <c r="F23" s="51"/>
      <c r="I23"/>
    </row>
    <row r="24" spans="2:9" ht="256.75" thickBot="1" x14ac:dyDescent="0.9">
      <c r="B24" t="str">
        <f t="shared" si="1"/>
        <v>A.1.1.1 Family name/surname</v>
      </c>
      <c r="C24" s="36" t="s">
        <v>44</v>
      </c>
      <c r="D24" s="37" t="s">
        <v>45</v>
      </c>
      <c r="E24" s="37" t="s">
        <v>315</v>
      </c>
      <c r="F24" s="38"/>
      <c r="I24" s="1" t="str">
        <f t="shared" ref="I24:I33" si="2">CONCATENATE(E24," - Preferred system(s): ",F24)</f>
        <v xml:space="preserve">The family name/surname/last name of the patient. This field can contain more than one element or multiple fields could be present.  - Preferred system(s): </v>
      </c>
    </row>
    <row r="25" spans="2:9" ht="240.75" thickBot="1" x14ac:dyDescent="0.9">
      <c r="B25" t="str">
        <f t="shared" si="1"/>
        <v xml:space="preserve">A.1.1.2 Given name </v>
      </c>
      <c r="C25" s="36" t="s">
        <v>47</v>
      </c>
      <c r="D25" s="37" t="s">
        <v>316</v>
      </c>
      <c r="E25" s="37" t="s">
        <v>317</v>
      </c>
      <c r="F25" s="38"/>
      <c r="I25" s="1" t="str">
        <f t="shared" si="2"/>
        <v xml:space="preserve">The given name/first name of the patient (also known as forename or first name). This field can contain more than one element.   - Preferred system(s): </v>
      </c>
    </row>
    <row r="26" spans="2:9" ht="304.75" thickBot="1" x14ac:dyDescent="0.9">
      <c r="B26" t="str">
        <f t="shared" si="1"/>
        <v xml:space="preserve">A.1.1.3 Date of birth </v>
      </c>
      <c r="C26" s="36" t="s">
        <v>50</v>
      </c>
      <c r="D26" s="37" t="s">
        <v>318</v>
      </c>
      <c r="E26" s="37" t="s">
        <v>52</v>
      </c>
      <c r="F26" s="39" t="s">
        <v>319</v>
      </c>
      <c r="I26" s="1" t="str">
        <f t="shared" si="2"/>
        <v xml:space="preserve">The date of birth of the patient [ISO TS 22220]. As age of the patient might be important for correct interpretation of the test result values, complete date of birth should be provided. - Preferred system(s): Complete date, without time, following the ISO 8601 </v>
      </c>
    </row>
    <row r="27" spans="2:9" ht="304.75" thickBot="1" x14ac:dyDescent="0.9">
      <c r="B27" t="str">
        <f t="shared" si="1"/>
        <v xml:space="preserve">A.1.1.4 Personal identifier </v>
      </c>
      <c r="C27" s="36" t="s">
        <v>54</v>
      </c>
      <c r="D27" s="37" t="s">
        <v>320</v>
      </c>
      <c r="E27" s="37" t="s">
        <v>321</v>
      </c>
      <c r="F27" s="38"/>
      <c r="I27" s="1" t="str">
        <f t="shared" si="2"/>
        <v xml:space="preserve">An identifier of the patient that is unique within a defined scope. Example: National ID (birth number) for Czech patient. Multiple identifiers could be provided.   - Preferred system(s): </v>
      </c>
    </row>
    <row r="28" spans="2:9" ht="144" x14ac:dyDescent="0.75">
      <c r="B28" t="str">
        <f t="shared" si="1"/>
        <v>A.1.1.5 Gender</v>
      </c>
      <c r="C28" s="99" t="s">
        <v>57</v>
      </c>
      <c r="D28" s="99" t="s">
        <v>58</v>
      </c>
      <c r="E28" s="40" t="s">
        <v>59</v>
      </c>
      <c r="F28" s="102" t="s">
        <v>322</v>
      </c>
      <c r="I28" s="1" t="str">
        <f t="shared" si="2"/>
        <v xml:space="preserve">This field must contain a recognised valid value for "administrative gender". - Preferred system(s): HL7 Administrative Gender </v>
      </c>
    </row>
    <row r="29" spans="2:9" ht="14.75" customHeight="1" x14ac:dyDescent="0.75">
      <c r="B29" t="str">
        <f t="shared" si="1"/>
        <v xml:space="preserve"> </v>
      </c>
      <c r="C29" s="100"/>
      <c r="D29" s="100"/>
      <c r="E29" s="41"/>
      <c r="F29" s="103"/>
      <c r="I29" s="1" t="str">
        <f t="shared" si="2"/>
        <v xml:space="preserve"> - Preferred system(s): </v>
      </c>
    </row>
    <row r="30" spans="2:9" ht="30.25" customHeight="1" thickBot="1" x14ac:dyDescent="0.9">
      <c r="B30" t="str">
        <f t="shared" si="1"/>
        <v xml:space="preserve"> </v>
      </c>
      <c r="C30" s="101"/>
      <c r="D30" s="101"/>
      <c r="E30" s="37" t="s">
        <v>61</v>
      </c>
      <c r="F30" s="104"/>
      <c r="I30" s="1" t="str">
        <f t="shared" si="2"/>
        <v xml:space="preserve">If different, "physiological gender" should be communicated elsewhere. - Preferred system(s): </v>
      </c>
    </row>
    <row r="31" spans="2:9" ht="16.75" thickBot="1" x14ac:dyDescent="0.9">
      <c r="B31" t="str">
        <f t="shared" si="1"/>
        <v xml:space="preserve">A.1.2 Patient/subject related contact information   </v>
      </c>
      <c r="C31" s="91" t="s">
        <v>323</v>
      </c>
      <c r="D31" s="92"/>
      <c r="E31" s="92"/>
      <c r="F31" s="93"/>
      <c r="I31" s="1" t="str">
        <f t="shared" si="2"/>
        <v xml:space="preserve"> - Preferred system(s): </v>
      </c>
    </row>
    <row r="32" spans="2:9" ht="409.6" thickBot="1" x14ac:dyDescent="0.9">
      <c r="B32" t="str">
        <f t="shared" si="1"/>
        <v>A.1.2.1 Address</v>
      </c>
      <c r="C32" s="36" t="s">
        <v>63</v>
      </c>
      <c r="D32" s="37" t="s">
        <v>64</v>
      </c>
      <c r="E32" s="37" t="s">
        <v>65</v>
      </c>
      <c r="F32" s="39" t="s">
        <v>324</v>
      </c>
      <c r="I32" s="1" t="str">
        <f t="shared" si="2"/>
        <v>Mailing and home or office addresses. The addresses are always sequences of address parts (e.g. street address line, country, ZIP code, city) even if postal address formats may vary depending on the country. An address may or may not include a specific use code; if this attribute is not present it is assumed to be the default address useful for any purpose. - Preferred system(s):  ISO 3166</v>
      </c>
    </row>
    <row r="33" spans="2:9" ht="256.75" thickBot="1" x14ac:dyDescent="0.9">
      <c r="B33" t="str">
        <f t="shared" si="1"/>
        <v>A.1.2.2 Telecom</v>
      </c>
      <c r="C33" s="36" t="s">
        <v>67</v>
      </c>
      <c r="D33" s="37" t="s">
        <v>68</v>
      </c>
      <c r="E33" s="37" t="s">
        <v>69</v>
      </c>
      <c r="F33" s="42"/>
      <c r="I33" s="1" t="str">
        <f t="shared" si="2"/>
        <v xml:space="preserve">Telecommunication contact information (addresses) associated to a person. Multiple telecommunication addresses might be provided. - Preferred system(s): </v>
      </c>
    </row>
  </sheetData>
  <mergeCells count="4">
    <mergeCell ref="C28:C30"/>
    <mergeCell ref="D28:D30"/>
    <mergeCell ref="F28:F30"/>
    <mergeCell ref="C31:F31"/>
  </mergeCells>
  <pageMargins left="0.7" right="0.7" top="0.75" bottom="0.75" header="0.3" footer="0.3"/>
  <pageSetup paperSize="9"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4E6705-C34E-4051-A30B-55178BDD91CE}">
  <sheetPr codeName="Foglio28"/>
  <dimension ref="A1:O24"/>
  <sheetViews>
    <sheetView workbookViewId="0"/>
  </sheetViews>
  <sheetFormatPr defaultRowHeight="14.75" x14ac:dyDescent="0.75"/>
  <cols>
    <col min="2" max="2" width="31.6796875" bestFit="1" customWidth="1"/>
    <col min="3" max="3" width="72.1328125" customWidth="1"/>
    <col min="4" max="4" width="8.04296875" customWidth="1"/>
    <col min="5" max="5" width="71.58984375" style="1" customWidth="1"/>
    <col min="6" max="6" width="10.76953125" customWidth="1"/>
    <col min="7" max="7" width="45.26953125" customWidth="1"/>
  </cols>
  <sheetData>
    <row r="1" spans="1:15" x14ac:dyDescent="0.75">
      <c r="E1" s="24" t="s">
        <v>37</v>
      </c>
      <c r="H1" s="10"/>
      <c r="I1" s="10"/>
      <c r="J1" s="10"/>
      <c r="K1" s="10"/>
      <c r="L1" s="10"/>
      <c r="M1" s="10"/>
      <c r="N1" s="10"/>
      <c r="O1" s="10"/>
    </row>
    <row r="2" spans="1:15" x14ac:dyDescent="0.75">
      <c r="E2" s="31" t="s">
        <v>38</v>
      </c>
      <c r="H2" s="10"/>
      <c r="I2" s="10"/>
      <c r="J2" s="10"/>
      <c r="K2" s="10"/>
      <c r="L2" s="10"/>
      <c r="M2" s="10"/>
      <c r="N2" s="10"/>
      <c r="O2" s="10"/>
    </row>
    <row r="3" spans="1:15" ht="15.5" thickBot="1" x14ac:dyDescent="0.9">
      <c r="E3" s="31" t="str">
        <f>E1</f>
        <v>// -------------------------------------------------------------------------------</v>
      </c>
      <c r="H3" s="10"/>
      <c r="I3" s="10"/>
      <c r="J3" s="10"/>
      <c r="K3" s="10"/>
      <c r="L3" s="10"/>
      <c r="M3" s="10"/>
      <c r="N3" s="10"/>
      <c r="O3" s="10"/>
    </row>
    <row r="4" spans="1:15" ht="15.5" thickBot="1" x14ac:dyDescent="0.9">
      <c r="B4" s="13" t="s">
        <v>34</v>
      </c>
      <c r="C4" s="7" t="s">
        <v>327</v>
      </c>
      <c r="E4" s="28" t="str">
        <f>CONCATENATE("Mapping: ",C4)</f>
        <v>Mapping: eHNLabSubject2Fhir</v>
      </c>
      <c r="G4" t="s">
        <v>20</v>
      </c>
      <c r="H4" s="10"/>
      <c r="I4" s="10"/>
      <c r="J4" s="10"/>
      <c r="K4" s="10"/>
      <c r="L4" s="10"/>
      <c r="M4" s="10"/>
      <c r="N4" s="10"/>
      <c r="O4" s="10"/>
    </row>
    <row r="5" spans="1:15" ht="15.5" thickBot="1" x14ac:dyDescent="0.9">
      <c r="B5" s="13" t="s">
        <v>19</v>
      </c>
      <c r="C5" s="5" t="s">
        <v>16</v>
      </c>
      <c r="E5" s="29" t="str">
        <f>CONCATENATE("Id: ",C5)</f>
        <v>Id: fhir</v>
      </c>
      <c r="G5" s="1" t="s">
        <v>21</v>
      </c>
      <c r="H5" s="10"/>
      <c r="I5" s="10"/>
      <c r="J5" s="10"/>
      <c r="K5" s="10"/>
      <c r="L5" s="10"/>
      <c r="M5" s="10"/>
      <c r="N5" s="10"/>
      <c r="O5" s="10"/>
    </row>
    <row r="6" spans="1:15" ht="15.5" thickBot="1" x14ac:dyDescent="0.9">
      <c r="B6" s="13" t="s">
        <v>13</v>
      </c>
      <c r="C6" s="22" t="s">
        <v>356</v>
      </c>
      <c r="E6" s="29" t="str">
        <f>CONCATENATE("Title: ##34#",C6,"##34#")</f>
        <v>Title: ##34#eHN Lab Subject model to FHIR R4 Map##34#</v>
      </c>
      <c r="G6" s="1" t="s">
        <v>22</v>
      </c>
      <c r="H6" s="10"/>
      <c r="I6" s="10"/>
      <c r="J6" s="10"/>
      <c r="K6" s="10"/>
      <c r="L6" s="10"/>
      <c r="M6" s="10"/>
      <c r="N6" s="10"/>
      <c r="O6" s="10"/>
    </row>
    <row r="7" spans="1:15" ht="15.5" thickBot="1" x14ac:dyDescent="0.9">
      <c r="B7" s="13" t="s">
        <v>35</v>
      </c>
      <c r="C7" s="11" t="str">
        <f>B9</f>
        <v>Subject</v>
      </c>
      <c r="E7" s="29" t="str">
        <f>CONCATENATE("Source: ",C7)</f>
        <v>Source: Subject</v>
      </c>
      <c r="G7" s="1" t="s">
        <v>23</v>
      </c>
      <c r="H7" s="10"/>
      <c r="I7" s="10"/>
      <c r="J7" s="10"/>
      <c r="K7" s="10"/>
      <c r="L7" s="10"/>
      <c r="M7" s="10"/>
      <c r="N7" s="10"/>
      <c r="O7" s="10"/>
    </row>
    <row r="8" spans="1:15" ht="15.5" thickBot="1" x14ac:dyDescent="0.9">
      <c r="B8" s="27" t="s">
        <v>18</v>
      </c>
      <c r="C8" t="s">
        <v>15</v>
      </c>
      <c r="E8" s="30" t="str">
        <f>CONCATENATE("Target: ##34#",C8,"##34#")</f>
        <v>Target: ##34#hl7.org/fhir/r4##34#</v>
      </c>
      <c r="G8" s="1" t="s">
        <v>24</v>
      </c>
      <c r="H8" s="10"/>
      <c r="I8" s="10"/>
      <c r="J8" s="10"/>
      <c r="K8" s="10"/>
      <c r="L8" s="10"/>
      <c r="M8" s="10"/>
      <c r="N8" s="10"/>
      <c r="O8" s="10"/>
    </row>
    <row r="9" spans="1:15" ht="29.5" x14ac:dyDescent="0.75">
      <c r="A9" s="9"/>
      <c r="B9" s="9" t="str">
        <f>Subj!B5</f>
        <v>Subject</v>
      </c>
      <c r="C9" s="8" t="s">
        <v>299</v>
      </c>
      <c r="E9" s="4" t="str">
        <f>CONCATENATE("* -&gt; ##34#",C9,"##34#")</f>
        <v>* -&gt; ##34#Patient.conformsTo('http://hl7.eu/fhir/ig/xeh/StructureDefinition/Patient-eu-xeh')##34#</v>
      </c>
      <c r="H9" s="10"/>
      <c r="I9" s="10"/>
      <c r="J9" s="10"/>
      <c r="K9" s="10"/>
      <c r="L9" s="10"/>
      <c r="M9" s="10"/>
      <c r="N9" s="10"/>
      <c r="O9" s="10"/>
    </row>
    <row r="10" spans="1:15" x14ac:dyDescent="0.75">
      <c r="A10" s="9"/>
      <c r="B10" s="9" t="str">
        <f>Subj!B8</f>
        <v>identification</v>
      </c>
      <c r="C10" s="9" t="s">
        <v>17</v>
      </c>
      <c r="E10" s="14" t="str">
        <f>CONCATENATE("* ",B10," -&gt; ##34#",C10,"##34#")</f>
        <v>* identification -&gt; ##34#Patient##34#</v>
      </c>
      <c r="G10" s="1" t="s">
        <v>25</v>
      </c>
      <c r="H10" s="10"/>
      <c r="I10" s="10"/>
      <c r="J10" s="10"/>
      <c r="K10" s="10"/>
      <c r="L10" s="10"/>
      <c r="M10" s="10"/>
      <c r="N10" s="10"/>
      <c r="O10" s="10"/>
    </row>
    <row r="11" spans="1:15" x14ac:dyDescent="0.75">
      <c r="A11" s="9"/>
      <c r="B11" s="9" t="str">
        <f>Subj!B9</f>
        <v>identification.familyName</v>
      </c>
      <c r="C11" s="9" t="s">
        <v>300</v>
      </c>
      <c r="E11" s="14" t="str">
        <f t="shared" ref="E11:E20" si="0">CONCATENATE("* ",B11," -&gt; ##34#",C11,"##34#")</f>
        <v>* identification.familyName -&gt; ##34#Patient.name.family##34#</v>
      </c>
      <c r="G11" s="1" t="s">
        <v>26</v>
      </c>
      <c r="H11" s="10"/>
      <c r="I11" s="10"/>
      <c r="J11" s="10"/>
      <c r="K11" s="10"/>
      <c r="L11" s="10"/>
      <c r="M11" s="10"/>
      <c r="N11" s="10"/>
      <c r="O11" s="10"/>
    </row>
    <row r="12" spans="1:15" ht="44.25" x14ac:dyDescent="0.75">
      <c r="A12" s="9"/>
      <c r="B12" s="9" t="str">
        <f>Subj!B10</f>
        <v>identification.givenName</v>
      </c>
      <c r="C12" s="9" t="s">
        <v>301</v>
      </c>
      <c r="E12" s="14" t="str">
        <f t="shared" si="0"/>
        <v>* identification.givenName -&gt; ##34#Patient.name.given##34#</v>
      </c>
      <c r="G12" s="1" t="s">
        <v>27</v>
      </c>
      <c r="H12" s="10"/>
      <c r="I12" s="10"/>
      <c r="J12" s="10"/>
      <c r="K12" s="10"/>
      <c r="L12" s="10"/>
      <c r="M12" s="10"/>
      <c r="N12" s="10"/>
      <c r="O12" s="10"/>
    </row>
    <row r="13" spans="1:15" x14ac:dyDescent="0.75">
      <c r="A13" s="9"/>
      <c r="B13" s="9" t="str">
        <f>Subj!B11</f>
        <v>identification.dateOfBirth</v>
      </c>
      <c r="C13" s="9" t="s">
        <v>302</v>
      </c>
      <c r="E13" s="14" t="str">
        <f t="shared" si="0"/>
        <v>* identification.dateOfBirth -&gt; ##34#Patient.birthDate##34#</v>
      </c>
      <c r="G13" s="1" t="s">
        <v>28</v>
      </c>
      <c r="H13" s="10"/>
      <c r="I13" s="10"/>
      <c r="J13" s="10"/>
      <c r="K13" s="10"/>
      <c r="L13" s="10"/>
      <c r="M13" s="10"/>
      <c r="N13" s="10"/>
      <c r="O13" s="10"/>
    </row>
    <row r="14" spans="1:15" x14ac:dyDescent="0.75">
      <c r="A14" s="9"/>
      <c r="B14" s="9" t="str">
        <f>Subj!B12</f>
        <v>identification.identifier</v>
      </c>
      <c r="C14" s="9" t="s">
        <v>303</v>
      </c>
      <c r="E14" s="14" t="str">
        <f t="shared" si="0"/>
        <v>* identification.identifier -&gt; ##34#Patient.identifier##34#</v>
      </c>
      <c r="G14" s="1" t="s">
        <v>29</v>
      </c>
      <c r="H14" s="10"/>
      <c r="I14" s="10"/>
      <c r="J14" s="10"/>
      <c r="K14" s="10"/>
      <c r="L14" s="10"/>
      <c r="M14" s="10"/>
      <c r="N14" s="10"/>
      <c r="O14" s="10"/>
    </row>
    <row r="15" spans="1:15" ht="29.5" x14ac:dyDescent="0.75">
      <c r="A15" s="9"/>
      <c r="B15" s="9" t="str">
        <f>Subj!B13</f>
        <v>identification.gender</v>
      </c>
      <c r="C15" s="9" t="s">
        <v>304</v>
      </c>
      <c r="E15" s="14" t="str">
        <f t="shared" si="0"/>
        <v>* identification.gender -&gt; ##34#Patient.gender##34#</v>
      </c>
      <c r="G15" s="1" t="s">
        <v>30</v>
      </c>
      <c r="H15" s="10"/>
      <c r="I15" s="10"/>
      <c r="J15" s="10"/>
      <c r="K15" s="10"/>
      <c r="L15" s="10"/>
      <c r="M15" s="10"/>
      <c r="N15" s="10"/>
      <c r="O15" s="10"/>
    </row>
    <row r="16" spans="1:15" ht="29.5" x14ac:dyDescent="0.75">
      <c r="A16" s="9"/>
      <c r="B16" s="9" t="str">
        <f>Subj!B14</f>
        <v>addressTelecom</v>
      </c>
      <c r="C16" s="9" t="s">
        <v>306</v>
      </c>
      <c r="E16" s="14" t="str">
        <f t="shared" si="0"/>
        <v>* addressTelecom -&gt; ##34#Patient.address##34#</v>
      </c>
      <c r="G16" s="1" t="s">
        <v>31</v>
      </c>
      <c r="H16" s="10"/>
      <c r="I16" s="10"/>
      <c r="J16" s="10"/>
      <c r="K16" s="10"/>
      <c r="L16" s="10"/>
      <c r="M16" s="10"/>
      <c r="N16" s="10"/>
      <c r="O16" s="10"/>
    </row>
    <row r="17" spans="1:7" ht="29.5" x14ac:dyDescent="0.75">
      <c r="A17" s="9"/>
      <c r="B17" s="9" t="str">
        <f>Subj!B15</f>
        <v>addressTelecom.address</v>
      </c>
      <c r="C17" s="9" t="s">
        <v>304</v>
      </c>
      <c r="E17" s="14" t="str">
        <f t="shared" si="0"/>
        <v>* addressTelecom.address -&gt; ##34#Patient.gender##34#</v>
      </c>
      <c r="G17" s="1" t="s">
        <v>32</v>
      </c>
    </row>
    <row r="18" spans="1:7" x14ac:dyDescent="0.75">
      <c r="A18" s="9"/>
      <c r="B18" s="9" t="str">
        <f>Subj!B16</f>
        <v>addressTelecom.telecom</v>
      </c>
      <c r="C18" s="9" t="s">
        <v>305</v>
      </c>
      <c r="E18" s="14" t="str">
        <f t="shared" si="0"/>
        <v>* addressTelecom.telecom -&gt; ##34#Patient.telecom##34#</v>
      </c>
      <c r="G18" s="1" t="s">
        <v>33</v>
      </c>
    </row>
    <row r="19" spans="1:7" x14ac:dyDescent="0.75">
      <c r="A19" s="9"/>
      <c r="B19" s="9"/>
      <c r="C19" s="9"/>
      <c r="E19" s="14" t="str">
        <f t="shared" si="0"/>
        <v>*  -&gt; ##34###34#</v>
      </c>
    </row>
    <row r="20" spans="1:7" x14ac:dyDescent="0.75">
      <c r="A20" s="9"/>
      <c r="B20" s="9"/>
      <c r="C20" s="14"/>
      <c r="E20" s="14" t="str">
        <f t="shared" si="0"/>
        <v>*  -&gt; ##34###34#</v>
      </c>
    </row>
    <row r="21" spans="1:7" x14ac:dyDescent="0.75">
      <c r="B21" s="9"/>
    </row>
    <row r="22" spans="1:7" x14ac:dyDescent="0.75">
      <c r="B22" s="9"/>
    </row>
    <row r="24" spans="1:7" x14ac:dyDescent="0.75">
      <c r="E24" s="22"/>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2A63E1-2BF2-44D2-AEA5-338B14292A26}">
  <sheetPr codeName="Foglio7">
    <tabColor theme="8" tint="-0.249977111117893"/>
  </sheetPr>
  <dimension ref="C1:G50"/>
  <sheetViews>
    <sheetView workbookViewId="0"/>
  </sheetViews>
  <sheetFormatPr defaultRowHeight="14.75" x14ac:dyDescent="0.75"/>
  <cols>
    <col min="3" max="3" width="108.2265625" style="14" customWidth="1"/>
    <col min="7" max="7" width="23.90625" customWidth="1"/>
  </cols>
  <sheetData>
    <row r="1" spans="3:7" ht="15.5" thickBot="1" x14ac:dyDescent="0.9">
      <c r="C1" s="32" t="str">
        <f>Subj!I1</f>
        <v>// -------------------------------------------------------------------------------</v>
      </c>
    </row>
    <row r="2" spans="3:7" ht="16.75" thickBot="1" x14ac:dyDescent="0.9">
      <c r="C2" s="33" t="str">
        <f>Subj!I2</f>
        <v>//  Logical Model</v>
      </c>
      <c r="G2" s="56" t="s">
        <v>361</v>
      </c>
    </row>
    <row r="3" spans="3:7" x14ac:dyDescent="0.75">
      <c r="C3" s="33" t="str">
        <f>Subj!I3</f>
        <v>// -------------------------------------------------------------------------------</v>
      </c>
    </row>
    <row r="4" spans="3:7" x14ac:dyDescent="0.75">
      <c r="C4" s="25" t="str">
        <f>Subj!I4</f>
        <v>Logical: SubjectLabEhn</v>
      </c>
    </row>
    <row r="5" spans="3:7" x14ac:dyDescent="0.75">
      <c r="C5" s="25" t="str">
        <f>Subj!I5</f>
        <v>Id: Subject</v>
      </c>
    </row>
    <row r="6" spans="3:7" x14ac:dyDescent="0.75">
      <c r="C6" s="25" t="str">
        <f>Subj!I6</f>
        <v>Title: ##34#Subject of care (A1.1 - A1.2)##34#</v>
      </c>
    </row>
    <row r="7" spans="3:7" x14ac:dyDescent="0.75">
      <c r="C7" s="25" t="str">
        <f>Subj!I7</f>
        <v>Description:  ##334#Patient or Subject of care##334#</v>
      </c>
    </row>
    <row r="8" spans="3:7" ht="29.5" x14ac:dyDescent="0.75">
      <c r="C8" s="14" t="str">
        <f>IF(Subj!I8="*  ..  ##34###34# ##334###334#","//--- END",Subj!I8)</f>
        <v>* identification 1..1 BackboneElement ##34#A.1.1 Identification of the patient/subject##34# ##334#A.1.1 Identification of the patient/subject##334#</v>
      </c>
    </row>
    <row r="9" spans="3:7" ht="29.5" x14ac:dyDescent="0.75">
      <c r="C9" s="14" t="str">
        <f>IF(Subj!I9="*  ..  ##34###34# ##334###334#","//--- END",Subj!I9)</f>
        <v>* identification.familyName 0..* string ##34#A.1.1.1 Familyname/surname##34# ##334#The family name/surname/last name of the patient. This field can contain more than one element or multiple fields could be present.##334#</v>
      </c>
    </row>
    <row r="10" spans="3:7" ht="29.5" x14ac:dyDescent="0.75">
      <c r="C10" s="14" t="str">
        <f>IF(Subj!I10="*  ..  ##34###34# ##334###334#","//--- END",Subj!I10)</f>
        <v>* identification.givenName 0..* string ##34#A.1.1.2 Given name##34# ##334#The given name/first name of the patient (also known as forename or first name). This field can contain more than one element. ##334#</v>
      </c>
      <c r="E10" t="s">
        <v>307</v>
      </c>
    </row>
    <row r="11" spans="3:7" ht="44.25" x14ac:dyDescent="0.75">
      <c r="C11" s="14" t="str">
        <f>IF(Subj!I11="*  ..  ##34###34# ##334###334#","//--- END",Subj!I11)</f>
        <v>* identification.dateOfBirth 0..1 dateTime ##34#A.1.1.3 Date of birth##34# ##334#The date of birth of the patient [ISO TS 22220]. As age of the patient might be important for correct interpretation of the test result values, complete date of birth should be provided. - Preferred system(s): Complete date, without time, following the ISO 8601 ##334#</v>
      </c>
    </row>
    <row r="12" spans="3:7" ht="29.5" x14ac:dyDescent="0.75">
      <c r="C12" s="14" t="str">
        <f>IF(Subj!I12="*  ..  ##34###34# ##334###334#","//--- END",Subj!I12)</f>
        <v>* identification.identifier 0..1 Identifier ##34#A.1.1.4 Personal identifier##34# ##334#An identifier of the patient that is unique within a defined scope. Example: National ID (birth number) for Czech patient. Multiple identifiers could be provided. ##334#</v>
      </c>
    </row>
    <row r="13" spans="3:7" ht="59" x14ac:dyDescent="0.75">
      <c r="C13" s="14" t="str">
        <f>IF(Subj!I13="*  ..  ##34###34# ##334###334#","//--- END",Subj!I13)</f>
        <v>* identification.gender 0..1 CodeableConcept ##34#A.1.1.5 Gender##34# ##334#This field must contain a recognised valid value for 'administrative gender'. 
If different, 'physiological gender' should be communicated elsewhere
Preferred system(s): - Preferred system(s): HL7 Administrative Gender ##334#</v>
      </c>
    </row>
    <row r="14" spans="3:7" ht="29.5" x14ac:dyDescent="0.75">
      <c r="C14" s="14" t="str">
        <f>IF(Subj!I14="*  ..  ##34###34# ##334###334#","//--- END",Subj!I14)</f>
        <v>* addressTelecom 0..* BackboneElement ##34#A.1.2 Patient/subject related contact information##34# ##334#A.1.2 Patient/subject related contact information##334#</v>
      </c>
    </row>
    <row r="15" spans="3:7" ht="59" x14ac:dyDescent="0.75">
      <c r="C15" s="14" t="str">
        <f>IF(Subj!I15="*  ..  ##34###34# ##334###334#","//--- END",Subj!I15)</f>
        <v>* addressTelecom.address 0..* Address ##34#A.1.2.1 Address##34# ##334#Mailing and home or office addresses. The addresses are always sequences of address parts (e.g. street address line, country, ZIP code, city) even if postal address formats may vary depending on the country. An address may or may not include a specific use code; if this attribute is not present it is assumed to be the default address useful for any purpose. - Preferred system(s):  ISO 3166##334#</v>
      </c>
    </row>
    <row r="16" spans="3:7" ht="29.5" x14ac:dyDescent="0.75">
      <c r="C16" s="14" t="str">
        <f>IF(Subj!I16="*  ..  ##34###34# ##334###334#","//--- END",Subj!I16)</f>
        <v>* addressTelecom.telecom 0..* ContactPoint ##34#A.1.2.2 Telecom##34# ##334#Telecommunication contact information (addresses) associated to a person. Multiple telecommunication addresses might be provided. - Preferred system(s): ##334#</v>
      </c>
    </row>
    <row r="17" spans="3:3" x14ac:dyDescent="0.75">
      <c r="C17" s="14" t="str">
        <f>IF(Subj!I17="*  ..  ##34###34# ##334###334#","//--- END",Subj!I17)</f>
        <v>//--- END</v>
      </c>
    </row>
    <row r="18" spans="3:3" x14ac:dyDescent="0.75">
      <c r="C18" s="14" t="str">
        <f>IF(Subj!I18="*  ..  ##34###34# ##334###334#","//--- END",Subj!I18)</f>
        <v>//--- END</v>
      </c>
    </row>
    <row r="19" spans="3:3" x14ac:dyDescent="0.75">
      <c r="C19" s="14" t="str">
        <f>IF(Subj!I19="*  ..  ##34###34# ##334###334#","//--- END",Subj!I19)</f>
        <v>//--- END</v>
      </c>
    </row>
    <row r="30" spans="3:3" x14ac:dyDescent="0.75">
      <c r="C30" s="32" t="str">
        <f>'Subj-Map-1'!E1</f>
        <v>// -------------------------------------------------------------------------------</v>
      </c>
    </row>
    <row r="31" spans="3:3" x14ac:dyDescent="0.75">
      <c r="C31" s="33" t="str">
        <f>'Subj-Map-1'!E2</f>
        <v>//  Map to FHIR R4</v>
      </c>
    </row>
    <row r="32" spans="3:3" x14ac:dyDescent="0.75">
      <c r="C32" s="33" t="str">
        <f>'Subj-Map-1'!E3</f>
        <v>// -------------------------------------------------------------------------------</v>
      </c>
    </row>
    <row r="33" spans="3:7" x14ac:dyDescent="0.75">
      <c r="C33" s="14" t="str">
        <f>'Subj-Map-1'!E4</f>
        <v>Mapping: eHNLabSubject2Fhir</v>
      </c>
    </row>
    <row r="34" spans="3:7" x14ac:dyDescent="0.75">
      <c r="C34" s="14" t="str">
        <f>'Subj-Map-1'!E5</f>
        <v>Id: fhir</v>
      </c>
    </row>
    <row r="35" spans="3:7" x14ac:dyDescent="0.75">
      <c r="C35" s="14" t="str">
        <f>'Subj-Map-1'!E6</f>
        <v>Title: ##34#eHN Lab Subject model to FHIR R4 Map##34#</v>
      </c>
    </row>
    <row r="36" spans="3:7" x14ac:dyDescent="0.75">
      <c r="C36" s="14" t="str">
        <f>'Subj-Map-1'!E7</f>
        <v>Source: Subject</v>
      </c>
    </row>
    <row r="37" spans="3:7" x14ac:dyDescent="0.75">
      <c r="C37" s="14" t="str">
        <f>'Subj-Map-1'!E8</f>
        <v>Target: ##34#hl7.org/fhir/r4##34#</v>
      </c>
    </row>
    <row r="39" spans="3:7" x14ac:dyDescent="0.75">
      <c r="C39" s="14" t="str">
        <f>'Subj-Map-1'!E9</f>
        <v>* -&gt; ##34#Patient.conformsTo('http://hl7.eu/fhir/ig/xeh/StructureDefinition/Patient-eu-xeh')##34#</v>
      </c>
    </row>
    <row r="40" spans="3:7" x14ac:dyDescent="0.75">
      <c r="C40" s="14" t="str">
        <f>IF('Subj-Map-1'!E10="*  -&gt; ##34###34#","// --END",'Subj-Map-1'!E10)</f>
        <v>* identification -&gt; ##34#Patient##34#</v>
      </c>
    </row>
    <row r="41" spans="3:7" x14ac:dyDescent="0.75">
      <c r="C41" s="14" t="str">
        <f>IF('Subj-Map-1'!E11="*  -&gt; ##34###34#","// --END",'Subj-Map-1'!E11)</f>
        <v>* identification.familyName -&gt; ##34#Patient.name.family##34#</v>
      </c>
    </row>
    <row r="42" spans="3:7" x14ac:dyDescent="0.75">
      <c r="C42" s="14" t="str">
        <f>IF('Subj-Map-1'!E12="*  -&gt; ##34###34#","// --END",'Subj-Map-1'!E12)</f>
        <v>* identification.givenName -&gt; ##34#Patient.name.given##34#</v>
      </c>
    </row>
    <row r="43" spans="3:7" x14ac:dyDescent="0.75">
      <c r="C43" s="14" t="str">
        <f>IF('Subj-Map-1'!E13="*  -&gt; ##34###34#","// --END",'Subj-Map-1'!E13)</f>
        <v>* identification.dateOfBirth -&gt; ##34#Patient.birthDate##34#</v>
      </c>
    </row>
    <row r="44" spans="3:7" x14ac:dyDescent="0.75">
      <c r="C44" s="14" t="str">
        <f>IF('Subj-Map-1'!E14="*  -&gt; ##34###34#","// --END",'Subj-Map-1'!E14)</f>
        <v>* identification.identifier -&gt; ##34#Patient.identifier##34#</v>
      </c>
    </row>
    <row r="45" spans="3:7" x14ac:dyDescent="0.75">
      <c r="C45" s="14" t="str">
        <f>IF('Subj-Map-1'!E15="*  -&gt; ##34###34#","// --END",'Subj-Map-1'!E15)</f>
        <v>* identification.gender -&gt; ##34#Patient.gender##34#</v>
      </c>
    </row>
    <row r="46" spans="3:7" x14ac:dyDescent="0.75">
      <c r="C46" s="14" t="str">
        <f>IF('Subj-Map-1'!E16="*  -&gt; ##34###34#","// --END",'Subj-Map-1'!E16)</f>
        <v>* addressTelecom -&gt; ##34#Patient.address##34#</v>
      </c>
    </row>
    <row r="47" spans="3:7" x14ac:dyDescent="0.75">
      <c r="C47" s="14" t="str">
        <f>IF('Subj-Map-1'!E17="*  -&gt; ##34###34#","// --END",'Subj-Map-1'!E17)</f>
        <v>* addressTelecom.address -&gt; ##34#Patient.gender##34#</v>
      </c>
    </row>
    <row r="48" spans="3:7" x14ac:dyDescent="0.75">
      <c r="C48" s="14" t="str">
        <f>IF('Subj-Map-1'!E18="*  -&gt; ##34###34#","// --END",'Subj-Map-1'!E18)</f>
        <v>* addressTelecom.telecom -&gt; ##34#Patient.telecom##34#</v>
      </c>
      <c r="G48" s="10"/>
    </row>
    <row r="49" spans="3:3" x14ac:dyDescent="0.75">
      <c r="C49" s="14" t="str">
        <f>IF('Subj-Map-1'!E19="*  -&gt; ##34###34#","// --END",'Subj-Map-1'!E19)</f>
        <v>// --END</v>
      </c>
    </row>
    <row r="50" spans="3:3" x14ac:dyDescent="0.75">
      <c r="C50" s="14" t="str">
        <f>IF('Subj-Map-1'!E20="*  -&gt; ##34###34#","// --END",'Subj-Map-1'!E20)</f>
        <v>// --END</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482" r:id="rId3"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808AF1-8712-4386-9423-91763C6BCF60}">
  <sheetPr codeName="Foglio47">
    <tabColor theme="0" tint="-0.499984740745262"/>
  </sheetPr>
  <dimension ref="A2:S190"/>
  <sheetViews>
    <sheetView topLeftCell="G1" workbookViewId="0">
      <selection activeCell="K15" sqref="K15"/>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73" t="s">
        <v>34</v>
      </c>
      <c r="C3" s="54" t="s">
        <v>782</v>
      </c>
      <c r="D3" s="73" t="s">
        <v>688</v>
      </c>
      <c r="E3" s="111" t="s">
        <v>710</v>
      </c>
      <c r="F3" s="111"/>
      <c r="G3" s="111"/>
    </row>
    <row r="4" spans="1:19" x14ac:dyDescent="0.75">
      <c r="B4" s="73" t="s">
        <v>19</v>
      </c>
      <c r="C4" s="54" t="s">
        <v>720</v>
      </c>
      <c r="D4" s="73" t="s">
        <v>689</v>
      </c>
      <c r="E4" s="111" t="s">
        <v>711</v>
      </c>
      <c r="F4" s="111"/>
      <c r="G4" s="111"/>
    </row>
    <row r="5" spans="1:19" x14ac:dyDescent="0.75">
      <c r="B5" s="73" t="s">
        <v>13</v>
      </c>
      <c r="C5" s="10" t="s">
        <v>719</v>
      </c>
      <c r="D5" s="73"/>
      <c r="E5" s="10"/>
    </row>
    <row r="6" spans="1:19" x14ac:dyDescent="0.75">
      <c r="B6" s="73" t="s">
        <v>35</v>
      </c>
      <c r="C6" s="72" t="s">
        <v>678</v>
      </c>
      <c r="D6" s="73" t="s">
        <v>685</v>
      </c>
      <c r="E6" s="111" t="s">
        <v>710</v>
      </c>
      <c r="F6" s="111"/>
      <c r="G6" s="111"/>
    </row>
    <row r="7" spans="1:19" x14ac:dyDescent="0.75">
      <c r="B7" s="73" t="s">
        <v>18</v>
      </c>
      <c r="C7" s="80" t="s">
        <v>681</v>
      </c>
      <c r="D7" s="73" t="s">
        <v>686</v>
      </c>
      <c r="E7" s="111" t="s">
        <v>711</v>
      </c>
      <c r="F7" s="111"/>
      <c r="G7" s="111"/>
    </row>
    <row r="8" spans="1:19" ht="44.25" x14ac:dyDescent="0.75">
      <c r="B8" s="73" t="s">
        <v>679</v>
      </c>
      <c r="C8" s="10" t="s">
        <v>721</v>
      </c>
      <c r="D8" s="73"/>
      <c r="E8" s="10"/>
      <c r="I8" s="14" t="s">
        <v>647</v>
      </c>
      <c r="J8" s="14" t="s">
        <v>648</v>
      </c>
      <c r="K8" s="14" t="s">
        <v>649</v>
      </c>
      <c r="L8" s="14" t="s">
        <v>650</v>
      </c>
      <c r="M8" s="9" t="s">
        <v>651</v>
      </c>
      <c r="P8" s="69" t="s">
        <v>652</v>
      </c>
      <c r="Q8" s="69">
        <v>6</v>
      </c>
    </row>
    <row r="9" spans="1:19" ht="29.5" x14ac:dyDescent="0.75">
      <c r="B9" s="73" t="s">
        <v>680</v>
      </c>
      <c r="C9" s="1" t="s">
        <v>722</v>
      </c>
      <c r="D9" s="73"/>
      <c r="E9"/>
      <c r="I9" s="14"/>
      <c r="J9" s="9"/>
      <c r="K9" s="9"/>
      <c r="L9" s="9"/>
      <c r="M9" s="9"/>
    </row>
    <row r="10" spans="1:19" x14ac:dyDescent="0.75">
      <c r="B10" s="73"/>
      <c r="D10" s="73"/>
      <c r="E10"/>
      <c r="I10" s="14"/>
      <c r="J10" s="9"/>
      <c r="K10" s="9"/>
      <c r="L10" s="9"/>
      <c r="M10" s="9"/>
    </row>
    <row r="11" spans="1:19" x14ac:dyDescent="0.75">
      <c r="E11" s="10"/>
      <c r="I11" s="25" t="s">
        <v>653</v>
      </c>
      <c r="J11" s="70" t="s">
        <v>654</v>
      </c>
      <c r="K11" s="25" t="s">
        <v>655</v>
      </c>
      <c r="L11" s="70" t="s">
        <v>656</v>
      </c>
      <c r="M11" s="71" t="s">
        <v>657</v>
      </c>
      <c r="N11" s="74" t="s">
        <v>644</v>
      </c>
    </row>
    <row r="12" spans="1:19" x14ac:dyDescent="0.75">
      <c r="E12" s="72"/>
      <c r="I12" s="14"/>
      <c r="J12" s="9"/>
      <c r="K12" s="9"/>
      <c r="L12" s="9"/>
      <c r="M12" s="9"/>
    </row>
    <row r="13" spans="1:19" x14ac:dyDescent="0.75">
      <c r="D13" s="14"/>
      <c r="E13" s="9"/>
      <c r="F13" s="71" t="s">
        <v>657</v>
      </c>
      <c r="G13" s="74" t="s">
        <v>644</v>
      </c>
      <c r="H13" s="74"/>
      <c r="I13" s="14"/>
      <c r="J13" s="9"/>
      <c r="K13" s="71"/>
      <c r="L13" s="71"/>
      <c r="M13" s="71"/>
      <c r="N13" s="74"/>
    </row>
    <row r="14" spans="1:19" x14ac:dyDescent="0.75">
      <c r="A14" s="23"/>
      <c r="B14" s="8" t="str">
        <f>Subj!B5</f>
        <v>Subject</v>
      </c>
      <c r="C14" s="9"/>
      <c r="D14" s="4" t="s">
        <v>17</v>
      </c>
      <c r="E14" s="8"/>
      <c r="F14" s="9"/>
      <c r="G14" s="9"/>
      <c r="I14" s="14"/>
      <c r="J14" s="9"/>
      <c r="K14" s="9"/>
      <c r="L14" s="9"/>
      <c r="M14" s="71"/>
      <c r="N14" s="74"/>
    </row>
    <row r="15" spans="1:19" ht="44.25" x14ac:dyDescent="0.75">
      <c r="A15" s="23"/>
      <c r="B15" s="9" t="str">
        <f>Subj!B8</f>
        <v>identification</v>
      </c>
      <c r="C15" s="9" t="str">
        <f>Subj!C8</f>
        <v>A.1.1 Identification of the patient/subject</v>
      </c>
      <c r="D15" s="14"/>
      <c r="E15" s="62"/>
      <c r="F15" s="75" t="s">
        <v>659</v>
      </c>
      <c r="G15" s="75"/>
      <c r="H15" s="76"/>
      <c r="I15" s="14" t="str">
        <f>"* group[=].element[+].code = #"&amp;$B$14&amp;"."&amp;B15</f>
        <v>* group[=].element[+].code = #Subject.identification</v>
      </c>
      <c r="J15" s="14" t="str">
        <f t="shared" ref="J15" si="0">"* group[=].element[=].display = ##34#"&amp;C15&amp;"##34#"</f>
        <v>* group[=].element[=].display = ##34#A.1.1 Identification of the patient/subject##34#</v>
      </c>
      <c r="K15" s="14" t="str">
        <f>IF(F15="unmatched","//-- unmatched",IF(D15="","* group[=].element[=].target.code = #"&amp;$D$14,"* group[=].element[=].target.code = #"&amp;$D$14&amp;"."&amp;D15))</f>
        <v>* group[=].element[=].target.code = #Patient</v>
      </c>
      <c r="L15" s="14" t="str">
        <f t="shared" ref="L15" si="1">IF(F15="unmatched","//-- unmatched","* group[=].element[=].target.display = ##34#"&amp;E15&amp;"##34#")</f>
        <v>* group[=].element[=].target.display = ##34###34#</v>
      </c>
      <c r="M15" s="14" t="str">
        <f t="shared" ref="M15" si="2">"* group[=].element[=].target.equivalence = #"&amp;F15</f>
        <v>* group[=].element[=].target.equivalence = #relatedto</v>
      </c>
      <c r="N15" s="4" t="str">
        <f t="shared" ref="N15:N23" si="3">IF(G15&lt;&gt;"",CONCATENATE("* group[=].element[=].target.comment = ","##34#",G15,"##34#"),"")</f>
        <v/>
      </c>
      <c r="P15" s="9">
        <v>1</v>
      </c>
      <c r="Q15" s="9">
        <f>IF(MOD(P15,$Q$8)=0,P15/$Q$8-1,INT(P15/$Q$8))</f>
        <v>0</v>
      </c>
      <c r="R15" s="9">
        <f>IF(MOD(P15,$Q$8)=0,$Q$8,MOD(P15,$Q$8))</f>
        <v>1</v>
      </c>
      <c r="S15" s="14" t="str" cm="1">
        <f t="array" ref="S15">INDEX('Subj-ConceptMap-1'!$I$15:$N$270,Q15+1,R15)</f>
        <v>* group[=].element[+].code = #Subject.identification</v>
      </c>
    </row>
    <row r="16" spans="1:19" ht="44.25" x14ac:dyDescent="0.75">
      <c r="A16" s="23"/>
      <c r="B16" s="9" t="str">
        <f>Subj!B9</f>
        <v>identification.familyName</v>
      </c>
      <c r="C16" s="9" t="str">
        <f>Subj!C9</f>
        <v>A.1.1.1 Familyname/surname</v>
      </c>
      <c r="D16" s="9" t="s">
        <v>712</v>
      </c>
      <c r="E16" s="9"/>
      <c r="F16" s="75" t="s">
        <v>658</v>
      </c>
      <c r="G16" s="75"/>
      <c r="H16" s="76"/>
      <c r="I16" s="14" t="str">
        <f t="shared" ref="I16:I23" si="4">"* group[=].element[+].code = #"&amp;$B$14&amp;"."&amp;B16</f>
        <v>* group[=].element[+].code = #Subject.identification.familyName</v>
      </c>
      <c r="J16" s="14" t="str">
        <f t="shared" ref="J16:J23" si="5">"* group[=].element[=].display = ##34#"&amp;C16&amp;"##34#"</f>
        <v>* group[=].element[=].display = ##34#A.1.1.1 Familyname/surname##34#</v>
      </c>
      <c r="K16" s="14" t="str">
        <f t="shared" ref="K16:K23" si="6">IF(F16="unmatched","//-- unmatched",IF(D16="","* group[=].element[=].target.code = #"&amp;$D$14,"* group[=].element[=].target.code = #"&amp;$D$14&amp;"."&amp;D16))</f>
        <v>* group[=].element[=].target.code = #Patient.name.family</v>
      </c>
      <c r="L16" s="14" t="str">
        <f t="shared" ref="L16:L23" si="7">IF(F16="unmatched","//-- unmatched","* group[=].element[=].target.display = ##34#"&amp;E16&amp;"##34#")</f>
        <v>* group[=].element[=].target.display = ##34###34#</v>
      </c>
      <c r="M16" s="14" t="str">
        <f t="shared" ref="M16:M23" si="8">"* group[=].element[=].target.equivalence = #"&amp;F16</f>
        <v>* group[=].element[=].target.equivalence = #equivalent</v>
      </c>
      <c r="N16" s="14" t="str">
        <f t="shared" si="3"/>
        <v/>
      </c>
      <c r="P16" s="9">
        <v>2</v>
      </c>
      <c r="Q16" s="9">
        <f t="shared" ref="Q16:Q23" si="9">IF(MOD(P16,$Q$8)=0,P16/$Q$8-1,INT(P16/$Q$8))</f>
        <v>0</v>
      </c>
      <c r="R16" s="9">
        <f t="shared" ref="R16:R23" si="10">IF(MOD(P16,$Q$8)=0,$Q$8,MOD(P16,$Q$8))</f>
        <v>2</v>
      </c>
      <c r="S16" s="14" t="str" cm="1">
        <f t="array" ref="S16">INDEX('Subj-ConceptMap-1'!$I$15:$N$270,Q16+1,R16)</f>
        <v>* group[=].element[=].display = ##34#A.1.1 Identification of the patient/subject##34#</v>
      </c>
    </row>
    <row r="17" spans="1:19" ht="44.25" x14ac:dyDescent="0.75">
      <c r="A17" s="23"/>
      <c r="B17" s="9" t="str">
        <f>Subj!B10</f>
        <v>identification.givenName</v>
      </c>
      <c r="C17" s="9" t="str">
        <f>Subj!C10</f>
        <v>A.1.1.2 Given name</v>
      </c>
      <c r="D17" s="9" t="s">
        <v>713</v>
      </c>
      <c r="E17" s="9"/>
      <c r="F17" s="75" t="s">
        <v>658</v>
      </c>
      <c r="G17" s="75"/>
      <c r="H17" s="76"/>
      <c r="I17" s="14" t="str">
        <f t="shared" si="4"/>
        <v>* group[=].element[+].code = #Subject.identification.givenName</v>
      </c>
      <c r="J17" s="14" t="str">
        <f t="shared" si="5"/>
        <v>* group[=].element[=].display = ##34#A.1.1.2 Given name##34#</v>
      </c>
      <c r="K17" s="14" t="str">
        <f t="shared" si="6"/>
        <v>* group[=].element[=].target.code = #Patient.name.given</v>
      </c>
      <c r="L17" s="14" t="str">
        <f t="shared" si="7"/>
        <v>* group[=].element[=].target.display = ##34###34#</v>
      </c>
      <c r="M17" s="14" t="str">
        <f t="shared" si="8"/>
        <v>* group[=].element[=].target.equivalence = #equivalent</v>
      </c>
      <c r="N17" s="14" t="str">
        <f t="shared" si="3"/>
        <v/>
      </c>
      <c r="P17" s="9">
        <v>3</v>
      </c>
      <c r="Q17" s="9">
        <f t="shared" si="9"/>
        <v>0</v>
      </c>
      <c r="R17" s="9">
        <f t="shared" si="10"/>
        <v>3</v>
      </c>
      <c r="S17" s="14" t="str" cm="1">
        <f t="array" ref="S17">INDEX('Subj-ConceptMap-1'!$I$15:$N$270,Q17+1,R17)</f>
        <v>* group[=].element[=].target.code = #Patient</v>
      </c>
    </row>
    <row r="18" spans="1:19" ht="44.25" x14ac:dyDescent="0.75">
      <c r="A18" s="23"/>
      <c r="B18" s="9" t="str">
        <f>Subj!B11</f>
        <v>identification.dateOfBirth</v>
      </c>
      <c r="C18" s="9" t="str">
        <f>Subj!C11</f>
        <v>A.1.1.3 Date of birth</v>
      </c>
      <c r="D18" s="9" t="s">
        <v>714</v>
      </c>
      <c r="E18" s="9"/>
      <c r="F18" s="75" t="s">
        <v>658</v>
      </c>
      <c r="G18" s="75"/>
      <c r="H18" s="76"/>
      <c r="I18" s="14" t="str">
        <f t="shared" si="4"/>
        <v>* group[=].element[+].code = #Subject.identification.dateOfBirth</v>
      </c>
      <c r="J18" s="14" t="str">
        <f t="shared" si="5"/>
        <v>* group[=].element[=].display = ##34#A.1.1.3 Date of birth##34#</v>
      </c>
      <c r="K18" s="14" t="str">
        <f t="shared" si="6"/>
        <v>* group[=].element[=].target.code = #Patient.birthDate</v>
      </c>
      <c r="L18" s="14" t="str">
        <f t="shared" si="7"/>
        <v>* group[=].element[=].target.display = ##34###34#</v>
      </c>
      <c r="M18" s="14" t="str">
        <f t="shared" si="8"/>
        <v>* group[=].element[=].target.equivalence = #equivalent</v>
      </c>
      <c r="N18" s="14" t="str">
        <f t="shared" si="3"/>
        <v/>
      </c>
      <c r="P18" s="9">
        <v>4</v>
      </c>
      <c r="Q18" s="9">
        <f t="shared" si="9"/>
        <v>0</v>
      </c>
      <c r="R18" s="9">
        <f t="shared" si="10"/>
        <v>4</v>
      </c>
      <c r="S18" s="14" t="str" cm="1">
        <f t="array" ref="S18">INDEX('Subj-ConceptMap-1'!$I$15:$N$270,Q18+1,R18)</f>
        <v>* group[=].element[=].target.display = ##34###34#</v>
      </c>
    </row>
    <row r="19" spans="1:19" ht="44.25" x14ac:dyDescent="0.75">
      <c r="A19" s="23"/>
      <c r="B19" s="9" t="str">
        <f>Subj!B12</f>
        <v>identification.identifier</v>
      </c>
      <c r="C19" s="9" t="str">
        <f>Subj!C12</f>
        <v>A.1.1.4 Personal identifier</v>
      </c>
      <c r="D19" s="9" t="s">
        <v>367</v>
      </c>
      <c r="E19" s="9"/>
      <c r="F19" s="75" t="s">
        <v>658</v>
      </c>
      <c r="G19" s="75"/>
      <c r="H19" s="76"/>
      <c r="I19" s="14" t="str">
        <f t="shared" si="4"/>
        <v>* group[=].element[+].code = #Subject.identification.identifier</v>
      </c>
      <c r="J19" s="14" t="str">
        <f t="shared" si="5"/>
        <v>* group[=].element[=].display = ##34#A.1.1.4 Personal identifier##34#</v>
      </c>
      <c r="K19" s="14" t="str">
        <f t="shared" si="6"/>
        <v>* group[=].element[=].target.code = #Patient.identifier</v>
      </c>
      <c r="L19" s="14" t="str">
        <f t="shared" si="7"/>
        <v>* group[=].element[=].target.display = ##34###34#</v>
      </c>
      <c r="M19" s="14" t="str">
        <f t="shared" si="8"/>
        <v>* group[=].element[=].target.equivalence = #equivalent</v>
      </c>
      <c r="N19" s="14" t="str">
        <f t="shared" si="3"/>
        <v/>
      </c>
      <c r="P19" s="9">
        <v>5</v>
      </c>
      <c r="Q19" s="9">
        <f t="shared" si="9"/>
        <v>0</v>
      </c>
      <c r="R19" s="9">
        <f t="shared" si="10"/>
        <v>5</v>
      </c>
      <c r="S19" s="14" t="str" cm="1">
        <f t="array" ref="S19">INDEX('Subj-ConceptMap-1'!$I$15:$N$270,Q19+1,R19)</f>
        <v>* group[=].element[=].target.equivalence = #relatedto</v>
      </c>
    </row>
    <row r="20" spans="1:19" ht="44.25" x14ac:dyDescent="0.75">
      <c r="A20" s="23"/>
      <c r="B20" s="9" t="str">
        <f>Subj!B13</f>
        <v>identification.gender</v>
      </c>
      <c r="C20" s="9" t="str">
        <f>Subj!C13</f>
        <v>A.1.1.5 Gender</v>
      </c>
      <c r="D20" s="9" t="s">
        <v>715</v>
      </c>
      <c r="E20" s="9"/>
      <c r="F20" s="75" t="s">
        <v>658</v>
      </c>
      <c r="G20" s="75"/>
      <c r="H20" s="76"/>
      <c r="I20" s="14" t="str">
        <f t="shared" si="4"/>
        <v>* group[=].element[+].code = #Subject.identification.gender</v>
      </c>
      <c r="J20" s="14" t="str">
        <f t="shared" si="5"/>
        <v>* group[=].element[=].display = ##34#A.1.1.5 Gender##34#</v>
      </c>
      <c r="K20" s="14" t="str">
        <f t="shared" si="6"/>
        <v>* group[=].element[=].target.code = #Patient.gender</v>
      </c>
      <c r="L20" s="14" t="str">
        <f t="shared" si="7"/>
        <v>* group[=].element[=].target.display = ##34###34#</v>
      </c>
      <c r="M20" s="14" t="str">
        <f t="shared" si="8"/>
        <v>* group[=].element[=].target.equivalence = #equivalent</v>
      </c>
      <c r="N20" s="14" t="str">
        <f t="shared" si="3"/>
        <v/>
      </c>
      <c r="P20" s="9">
        <v>6</v>
      </c>
      <c r="Q20" s="9">
        <f t="shared" si="9"/>
        <v>0</v>
      </c>
      <c r="R20" s="9">
        <f t="shared" si="10"/>
        <v>6</v>
      </c>
      <c r="S20" s="14" t="str" cm="1">
        <f t="array" ref="S20">INDEX('Subj-ConceptMap-1'!$I$15:$N$270,Q20+1,R20)</f>
        <v/>
      </c>
    </row>
    <row r="21" spans="1:19" ht="44.25" x14ac:dyDescent="0.75">
      <c r="A21" s="23"/>
      <c r="B21" s="9" t="str">
        <f>Subj!B14</f>
        <v>addressTelecom</v>
      </c>
      <c r="C21" s="9" t="str">
        <f>Subj!C14</f>
        <v>A.1.2 Patient/subject related contact information</v>
      </c>
      <c r="D21" s="14" t="s">
        <v>692</v>
      </c>
      <c r="E21" s="9"/>
      <c r="F21" s="75" t="s">
        <v>659</v>
      </c>
      <c r="G21" s="75"/>
      <c r="H21" s="76"/>
      <c r="I21" s="14" t="str">
        <f t="shared" si="4"/>
        <v>* group[=].element[+].code = #Subject.addressTelecom</v>
      </c>
      <c r="J21" s="14" t="str">
        <f t="shared" si="5"/>
        <v>* group[=].element[=].display = ##34#A.1.2 Patient/subject related contact information##34#</v>
      </c>
      <c r="K21" s="14" t="str">
        <f t="shared" si="6"/>
        <v>* group[=].element[=].target.code = #Patient.$this</v>
      </c>
      <c r="L21" s="14" t="str">
        <f t="shared" si="7"/>
        <v>* group[=].element[=].target.display = ##34###34#</v>
      </c>
      <c r="M21" s="14" t="str">
        <f t="shared" si="8"/>
        <v>* group[=].element[=].target.equivalence = #relatedto</v>
      </c>
      <c r="N21" s="14" t="str">
        <f t="shared" si="3"/>
        <v/>
      </c>
      <c r="P21" s="9">
        <v>7</v>
      </c>
      <c r="Q21" s="9">
        <f t="shared" si="9"/>
        <v>1</v>
      </c>
      <c r="R21" s="9">
        <f t="shared" si="10"/>
        <v>1</v>
      </c>
      <c r="S21" s="14" t="str" cm="1">
        <f t="array" ref="S21">INDEX('Subj-ConceptMap-1'!$I$15:$N$270,Q21+1,R21)</f>
        <v>* group[=].element[+].code = #Subject.identification.familyName</v>
      </c>
    </row>
    <row r="22" spans="1:19" ht="44.25" x14ac:dyDescent="0.75">
      <c r="A22" s="23"/>
      <c r="B22" s="9" t="str">
        <f>Subj!B15</f>
        <v>addressTelecom.address</v>
      </c>
      <c r="C22" s="9" t="str">
        <f>Subj!C15</f>
        <v>A.1.2.1 Address</v>
      </c>
      <c r="D22" s="9" t="s">
        <v>716</v>
      </c>
      <c r="E22" s="9"/>
      <c r="F22" s="75" t="s">
        <v>658</v>
      </c>
      <c r="G22" s="75"/>
      <c r="H22" s="76"/>
      <c r="I22" s="14" t="str">
        <f t="shared" si="4"/>
        <v>* group[=].element[+].code = #Subject.addressTelecom.address</v>
      </c>
      <c r="J22" s="14" t="str">
        <f t="shared" si="5"/>
        <v>* group[=].element[=].display = ##34#A.1.2.1 Address##34#</v>
      </c>
      <c r="K22" s="14" t="str">
        <f t="shared" si="6"/>
        <v>* group[=].element[=].target.code = #Patient.address</v>
      </c>
      <c r="L22" s="14" t="str">
        <f t="shared" si="7"/>
        <v>* group[=].element[=].target.display = ##34###34#</v>
      </c>
      <c r="M22" s="14" t="str">
        <f t="shared" si="8"/>
        <v>* group[=].element[=].target.equivalence = #equivalent</v>
      </c>
      <c r="N22" s="14" t="str">
        <f t="shared" si="3"/>
        <v/>
      </c>
      <c r="P22" s="9">
        <v>8</v>
      </c>
      <c r="Q22" s="9">
        <f t="shared" si="9"/>
        <v>1</v>
      </c>
      <c r="R22" s="9">
        <f t="shared" si="10"/>
        <v>2</v>
      </c>
      <c r="S22" s="14" t="str" cm="1">
        <f t="array" ref="S22">INDEX('Subj-ConceptMap-1'!$I$15:$N$270,Q22+1,R22)</f>
        <v>* group[=].element[=].display = ##34#A.1.1.1 Familyname/surname##34#</v>
      </c>
    </row>
    <row r="23" spans="1:19" ht="44.25" x14ac:dyDescent="0.75">
      <c r="A23" s="23"/>
      <c r="B23" s="9" t="str">
        <f>Subj!B16</f>
        <v>addressTelecom.telecom</v>
      </c>
      <c r="C23" s="9" t="str">
        <f>Subj!C16</f>
        <v>A.1.2.2 Telecom</v>
      </c>
      <c r="D23" s="9" t="s">
        <v>717</v>
      </c>
      <c r="E23" s="14"/>
      <c r="F23" s="75" t="s">
        <v>658</v>
      </c>
      <c r="G23" s="75"/>
      <c r="H23" s="76"/>
      <c r="I23" s="14" t="str">
        <f t="shared" si="4"/>
        <v>* group[=].element[+].code = #Subject.addressTelecom.telecom</v>
      </c>
      <c r="J23" s="14" t="str">
        <f t="shared" si="5"/>
        <v>* group[=].element[=].display = ##34#A.1.2.2 Telecom##34#</v>
      </c>
      <c r="K23" s="14" t="str">
        <f t="shared" si="6"/>
        <v>* group[=].element[=].target.code = #Patient.telecom</v>
      </c>
      <c r="L23" s="14" t="str">
        <f t="shared" si="7"/>
        <v>* group[=].element[=].target.display = ##34###34#</v>
      </c>
      <c r="M23" s="14" t="str">
        <f t="shared" si="8"/>
        <v>* group[=].element[=].target.equivalence = #equivalent</v>
      </c>
      <c r="N23" s="14" t="str">
        <f t="shared" si="3"/>
        <v/>
      </c>
      <c r="P23" s="9">
        <v>9</v>
      </c>
      <c r="Q23" s="9">
        <f t="shared" si="9"/>
        <v>1</v>
      </c>
      <c r="R23" s="9">
        <f t="shared" si="10"/>
        <v>3</v>
      </c>
      <c r="S23" s="14" t="str" cm="1">
        <f t="array" ref="S23">INDEX('Subj-ConceptMap-1'!$I$15:$N$270,Q23+1,R23)</f>
        <v>* group[=].element[=].target.code = #Patient.name.family</v>
      </c>
    </row>
    <row r="24" spans="1:19" x14ac:dyDescent="0.75">
      <c r="A24" s="23"/>
      <c r="B24" s="9"/>
      <c r="C24" s="9"/>
      <c r="D24" s="14"/>
      <c r="E24" s="14"/>
      <c r="F24" s="75"/>
      <c r="G24" s="75"/>
      <c r="H24" s="76"/>
      <c r="I24" s="14"/>
      <c r="J24" s="14"/>
      <c r="K24" s="14"/>
      <c r="L24" s="14"/>
      <c r="M24" s="14"/>
      <c r="N24" s="14"/>
      <c r="P24" s="9">
        <v>10</v>
      </c>
      <c r="Q24" s="9">
        <f t="shared" ref="Q24:Q55" si="11">IF(MOD(P24,$Q$8)=0,P24/$Q$8-1,INT(P24/$Q$8))</f>
        <v>1</v>
      </c>
      <c r="R24" s="9">
        <f t="shared" ref="R24:R55" si="12">IF(MOD(P24,$Q$8)=0,$Q$8,MOD(P24,$Q$8))</f>
        <v>4</v>
      </c>
      <c r="S24" s="14" t="str" cm="1">
        <f t="array" ref="S24">INDEX('Subj-ConceptMap-1'!$I$15:$N$270,Q24+1,R24)</f>
        <v>* group[=].element[=].target.display = ##34###34#</v>
      </c>
    </row>
    <row r="25" spans="1:19" x14ac:dyDescent="0.75">
      <c r="B25" s="9"/>
      <c r="C25" s="9"/>
      <c r="D25" s="14"/>
      <c r="E25" s="14"/>
      <c r="F25" s="75"/>
      <c r="G25" s="75"/>
      <c r="H25" s="76"/>
      <c r="I25" s="14"/>
      <c r="J25" s="14"/>
      <c r="K25" s="14"/>
      <c r="L25" s="14"/>
      <c r="M25" s="14"/>
      <c r="N25" s="14"/>
      <c r="P25" s="9">
        <v>11</v>
      </c>
      <c r="Q25" s="9">
        <f t="shared" si="11"/>
        <v>1</v>
      </c>
      <c r="R25" s="9">
        <f t="shared" si="12"/>
        <v>5</v>
      </c>
      <c r="S25" s="14" t="str" cm="1">
        <f t="array" ref="S25">INDEX('Subj-ConceptMap-1'!$I$15:$N$270,Q25+1,R25)</f>
        <v>* group[=].element[=].target.equivalence = #equivalent</v>
      </c>
    </row>
    <row r="26" spans="1:19" x14ac:dyDescent="0.75">
      <c r="B26" s="9"/>
      <c r="C26" s="9"/>
      <c r="D26" s="14"/>
      <c r="E26" s="14"/>
      <c r="F26" s="75"/>
      <c r="G26" s="75"/>
      <c r="H26" s="76"/>
      <c r="I26" s="14"/>
      <c r="J26" s="14"/>
      <c r="K26" s="14"/>
      <c r="L26" s="14"/>
      <c r="M26" s="14"/>
      <c r="N26" s="14"/>
      <c r="P26" s="9">
        <v>12</v>
      </c>
      <c r="Q26" s="9">
        <f t="shared" si="11"/>
        <v>1</v>
      </c>
      <c r="R26" s="9">
        <f t="shared" si="12"/>
        <v>6</v>
      </c>
      <c r="S26" s="14" t="str" cm="1">
        <f t="array" ref="S26">INDEX('Subj-ConceptMap-1'!$I$15:$N$270,Q26+1,R26)</f>
        <v/>
      </c>
    </row>
    <row r="27" spans="1:19" x14ac:dyDescent="0.75">
      <c r="B27" s="9"/>
      <c r="C27" s="9"/>
      <c r="D27" s="14"/>
      <c r="E27" s="14"/>
      <c r="F27" s="75"/>
      <c r="G27" s="75"/>
      <c r="H27" s="76"/>
      <c r="I27" s="14"/>
      <c r="J27" s="14"/>
      <c r="K27" s="14"/>
      <c r="L27" s="14"/>
      <c r="M27" s="14"/>
      <c r="N27" s="14"/>
      <c r="P27" s="9">
        <v>13</v>
      </c>
      <c r="Q27" s="9">
        <f t="shared" si="11"/>
        <v>2</v>
      </c>
      <c r="R27" s="9">
        <f t="shared" si="12"/>
        <v>1</v>
      </c>
      <c r="S27" s="14" t="str" cm="1">
        <f t="array" ref="S27">INDEX('Subj-ConceptMap-1'!$I$15:$N$270,Q27+1,R27)</f>
        <v>* group[=].element[+].code = #Subject.identification.givenName</v>
      </c>
    </row>
    <row r="28" spans="1:19" x14ac:dyDescent="0.75">
      <c r="B28" s="9"/>
      <c r="C28" s="9"/>
      <c r="D28" s="14"/>
      <c r="E28" s="14"/>
      <c r="F28" s="75"/>
      <c r="G28" s="75"/>
      <c r="H28" s="76"/>
      <c r="I28" s="14"/>
      <c r="J28" s="14"/>
      <c r="K28" s="14"/>
      <c r="L28" s="14"/>
      <c r="M28" s="14"/>
      <c r="N28" s="14"/>
      <c r="P28" s="9">
        <v>14</v>
      </c>
      <c r="Q28" s="9">
        <f t="shared" si="11"/>
        <v>2</v>
      </c>
      <c r="R28" s="9">
        <f t="shared" si="12"/>
        <v>2</v>
      </c>
      <c r="S28" s="14" t="str" cm="1">
        <f t="array" ref="S28">INDEX('Subj-ConceptMap-1'!$I$15:$N$270,Q28+1,R28)</f>
        <v>* group[=].element[=].display = ##34#A.1.1.2 Given name##34#</v>
      </c>
    </row>
    <row r="29" spans="1:19" x14ac:dyDescent="0.75">
      <c r="B29" s="9"/>
      <c r="C29" s="9"/>
      <c r="D29" s="14"/>
      <c r="E29" s="14"/>
      <c r="F29" s="75"/>
      <c r="G29" s="75"/>
      <c r="H29" s="76"/>
      <c r="I29" s="14"/>
      <c r="J29" s="14"/>
      <c r="K29" s="14"/>
      <c r="L29" s="14"/>
      <c r="M29" s="14"/>
      <c r="N29" s="14"/>
      <c r="P29" s="9">
        <v>15</v>
      </c>
      <c r="Q29" s="9">
        <f t="shared" si="11"/>
        <v>2</v>
      </c>
      <c r="R29" s="9">
        <f t="shared" si="12"/>
        <v>3</v>
      </c>
      <c r="S29" s="14" t="str" cm="1">
        <f t="array" ref="S29">INDEX('Subj-ConceptMap-1'!$I$15:$N$270,Q29+1,R29)</f>
        <v>* group[=].element[=].target.code = #Patient.name.given</v>
      </c>
    </row>
    <row r="30" spans="1:19" x14ac:dyDescent="0.75">
      <c r="B30" s="9"/>
      <c r="C30" s="9"/>
      <c r="D30" s="14"/>
      <c r="E30" s="14"/>
      <c r="F30" s="75"/>
      <c r="G30" s="75"/>
      <c r="H30" s="76"/>
      <c r="I30" s="14"/>
      <c r="J30" s="14"/>
      <c r="K30" s="14"/>
      <c r="L30" s="14"/>
      <c r="M30" s="14"/>
      <c r="N30" s="14"/>
      <c r="P30" s="9">
        <v>16</v>
      </c>
      <c r="Q30" s="9">
        <f t="shared" si="11"/>
        <v>2</v>
      </c>
      <c r="R30" s="9">
        <f t="shared" si="12"/>
        <v>4</v>
      </c>
      <c r="S30" s="14" t="str" cm="1">
        <f t="array" ref="S30">INDEX('Subj-ConceptMap-1'!$I$15:$N$270,Q30+1,R30)</f>
        <v>* group[=].element[=].target.display = ##34###34#</v>
      </c>
    </row>
    <row r="31" spans="1:19" x14ac:dyDescent="0.75">
      <c r="B31" s="9"/>
      <c r="C31" s="9"/>
      <c r="D31" s="14"/>
      <c r="E31" s="14"/>
      <c r="F31" s="75"/>
      <c r="G31" s="75"/>
      <c r="H31" s="76"/>
      <c r="I31" s="14"/>
      <c r="J31" s="14"/>
      <c r="K31" s="14"/>
      <c r="L31" s="14"/>
      <c r="M31" s="14"/>
      <c r="N31" s="14"/>
      <c r="P31" s="9">
        <v>17</v>
      </c>
      <c r="Q31" s="9">
        <f t="shared" si="11"/>
        <v>2</v>
      </c>
      <c r="R31" s="9">
        <f t="shared" si="12"/>
        <v>5</v>
      </c>
      <c r="S31" s="14" t="str" cm="1">
        <f t="array" ref="S31">INDEX('Subj-ConceptMap-1'!$I$15:$N$270,Q31+1,R31)</f>
        <v>* group[=].element[=].target.equivalence = #equivalent</v>
      </c>
    </row>
    <row r="32" spans="1:19" x14ac:dyDescent="0.75">
      <c r="B32" s="9"/>
      <c r="C32" s="9"/>
      <c r="D32" s="14"/>
      <c r="E32" s="14"/>
      <c r="F32" s="75"/>
      <c r="G32" s="75"/>
      <c r="H32" s="76"/>
      <c r="I32" s="14"/>
      <c r="J32" s="14"/>
      <c r="K32" s="14"/>
      <c r="L32" s="14"/>
      <c r="M32" s="14"/>
      <c r="N32" s="1"/>
      <c r="P32" s="9">
        <v>18</v>
      </c>
      <c r="Q32" s="9">
        <f t="shared" si="11"/>
        <v>2</v>
      </c>
      <c r="R32" s="9">
        <f t="shared" si="12"/>
        <v>6</v>
      </c>
      <c r="S32" s="14" t="str" cm="1">
        <f t="array" ref="S32">INDEX('Subj-ConceptMap-1'!$I$15:$N$270,Q32+1,R32)</f>
        <v/>
      </c>
    </row>
    <row r="33" spans="1:19" x14ac:dyDescent="0.75">
      <c r="B33" s="9"/>
      <c r="C33" s="9"/>
      <c r="D33" s="14"/>
      <c r="E33" s="14"/>
      <c r="F33" s="75"/>
      <c r="G33" s="75"/>
      <c r="H33" s="76"/>
      <c r="I33" s="14"/>
      <c r="J33" s="14"/>
      <c r="K33" s="14"/>
      <c r="L33" s="14"/>
      <c r="M33" s="14"/>
      <c r="N33" s="1"/>
      <c r="P33" s="9">
        <v>19</v>
      </c>
      <c r="Q33" s="9">
        <f t="shared" si="11"/>
        <v>3</v>
      </c>
      <c r="R33" s="9">
        <f t="shared" si="12"/>
        <v>1</v>
      </c>
      <c r="S33" s="14" t="str" cm="1">
        <f t="array" ref="S33">INDEX('Subj-ConceptMap-1'!$I$15:$N$270,Q33+1,R33)</f>
        <v>* group[=].element[+].code = #Subject.identification.dateOfBirth</v>
      </c>
    </row>
    <row r="34" spans="1:19" x14ac:dyDescent="0.75">
      <c r="B34" s="9"/>
      <c r="C34" s="9"/>
      <c r="D34" s="14"/>
      <c r="E34" s="14"/>
      <c r="F34" s="75"/>
      <c r="G34" s="75"/>
      <c r="H34" s="76"/>
      <c r="I34" s="14"/>
      <c r="J34" s="14"/>
      <c r="K34" s="14"/>
      <c r="L34" s="14"/>
      <c r="M34" s="14"/>
      <c r="N34" s="1"/>
      <c r="P34" s="9">
        <v>20</v>
      </c>
      <c r="Q34" s="9">
        <f t="shared" si="11"/>
        <v>3</v>
      </c>
      <c r="R34" s="9">
        <f t="shared" si="12"/>
        <v>2</v>
      </c>
      <c r="S34" s="14" t="str" cm="1">
        <f t="array" ref="S34">INDEX('Subj-ConceptMap-1'!$I$15:$N$270,Q34+1,R34)</f>
        <v>* group[=].element[=].display = ##34#A.1.1.3 Date of birth##34#</v>
      </c>
    </row>
    <row r="35" spans="1:19" x14ac:dyDescent="0.75">
      <c r="B35" s="9"/>
      <c r="C35" s="9"/>
      <c r="D35" s="14"/>
      <c r="E35" s="14"/>
      <c r="F35" s="75"/>
      <c r="G35" s="75"/>
      <c r="H35" s="76"/>
      <c r="K35" s="76"/>
      <c r="L35" s="76"/>
      <c r="M35" s="74"/>
      <c r="N35" s="74"/>
      <c r="P35" s="9">
        <v>21</v>
      </c>
      <c r="Q35" s="9">
        <f t="shared" si="11"/>
        <v>3</v>
      </c>
      <c r="R35" s="9">
        <f t="shared" si="12"/>
        <v>3</v>
      </c>
      <c r="S35" s="14" t="str" cm="1">
        <f t="array" ref="S35">INDEX('Subj-ConceptMap-1'!$I$15:$N$270,Q35+1,R35)</f>
        <v>* group[=].element[=].target.code = #Patient.birthDate</v>
      </c>
    </row>
    <row r="36" spans="1:19" x14ac:dyDescent="0.75">
      <c r="B36" s="9"/>
      <c r="C36" s="9"/>
      <c r="D36" s="14"/>
      <c r="E36" s="14"/>
      <c r="F36" s="75"/>
      <c r="G36" s="75"/>
      <c r="H36" s="76"/>
      <c r="K36" s="76"/>
      <c r="L36" s="76"/>
      <c r="M36" s="74"/>
      <c r="N36" s="74"/>
      <c r="P36" s="9">
        <v>22</v>
      </c>
      <c r="Q36" s="9">
        <f t="shared" si="11"/>
        <v>3</v>
      </c>
      <c r="R36" s="9">
        <f t="shared" si="12"/>
        <v>4</v>
      </c>
      <c r="S36" s="14" t="str" cm="1">
        <f t="array" ref="S36">INDEX('Subj-ConceptMap-1'!$I$15:$N$270,Q36+1,R36)</f>
        <v>* group[=].element[=].target.display = ##34###34#</v>
      </c>
    </row>
    <row r="37" spans="1:19" s="1" customFormat="1" x14ac:dyDescent="0.75">
      <c r="A37"/>
      <c r="B37" s="9"/>
      <c r="C37" s="9"/>
      <c r="D37" s="14"/>
      <c r="E37" s="14"/>
      <c r="F37" s="75"/>
      <c r="G37" s="76"/>
      <c r="H37" s="76"/>
      <c r="J37"/>
      <c r="K37" s="76"/>
      <c r="L37" s="76"/>
      <c r="M37" s="74"/>
      <c r="N37" s="74"/>
      <c r="P37" s="9">
        <v>23</v>
      </c>
      <c r="Q37" s="9">
        <f t="shared" si="11"/>
        <v>3</v>
      </c>
      <c r="R37" s="9">
        <f t="shared" si="12"/>
        <v>5</v>
      </c>
      <c r="S37" s="14" t="str" cm="1">
        <f t="array" ref="S37">INDEX('Subj-ConceptMap-1'!$I$15:$N$270,Q37+1,R37)</f>
        <v>* group[=].element[=].target.equivalence = #equivalent</v>
      </c>
    </row>
    <row r="38" spans="1:19" s="1" customFormat="1" x14ac:dyDescent="0.75">
      <c r="A38"/>
      <c r="B38" s="9"/>
      <c r="C38" s="9"/>
      <c r="D38" s="60"/>
      <c r="F38" s="76"/>
      <c r="G38" s="76"/>
      <c r="H38" s="76"/>
      <c r="J38"/>
      <c r="K38" s="76"/>
      <c r="L38" s="76"/>
      <c r="M38" s="74"/>
      <c r="N38" s="74"/>
      <c r="P38" s="9">
        <v>24</v>
      </c>
      <c r="Q38" s="9">
        <f t="shared" si="11"/>
        <v>3</v>
      </c>
      <c r="R38" s="9">
        <f t="shared" si="12"/>
        <v>6</v>
      </c>
      <c r="S38" s="14" t="str" cm="1">
        <f t="array" ref="S38">INDEX('Subj-ConceptMap-1'!$I$15:$N$270,Q38+1,R38)</f>
        <v/>
      </c>
    </row>
    <row r="39" spans="1:19" s="1" customFormat="1" x14ac:dyDescent="0.75">
      <c r="A39"/>
      <c r="B39" s="9"/>
      <c r="C39" s="9"/>
      <c r="F39" s="76"/>
      <c r="G39" s="76"/>
      <c r="H39" s="76"/>
      <c r="J39"/>
      <c r="K39" s="76"/>
      <c r="L39" s="76"/>
      <c r="M39" s="74"/>
      <c r="N39" s="74"/>
      <c r="P39" s="9">
        <v>25</v>
      </c>
      <c r="Q39" s="9">
        <f t="shared" si="11"/>
        <v>4</v>
      </c>
      <c r="R39" s="9">
        <f t="shared" si="12"/>
        <v>1</v>
      </c>
      <c r="S39" s="14" t="str" cm="1">
        <f t="array" ref="S39">INDEX('Subj-ConceptMap-1'!$I$15:$N$270,Q39+1,R39)</f>
        <v>* group[=].element[+].code = #Subject.identification.identifier</v>
      </c>
    </row>
    <row r="40" spans="1:19" s="1" customFormat="1" x14ac:dyDescent="0.75">
      <c r="A40"/>
      <c r="B40" s="9"/>
      <c r="C40" s="9"/>
      <c r="F40" s="76"/>
      <c r="G40" s="76"/>
      <c r="H40" s="76"/>
      <c r="J40" s="76"/>
      <c r="K40" s="76"/>
      <c r="L40" s="76"/>
      <c r="M40" s="74"/>
      <c r="N40" s="74"/>
      <c r="P40" s="9">
        <v>26</v>
      </c>
      <c r="Q40" s="9">
        <f t="shared" si="11"/>
        <v>4</v>
      </c>
      <c r="R40" s="9">
        <f t="shared" si="12"/>
        <v>2</v>
      </c>
      <c r="S40" s="14" t="str" cm="1">
        <f t="array" ref="S40">INDEX('Subj-ConceptMap-1'!$I$15:$N$270,Q40+1,R40)</f>
        <v>* group[=].element[=].display = ##34#A.1.1.4 Personal identifier##34#</v>
      </c>
    </row>
    <row r="41" spans="1:19" s="1" customFormat="1" x14ac:dyDescent="0.75">
      <c r="A41"/>
      <c r="B41" s="9"/>
      <c r="C41" s="9"/>
      <c r="F41" s="76"/>
      <c r="G41" s="76"/>
      <c r="H41" s="76"/>
      <c r="J41" s="76"/>
      <c r="K41" s="76"/>
      <c r="L41" s="76"/>
      <c r="M41" s="74"/>
      <c r="N41" s="74"/>
      <c r="P41" s="9">
        <v>27</v>
      </c>
      <c r="Q41" s="9">
        <f t="shared" si="11"/>
        <v>4</v>
      </c>
      <c r="R41" s="9">
        <f t="shared" si="12"/>
        <v>3</v>
      </c>
      <c r="S41" s="14" t="str" cm="1">
        <f t="array" ref="S41">INDEX('Subj-ConceptMap-1'!$I$15:$N$270,Q41+1,R41)</f>
        <v>* group[=].element[=].target.code = #Patient.identifier</v>
      </c>
    </row>
    <row r="42" spans="1:19" s="1" customFormat="1" x14ac:dyDescent="0.75">
      <c r="A42"/>
      <c r="B42" s="9"/>
      <c r="C42" s="9"/>
      <c r="F42" s="76"/>
      <c r="G42" s="76"/>
      <c r="H42" s="76"/>
      <c r="J42" s="76"/>
      <c r="K42" s="76"/>
      <c r="L42" s="76"/>
      <c r="M42" s="74"/>
      <c r="N42" s="74"/>
      <c r="P42" s="9">
        <v>28</v>
      </c>
      <c r="Q42" s="9">
        <f t="shared" si="11"/>
        <v>4</v>
      </c>
      <c r="R42" s="9">
        <f t="shared" si="12"/>
        <v>4</v>
      </c>
      <c r="S42" s="14" t="str" cm="1">
        <f t="array" ref="S42">INDEX('Subj-ConceptMap-1'!$I$15:$N$270,Q42+1,R42)</f>
        <v>* group[=].element[=].target.display = ##34###34#</v>
      </c>
    </row>
    <row r="43" spans="1:19" s="1" customFormat="1" x14ac:dyDescent="0.75">
      <c r="A43"/>
      <c r="B43" s="9"/>
      <c r="C43" s="9"/>
      <c r="F43" s="76"/>
      <c r="G43" s="76"/>
      <c r="H43" s="76"/>
      <c r="J43" s="76"/>
      <c r="K43" s="76"/>
      <c r="L43" s="76"/>
      <c r="M43" s="76"/>
      <c r="N43" s="76"/>
      <c r="P43" s="9">
        <v>29</v>
      </c>
      <c r="Q43" s="9">
        <f t="shared" si="11"/>
        <v>4</v>
      </c>
      <c r="R43" s="9">
        <f t="shared" si="12"/>
        <v>5</v>
      </c>
      <c r="S43" s="14" t="str" cm="1">
        <f t="array" ref="S43">INDEX('Subj-ConceptMap-1'!$I$15:$N$270,Q43+1,R43)</f>
        <v>* group[=].element[=].target.equivalence = #equivalent</v>
      </c>
    </row>
    <row r="44" spans="1:19" s="1" customFormat="1" x14ac:dyDescent="0.75">
      <c r="A44"/>
      <c r="B44" s="9"/>
      <c r="C44"/>
      <c r="F44" s="76"/>
      <c r="G44" s="76"/>
      <c r="H44" s="76"/>
      <c r="J44" s="76"/>
      <c r="K44" s="76"/>
      <c r="L44" s="76"/>
      <c r="M44" s="76"/>
      <c r="N44" s="76"/>
      <c r="P44" s="9">
        <v>30</v>
      </c>
      <c r="Q44" s="9">
        <f t="shared" si="11"/>
        <v>4</v>
      </c>
      <c r="R44" s="9">
        <f t="shared" si="12"/>
        <v>6</v>
      </c>
      <c r="S44" s="14" t="str" cm="1">
        <f t="array" ref="S44">INDEX('Subj-ConceptMap-1'!$I$15:$N$270,Q44+1,R44)</f>
        <v/>
      </c>
    </row>
    <row r="45" spans="1:19" s="1" customFormat="1" x14ac:dyDescent="0.75">
      <c r="A45"/>
      <c r="B45" s="9"/>
      <c r="C45"/>
      <c r="F45" s="76"/>
      <c r="G45" s="76"/>
      <c r="H45" s="76"/>
      <c r="J45" s="76"/>
      <c r="K45" s="76"/>
      <c r="L45" s="76"/>
      <c r="M45" s="76"/>
      <c r="N45" s="76"/>
      <c r="P45" s="9">
        <v>31</v>
      </c>
      <c r="Q45" s="9">
        <f t="shared" si="11"/>
        <v>5</v>
      </c>
      <c r="R45" s="9">
        <f t="shared" si="12"/>
        <v>1</v>
      </c>
      <c r="S45" s="14" t="str" cm="1">
        <f t="array" ref="S45">INDEX('Subj-ConceptMap-1'!$I$15:$N$270,Q45+1,R45)</f>
        <v>* group[=].element[+].code = #Subject.identification.gender</v>
      </c>
    </row>
    <row r="46" spans="1:19" s="1" customFormat="1" x14ac:dyDescent="0.75">
      <c r="A46"/>
      <c r="B46" s="9"/>
      <c r="C46"/>
      <c r="F46" s="76"/>
      <c r="G46" s="76"/>
      <c r="H46" s="76"/>
      <c r="J46" s="76"/>
      <c r="K46" s="76"/>
      <c r="L46" s="76"/>
      <c r="M46" s="76"/>
      <c r="N46" s="76"/>
      <c r="P46" s="9">
        <v>32</v>
      </c>
      <c r="Q46" s="9">
        <f t="shared" si="11"/>
        <v>5</v>
      </c>
      <c r="R46" s="9">
        <f t="shared" si="12"/>
        <v>2</v>
      </c>
      <c r="S46" s="14" t="str" cm="1">
        <f t="array" ref="S46">INDEX('Subj-ConceptMap-1'!$I$15:$N$270,Q46+1,R46)</f>
        <v>* group[=].element[=].display = ##34#A.1.1.5 Gender##34#</v>
      </c>
    </row>
    <row r="47" spans="1:19" s="1" customFormat="1" x14ac:dyDescent="0.75">
      <c r="A47"/>
      <c r="B47" s="9"/>
      <c r="C47"/>
      <c r="F47" s="76"/>
      <c r="G47" s="76"/>
      <c r="H47" s="76"/>
      <c r="J47" s="76"/>
      <c r="K47" s="76"/>
      <c r="L47" s="76"/>
      <c r="M47" s="76"/>
      <c r="N47" s="76"/>
      <c r="P47" s="9">
        <v>33</v>
      </c>
      <c r="Q47" s="9">
        <f t="shared" si="11"/>
        <v>5</v>
      </c>
      <c r="R47" s="9">
        <f t="shared" si="12"/>
        <v>3</v>
      </c>
      <c r="S47" s="14" t="str" cm="1">
        <f t="array" ref="S47">INDEX('Subj-ConceptMap-1'!$I$15:$N$270,Q47+1,R47)</f>
        <v>* group[=].element[=].target.code = #Patient.gender</v>
      </c>
    </row>
    <row r="48" spans="1:19" s="1" customFormat="1" x14ac:dyDescent="0.75">
      <c r="A48"/>
      <c r="B48" s="9"/>
      <c r="C48"/>
      <c r="F48" s="76"/>
      <c r="G48" s="76"/>
      <c r="H48" s="76"/>
      <c r="J48" s="76"/>
      <c r="K48" s="76"/>
      <c r="L48" s="76"/>
      <c r="M48" s="76"/>
      <c r="N48" s="76"/>
      <c r="P48" s="9">
        <v>34</v>
      </c>
      <c r="Q48" s="9">
        <f t="shared" si="11"/>
        <v>5</v>
      </c>
      <c r="R48" s="9">
        <f t="shared" si="12"/>
        <v>4</v>
      </c>
      <c r="S48" s="14" t="str" cm="1">
        <f t="array" ref="S48">INDEX('Subj-ConceptMap-1'!$I$15:$N$270,Q48+1,R48)</f>
        <v>* group[=].element[=].target.display = ##34###34#</v>
      </c>
    </row>
    <row r="49" spans="5:19" x14ac:dyDescent="0.75">
      <c r="F49" s="76"/>
      <c r="G49" s="76"/>
      <c r="H49" s="76"/>
      <c r="J49" s="76"/>
      <c r="K49" s="76"/>
      <c r="L49" s="76"/>
      <c r="M49" s="76"/>
      <c r="N49" s="76"/>
      <c r="P49" s="9">
        <v>35</v>
      </c>
      <c r="Q49" s="9">
        <f t="shared" si="11"/>
        <v>5</v>
      </c>
      <c r="R49" s="9">
        <f t="shared" si="12"/>
        <v>5</v>
      </c>
      <c r="S49" s="14" t="str" cm="1">
        <f t="array" ref="S49">INDEX('Subj-ConceptMap-1'!$I$15:$N$270,Q49+1,R49)</f>
        <v>* group[=].element[=].target.equivalence = #equivalent</v>
      </c>
    </row>
    <row r="50" spans="5:19" x14ac:dyDescent="0.75">
      <c r="F50" s="76"/>
      <c r="G50" s="76"/>
      <c r="H50" s="76"/>
      <c r="J50" s="76"/>
      <c r="K50" s="76"/>
      <c r="L50" s="76"/>
      <c r="M50" s="76"/>
      <c r="N50" s="76"/>
      <c r="P50" s="9">
        <v>36</v>
      </c>
      <c r="Q50" s="9">
        <f t="shared" si="11"/>
        <v>5</v>
      </c>
      <c r="R50" s="9">
        <f t="shared" si="12"/>
        <v>6</v>
      </c>
      <c r="S50" s="14" t="str" cm="1">
        <f t="array" ref="S50">INDEX('Subj-ConceptMap-1'!$I$15:$N$270,Q50+1,R50)</f>
        <v/>
      </c>
    </row>
    <row r="51" spans="5:19" x14ac:dyDescent="0.75">
      <c r="F51" s="76"/>
      <c r="G51" s="76"/>
      <c r="H51" s="76"/>
      <c r="J51" s="76"/>
      <c r="K51" s="76"/>
      <c r="L51" s="76"/>
      <c r="M51" s="76"/>
      <c r="N51" s="76"/>
      <c r="P51" s="9">
        <v>37</v>
      </c>
      <c r="Q51" s="9">
        <f t="shared" si="11"/>
        <v>6</v>
      </c>
      <c r="R51" s="9">
        <f t="shared" si="12"/>
        <v>1</v>
      </c>
      <c r="S51" s="14" t="str" cm="1">
        <f t="array" ref="S51">INDEX('Subj-ConceptMap-1'!$I$15:$N$270,Q51+1,R51)</f>
        <v>* group[=].element[+].code = #Subject.addressTelecom</v>
      </c>
    </row>
    <row r="52" spans="5:19" ht="29.5" x14ac:dyDescent="0.75">
      <c r="F52" s="76"/>
      <c r="G52" s="76"/>
      <c r="H52" s="76"/>
      <c r="J52" s="76"/>
      <c r="K52" s="76"/>
      <c r="L52" s="76"/>
      <c r="M52" s="76"/>
      <c r="N52" s="76"/>
      <c r="P52" s="9">
        <v>38</v>
      </c>
      <c r="Q52" s="9">
        <f t="shared" si="11"/>
        <v>6</v>
      </c>
      <c r="R52" s="9">
        <f t="shared" si="12"/>
        <v>2</v>
      </c>
      <c r="S52" s="14" t="str" cm="1">
        <f t="array" ref="S52">INDEX('Subj-ConceptMap-1'!$I$15:$N$270,Q52+1,R52)</f>
        <v>* group[=].element[=].display = ##34#A.1.2 Patient/subject related contact information##34#</v>
      </c>
    </row>
    <row r="53" spans="5:19" x14ac:dyDescent="0.75">
      <c r="E53"/>
      <c r="P53" s="9">
        <v>39</v>
      </c>
      <c r="Q53" s="9">
        <f t="shared" si="11"/>
        <v>6</v>
      </c>
      <c r="R53" s="9">
        <f t="shared" si="12"/>
        <v>3</v>
      </c>
      <c r="S53" s="14" t="str" cm="1">
        <f t="array" ref="S53">INDEX('Subj-ConceptMap-1'!$I$15:$N$270,Q53+1,R53)</f>
        <v>* group[=].element[=].target.code = #Patient.$this</v>
      </c>
    </row>
    <row r="54" spans="5:19" x14ac:dyDescent="0.75">
      <c r="P54" s="9">
        <v>40</v>
      </c>
      <c r="Q54" s="9">
        <f t="shared" si="11"/>
        <v>6</v>
      </c>
      <c r="R54" s="9">
        <f t="shared" si="12"/>
        <v>4</v>
      </c>
      <c r="S54" s="14" t="str" cm="1">
        <f t="array" ref="S54">INDEX('Subj-ConceptMap-1'!$I$15:$N$270,Q54+1,R54)</f>
        <v>* group[=].element[=].target.display = ##34###34#</v>
      </c>
    </row>
    <row r="55" spans="5:19" x14ac:dyDescent="0.75">
      <c r="P55" s="9">
        <v>41</v>
      </c>
      <c r="Q55" s="9">
        <f t="shared" si="11"/>
        <v>6</v>
      </c>
      <c r="R55" s="9">
        <f t="shared" si="12"/>
        <v>5</v>
      </c>
      <c r="S55" s="14" t="str" cm="1">
        <f t="array" ref="S55">INDEX('Subj-ConceptMap-1'!$I$15:$N$270,Q55+1,R55)</f>
        <v>* group[=].element[=].target.equivalence = #relatedto</v>
      </c>
    </row>
    <row r="56" spans="5:19" x14ac:dyDescent="0.75">
      <c r="P56" s="9">
        <v>42</v>
      </c>
      <c r="Q56" s="9">
        <f t="shared" ref="Q56:Q66" si="13">IF(MOD(P56,$Q$8)=0,P56/$Q$8-1,INT(P56/$Q$8))</f>
        <v>6</v>
      </c>
      <c r="R56" s="9">
        <f t="shared" ref="R56:R66" si="14">IF(MOD(P56,$Q$8)=0,$Q$8,MOD(P56,$Q$8))</f>
        <v>6</v>
      </c>
      <c r="S56" s="14" t="str" cm="1">
        <f t="array" ref="S56">INDEX('Subj-ConceptMap-1'!$I$15:$N$270,Q56+1,R56)</f>
        <v/>
      </c>
    </row>
    <row r="57" spans="5:19" x14ac:dyDescent="0.75">
      <c r="P57" s="9">
        <v>43</v>
      </c>
      <c r="Q57" s="9">
        <f t="shared" si="13"/>
        <v>7</v>
      </c>
      <c r="R57" s="9">
        <f t="shared" si="14"/>
        <v>1</v>
      </c>
      <c r="S57" s="14" t="str" cm="1">
        <f t="array" ref="S57">INDEX('Subj-ConceptMap-1'!$I$15:$N$270,Q57+1,R57)</f>
        <v>* group[=].element[+].code = #Subject.addressTelecom.address</v>
      </c>
    </row>
    <row r="58" spans="5:19" x14ac:dyDescent="0.75">
      <c r="P58" s="9">
        <v>44</v>
      </c>
      <c r="Q58" s="9">
        <f t="shared" si="13"/>
        <v>7</v>
      </c>
      <c r="R58" s="9">
        <f t="shared" si="14"/>
        <v>2</v>
      </c>
      <c r="S58" s="14" t="str" cm="1">
        <f t="array" ref="S58">INDEX('Subj-ConceptMap-1'!$I$15:$N$270,Q58+1,R58)</f>
        <v>* group[=].element[=].display = ##34#A.1.2.1 Address##34#</v>
      </c>
    </row>
    <row r="59" spans="5:19" x14ac:dyDescent="0.75">
      <c r="P59" s="9">
        <v>45</v>
      </c>
      <c r="Q59" s="9">
        <f t="shared" si="13"/>
        <v>7</v>
      </c>
      <c r="R59" s="9">
        <f t="shared" si="14"/>
        <v>3</v>
      </c>
      <c r="S59" s="14" t="str" cm="1">
        <f t="array" ref="S59">INDEX('Subj-ConceptMap-1'!$I$15:$N$270,Q59+1,R59)</f>
        <v>* group[=].element[=].target.code = #Patient.address</v>
      </c>
    </row>
    <row r="60" spans="5:19" x14ac:dyDescent="0.75">
      <c r="P60" s="9">
        <v>46</v>
      </c>
      <c r="Q60" s="9">
        <f t="shared" si="13"/>
        <v>7</v>
      </c>
      <c r="R60" s="9">
        <f t="shared" si="14"/>
        <v>4</v>
      </c>
      <c r="S60" s="14" t="str" cm="1">
        <f t="array" ref="S60">INDEX('Subj-ConceptMap-1'!$I$15:$N$270,Q60+1,R60)</f>
        <v>* group[=].element[=].target.display = ##34###34#</v>
      </c>
    </row>
    <row r="61" spans="5:19" x14ac:dyDescent="0.75">
      <c r="P61" s="9">
        <v>47</v>
      </c>
      <c r="Q61" s="9">
        <f t="shared" si="13"/>
        <v>7</v>
      </c>
      <c r="R61" s="9">
        <f t="shared" si="14"/>
        <v>5</v>
      </c>
      <c r="S61" s="14" t="str" cm="1">
        <f t="array" ref="S61">INDEX('Subj-ConceptMap-1'!$I$15:$N$270,Q61+1,R61)</f>
        <v>* group[=].element[=].target.equivalence = #equivalent</v>
      </c>
    </row>
    <row r="62" spans="5:19" x14ac:dyDescent="0.75">
      <c r="P62" s="9">
        <v>48</v>
      </c>
      <c r="Q62" s="9">
        <f t="shared" si="13"/>
        <v>7</v>
      </c>
      <c r="R62" s="9">
        <f t="shared" si="14"/>
        <v>6</v>
      </c>
      <c r="S62" s="14" t="str" cm="1">
        <f t="array" ref="S62">INDEX('Subj-ConceptMap-1'!$I$15:$N$270,Q62+1,R62)</f>
        <v/>
      </c>
    </row>
    <row r="63" spans="5:19" x14ac:dyDescent="0.75">
      <c r="P63" s="9">
        <v>49</v>
      </c>
      <c r="Q63" s="9">
        <f t="shared" si="13"/>
        <v>8</v>
      </c>
      <c r="R63" s="9">
        <f t="shared" si="14"/>
        <v>1</v>
      </c>
      <c r="S63" s="14" t="str" cm="1">
        <f t="array" ref="S63">INDEX('Subj-ConceptMap-1'!$I$15:$N$270,Q63+1,R63)</f>
        <v>* group[=].element[+].code = #Subject.addressTelecom.telecom</v>
      </c>
    </row>
    <row r="64" spans="5:19" x14ac:dyDescent="0.75">
      <c r="P64" s="9">
        <v>50</v>
      </c>
      <c r="Q64" s="9">
        <f t="shared" si="13"/>
        <v>8</v>
      </c>
      <c r="R64" s="9">
        <f t="shared" si="14"/>
        <v>2</v>
      </c>
      <c r="S64" s="14" t="str" cm="1">
        <f t="array" ref="S64">INDEX('Subj-ConceptMap-1'!$I$15:$N$270,Q64+1,R64)</f>
        <v>* group[=].element[=].display = ##34#A.1.2.2 Telecom##34#</v>
      </c>
    </row>
    <row r="65" spans="16:19" x14ac:dyDescent="0.75">
      <c r="P65" s="9">
        <v>51</v>
      </c>
      <c r="Q65" s="9">
        <f t="shared" si="13"/>
        <v>8</v>
      </c>
      <c r="R65" s="9">
        <f t="shared" si="14"/>
        <v>3</v>
      </c>
      <c r="S65" s="14" t="str" cm="1">
        <f t="array" ref="S65">INDEX('Subj-ConceptMap-1'!$I$15:$N$270,Q65+1,R65)</f>
        <v>* group[=].element[=].target.code = #Patient.telecom</v>
      </c>
    </row>
    <row r="66" spans="16:19" x14ac:dyDescent="0.75">
      <c r="P66" s="9">
        <v>52</v>
      </c>
      <c r="Q66" s="9">
        <f t="shared" si="13"/>
        <v>8</v>
      </c>
      <c r="R66" s="9">
        <f t="shared" si="14"/>
        <v>4</v>
      </c>
      <c r="S66" s="14" t="str" cm="1">
        <f t="array" ref="S66">INDEX('Subj-ConceptMap-1'!$I$15:$N$270,Q66+1,R66)</f>
        <v>* group[=].element[=].target.display = ##34###34#</v>
      </c>
    </row>
    <row r="67" spans="16:19" x14ac:dyDescent="0.75">
      <c r="P67" s="9">
        <v>53</v>
      </c>
      <c r="Q67" s="9">
        <f t="shared" ref="Q67:Q76" si="15">IF(MOD(P67,$Q$8)=0,P67/$Q$8-1,INT(P67/$Q$8))</f>
        <v>8</v>
      </c>
      <c r="R67" s="9">
        <f t="shared" ref="R67:R76" si="16">IF(MOD(P67,$Q$8)=0,$Q$8,MOD(P67,$Q$8))</f>
        <v>5</v>
      </c>
      <c r="S67" s="14" t="str" cm="1">
        <f t="array" ref="S67">INDEX('Subj-ConceptMap-1'!$I$15:$N$270,Q67+1,R67)</f>
        <v>* group[=].element[=].target.equivalence = #equivalent</v>
      </c>
    </row>
    <row r="68" spans="16:19" x14ac:dyDescent="0.75">
      <c r="P68" s="9">
        <v>54</v>
      </c>
      <c r="Q68" s="9">
        <f t="shared" si="15"/>
        <v>8</v>
      </c>
      <c r="R68" s="9">
        <f t="shared" si="16"/>
        <v>6</v>
      </c>
      <c r="S68" s="14" t="str" cm="1">
        <f t="array" ref="S68">INDEX('Subj-ConceptMap-1'!$I$15:$N$270,Q68+1,R68)</f>
        <v/>
      </c>
    </row>
    <row r="69" spans="16:19" x14ac:dyDescent="0.75">
      <c r="P69" s="9">
        <v>55</v>
      </c>
      <c r="Q69" s="9">
        <f t="shared" si="15"/>
        <v>9</v>
      </c>
      <c r="R69" s="9">
        <f t="shared" si="16"/>
        <v>1</v>
      </c>
      <c r="S69" s="14" cm="1">
        <f t="array" ref="S69">INDEX('Subj-ConceptMap-1'!$I$15:$N$270,Q69+1,R69)</f>
        <v>0</v>
      </c>
    </row>
    <row r="70" spans="16:19" x14ac:dyDescent="0.75">
      <c r="P70" s="9">
        <v>56</v>
      </c>
      <c r="Q70" s="9">
        <f t="shared" si="15"/>
        <v>9</v>
      </c>
      <c r="R70" s="9">
        <f t="shared" si="16"/>
        <v>2</v>
      </c>
      <c r="S70" s="14" cm="1">
        <f t="array" ref="S70">INDEX('Subj-ConceptMap-1'!$I$15:$N$270,Q70+1,R70)</f>
        <v>0</v>
      </c>
    </row>
    <row r="71" spans="16:19" x14ac:dyDescent="0.75">
      <c r="P71" s="9">
        <v>57</v>
      </c>
      <c r="Q71" s="9">
        <f t="shared" si="15"/>
        <v>9</v>
      </c>
      <c r="R71" s="9">
        <f t="shared" si="16"/>
        <v>3</v>
      </c>
      <c r="S71" s="14" cm="1">
        <f t="array" ref="S71">INDEX('Subj-ConceptMap-1'!$I$15:$N$270,Q71+1,R71)</f>
        <v>0</v>
      </c>
    </row>
    <row r="72" spans="16:19" x14ac:dyDescent="0.75">
      <c r="P72" s="9">
        <v>58</v>
      </c>
      <c r="Q72" s="9">
        <f t="shared" si="15"/>
        <v>9</v>
      </c>
      <c r="R72" s="9">
        <f t="shared" si="16"/>
        <v>4</v>
      </c>
      <c r="S72" s="14" cm="1">
        <f t="array" ref="S72">INDEX('Subj-ConceptMap-1'!$I$15:$N$270,Q72+1,R72)</f>
        <v>0</v>
      </c>
    </row>
    <row r="73" spans="16:19" x14ac:dyDescent="0.75">
      <c r="P73" s="9">
        <v>59</v>
      </c>
      <c r="Q73" s="9">
        <f t="shared" si="15"/>
        <v>9</v>
      </c>
      <c r="R73" s="9">
        <f t="shared" si="16"/>
        <v>5</v>
      </c>
      <c r="S73" s="14" cm="1">
        <f t="array" ref="S73">INDEX('Subj-ConceptMap-1'!$I$15:$N$270,Q73+1,R73)</f>
        <v>0</v>
      </c>
    </row>
    <row r="74" spans="16:19" x14ac:dyDescent="0.75">
      <c r="P74" s="9">
        <v>60</v>
      </c>
      <c r="Q74" s="9">
        <f t="shared" si="15"/>
        <v>9</v>
      </c>
      <c r="R74" s="9">
        <f t="shared" si="16"/>
        <v>6</v>
      </c>
      <c r="S74" s="14" cm="1">
        <f t="array" ref="S74">INDEX('Subj-ConceptMap-1'!$I$15:$N$270,Q74+1,R74)</f>
        <v>0</v>
      </c>
    </row>
    <row r="75" spans="16:19" x14ac:dyDescent="0.75">
      <c r="P75" s="9">
        <v>61</v>
      </c>
      <c r="Q75" s="9">
        <f t="shared" si="15"/>
        <v>10</v>
      </c>
      <c r="R75" s="9">
        <f t="shared" si="16"/>
        <v>1</v>
      </c>
      <c r="S75" s="14" cm="1">
        <f t="array" ref="S75">INDEX('Subj-ConceptMap-1'!$I$15:$N$270,Q75+1,R75)</f>
        <v>0</v>
      </c>
    </row>
    <row r="76" spans="16:19" x14ac:dyDescent="0.75">
      <c r="P76" s="9">
        <v>62</v>
      </c>
      <c r="Q76" s="9">
        <f t="shared" si="15"/>
        <v>10</v>
      </c>
      <c r="R76" s="9">
        <f t="shared" si="16"/>
        <v>2</v>
      </c>
      <c r="S76" s="14" cm="1">
        <f t="array" ref="S76">INDEX('Subj-ConceptMap-1'!$I$15:$N$270,Q76+1,R76)</f>
        <v>0</v>
      </c>
    </row>
    <row r="77" spans="16:19" x14ac:dyDescent="0.75">
      <c r="P77" s="9">
        <v>63</v>
      </c>
      <c r="Q77" s="9">
        <f t="shared" ref="Q77:Q80" si="17">IF(MOD(P77,$Q$8)=0,P77/$Q$8-1,INT(P77/$Q$8))</f>
        <v>10</v>
      </c>
      <c r="R77" s="9">
        <f t="shared" ref="R77:R80" si="18">IF(MOD(P77,$Q$8)=0,$Q$8,MOD(P77,$Q$8))</f>
        <v>3</v>
      </c>
      <c r="S77" s="14" cm="1">
        <f t="array" ref="S77">INDEX('Subj-ConceptMap-1'!$I$15:$N$270,Q77+1,R77)</f>
        <v>0</v>
      </c>
    </row>
    <row r="78" spans="16:19" x14ac:dyDescent="0.75">
      <c r="P78" s="9">
        <v>64</v>
      </c>
      <c r="Q78" s="9">
        <f t="shared" si="17"/>
        <v>10</v>
      </c>
      <c r="R78" s="9">
        <f t="shared" si="18"/>
        <v>4</v>
      </c>
      <c r="S78" s="14" cm="1">
        <f t="array" ref="S78">INDEX('Subj-ConceptMap-1'!$I$15:$N$270,Q78+1,R78)</f>
        <v>0</v>
      </c>
    </row>
    <row r="79" spans="16:19" x14ac:dyDescent="0.75">
      <c r="P79" s="9">
        <v>65</v>
      </c>
      <c r="Q79" s="9">
        <f t="shared" si="17"/>
        <v>10</v>
      </c>
      <c r="R79" s="9">
        <f t="shared" si="18"/>
        <v>5</v>
      </c>
      <c r="S79" s="14" cm="1">
        <f t="array" ref="S79">INDEX('Subj-ConceptMap-1'!$I$15:$N$270,Q79+1,R79)</f>
        <v>0</v>
      </c>
    </row>
    <row r="80" spans="16:19" x14ac:dyDescent="0.75">
      <c r="P80" s="9">
        <v>66</v>
      </c>
      <c r="Q80" s="9">
        <f t="shared" si="17"/>
        <v>10</v>
      </c>
      <c r="R80" s="9">
        <f t="shared" si="18"/>
        <v>6</v>
      </c>
      <c r="S80" s="14" cm="1">
        <f t="array" ref="S80">INDEX('Subj-ConceptMap-1'!$I$15:$N$270,Q80+1,R80)</f>
        <v>0</v>
      </c>
    </row>
    <row r="81" spans="16:19" x14ac:dyDescent="0.75">
      <c r="P81" s="9"/>
      <c r="Q81" s="9"/>
      <c r="R81" s="9"/>
      <c r="S81" s="14"/>
    </row>
    <row r="82" spans="16:19" x14ac:dyDescent="0.75">
      <c r="P82" s="9"/>
      <c r="Q82" s="9"/>
      <c r="R82" s="9"/>
      <c r="S82" s="14"/>
    </row>
    <row r="83" spans="16:19" x14ac:dyDescent="0.75">
      <c r="P83" s="9"/>
      <c r="Q83" s="9"/>
      <c r="R83" s="9"/>
      <c r="S83" s="14"/>
    </row>
    <row r="84" spans="16:19" x14ac:dyDescent="0.75">
      <c r="P84" s="9"/>
      <c r="Q84" s="9"/>
      <c r="R84" s="9"/>
      <c r="S84" s="14"/>
    </row>
    <row r="85" spans="16:19" x14ac:dyDescent="0.75">
      <c r="P85" s="9"/>
      <c r="Q85" s="9"/>
      <c r="R85" s="9"/>
      <c r="S85" s="14"/>
    </row>
    <row r="86" spans="16:19" x14ac:dyDescent="0.75">
      <c r="P86" s="9"/>
      <c r="Q86" s="9"/>
      <c r="R86" s="9"/>
      <c r="S86" s="14"/>
    </row>
    <row r="87" spans="16:19" x14ac:dyDescent="0.75">
      <c r="P87" s="9"/>
      <c r="Q87" s="9"/>
      <c r="R87" s="9"/>
      <c r="S87" s="14"/>
    </row>
    <row r="88" spans="16:19" x14ac:dyDescent="0.75">
      <c r="P88" s="9"/>
      <c r="Q88" s="9"/>
      <c r="R88" s="9"/>
      <c r="S88" s="14"/>
    </row>
    <row r="89" spans="16:19" x14ac:dyDescent="0.75">
      <c r="P89" s="9"/>
      <c r="Q89" s="9"/>
      <c r="R89" s="9"/>
      <c r="S89" s="14"/>
    </row>
    <row r="90" spans="16:19" x14ac:dyDescent="0.75">
      <c r="P90" s="9"/>
      <c r="Q90" s="9"/>
      <c r="R90" s="9"/>
      <c r="S90" s="14"/>
    </row>
    <row r="91" spans="16:19" x14ac:dyDescent="0.75">
      <c r="P91" s="9"/>
      <c r="Q91" s="9"/>
      <c r="R91" s="9"/>
      <c r="S91" s="14"/>
    </row>
    <row r="92" spans="16:19" x14ac:dyDescent="0.75">
      <c r="P92" s="9"/>
      <c r="Q92" s="9"/>
      <c r="R92" s="9"/>
      <c r="S92" s="14"/>
    </row>
    <row r="93" spans="16:19" x14ac:dyDescent="0.75">
      <c r="P93" s="9"/>
      <c r="Q93" s="9"/>
      <c r="R93" s="9"/>
      <c r="S93" s="14"/>
    </row>
    <row r="94" spans="16:19" x14ac:dyDescent="0.75">
      <c r="P94" s="9"/>
      <c r="Q94" s="9"/>
      <c r="R94" s="9"/>
      <c r="S94" s="14"/>
    </row>
    <row r="95" spans="16:19" x14ac:dyDescent="0.75">
      <c r="P95" s="9"/>
      <c r="Q95" s="9"/>
      <c r="R95" s="9"/>
      <c r="S95" s="14"/>
    </row>
    <row r="96" spans="16:19" x14ac:dyDescent="0.75">
      <c r="P96" s="9"/>
      <c r="Q96" s="9"/>
      <c r="R96" s="9"/>
      <c r="S96" s="14"/>
    </row>
    <row r="97" spans="16:19" x14ac:dyDescent="0.75">
      <c r="P97" s="9"/>
      <c r="Q97" s="9"/>
      <c r="R97" s="9"/>
      <c r="S97" s="14"/>
    </row>
    <row r="98" spans="16:19" x14ac:dyDescent="0.75">
      <c r="P98" s="9"/>
      <c r="Q98" s="9"/>
      <c r="R98" s="9"/>
      <c r="S98" s="14"/>
    </row>
    <row r="99" spans="16:19" x14ac:dyDescent="0.75">
      <c r="P99" s="9"/>
      <c r="Q99" s="9"/>
      <c r="R99" s="9"/>
      <c r="S99" s="14"/>
    </row>
    <row r="100" spans="16:19" x14ac:dyDescent="0.75">
      <c r="P100" s="9"/>
      <c r="Q100" s="9"/>
      <c r="R100" s="9"/>
      <c r="S100" s="14"/>
    </row>
    <row r="101" spans="16:19" x14ac:dyDescent="0.75">
      <c r="P101" s="9"/>
      <c r="Q101" s="9"/>
      <c r="R101" s="9"/>
      <c r="S101" s="14"/>
    </row>
    <row r="102" spans="16:19" x14ac:dyDescent="0.75">
      <c r="P102" s="9"/>
      <c r="Q102" s="9"/>
      <c r="R102" s="9"/>
      <c r="S102" s="14"/>
    </row>
    <row r="103" spans="16:19" x14ac:dyDescent="0.75">
      <c r="P103" s="9"/>
      <c r="Q103" s="9"/>
      <c r="R103" s="9"/>
      <c r="S103" s="14"/>
    </row>
    <row r="104" spans="16:19" x14ac:dyDescent="0.75">
      <c r="P104" s="9"/>
      <c r="Q104" s="9"/>
      <c r="R104" s="9"/>
      <c r="S104" s="14"/>
    </row>
    <row r="105" spans="16:19" x14ac:dyDescent="0.75">
      <c r="P105" s="9"/>
      <c r="Q105" s="9"/>
      <c r="R105" s="9"/>
      <c r="S105" s="14"/>
    </row>
    <row r="106" spans="16:19" x14ac:dyDescent="0.75">
      <c r="P106" s="9"/>
      <c r="Q106" s="9"/>
      <c r="R106" s="9"/>
      <c r="S106" s="14"/>
    </row>
    <row r="107" spans="16:19" x14ac:dyDescent="0.75">
      <c r="P107" s="9"/>
      <c r="Q107" s="9"/>
      <c r="R107" s="9"/>
      <c r="S107" s="14"/>
    </row>
    <row r="108" spans="16:19" x14ac:dyDescent="0.75">
      <c r="P108" s="9"/>
      <c r="Q108" s="9"/>
      <c r="R108" s="9"/>
      <c r="S108" s="14"/>
    </row>
    <row r="109" spans="16:19" x14ac:dyDescent="0.75">
      <c r="P109" s="9"/>
      <c r="Q109" s="9"/>
      <c r="R109" s="9"/>
      <c r="S109" s="14"/>
    </row>
    <row r="110" spans="16:19" x14ac:dyDescent="0.75">
      <c r="P110" s="9"/>
      <c r="Q110" s="9"/>
      <c r="R110" s="9"/>
      <c r="S110" s="14"/>
    </row>
    <row r="111" spans="16:19" x14ac:dyDescent="0.75">
      <c r="P111" s="9"/>
      <c r="Q111" s="9"/>
      <c r="R111" s="9"/>
      <c r="S111" s="14"/>
    </row>
    <row r="112" spans="16:19" x14ac:dyDescent="0.75">
      <c r="P112" s="9"/>
      <c r="Q112" s="9"/>
      <c r="R112" s="9"/>
      <c r="S112" s="14"/>
    </row>
    <row r="113" spans="16:19" x14ac:dyDescent="0.75">
      <c r="P113" s="9"/>
      <c r="Q113" s="9"/>
      <c r="R113" s="9"/>
      <c r="S113" s="14"/>
    </row>
    <row r="114" spans="16:19" x14ac:dyDescent="0.75">
      <c r="P114" s="9"/>
      <c r="Q114" s="9"/>
      <c r="R114" s="9"/>
      <c r="S114" s="14"/>
    </row>
    <row r="115" spans="16:19" x14ac:dyDescent="0.75">
      <c r="P115" s="9"/>
      <c r="Q115" s="9"/>
      <c r="R115" s="9"/>
      <c r="S115" s="14"/>
    </row>
    <row r="116" spans="16:19" x14ac:dyDescent="0.75">
      <c r="P116" s="9"/>
      <c r="Q116" s="9"/>
      <c r="R116" s="9"/>
      <c r="S116" s="14"/>
    </row>
    <row r="117" spans="16:19" x14ac:dyDescent="0.75">
      <c r="P117" s="9"/>
      <c r="Q117" s="9"/>
      <c r="R117" s="9"/>
      <c r="S117" s="14"/>
    </row>
    <row r="118" spans="16:19" x14ac:dyDescent="0.75">
      <c r="P118" s="9"/>
      <c r="Q118" s="9"/>
      <c r="R118" s="9"/>
      <c r="S118" s="14"/>
    </row>
    <row r="119" spans="16:19" x14ac:dyDescent="0.75">
      <c r="P119" s="9"/>
      <c r="Q119" s="9"/>
      <c r="R119" s="9"/>
      <c r="S119" s="14"/>
    </row>
    <row r="120" spans="16:19" x14ac:dyDescent="0.75">
      <c r="P120" s="9"/>
      <c r="Q120" s="9"/>
      <c r="R120" s="9"/>
      <c r="S120" s="14"/>
    </row>
    <row r="121" spans="16:19" x14ac:dyDescent="0.75">
      <c r="P121" s="9">
        <v>107</v>
      </c>
      <c r="Q121" s="9">
        <f t="shared" ref="Q121:Q144" si="19">IF(MOD(P121,$Q$8)=0,P121/$Q$8-1,INT(P121/$Q$8))</f>
        <v>17</v>
      </c>
      <c r="R121" s="9">
        <f t="shared" ref="R121:R144" si="20">IF(MOD(P121,$Q$8)=0,$Q$8,MOD(P121,$Q$8))</f>
        <v>5</v>
      </c>
      <c r="S121" s="14" cm="1">
        <f t="array" ref="S121">INDEX('Subj-ConceptMap-1'!$I$15:$N$270,Q121+1,R121)</f>
        <v>0</v>
      </c>
    </row>
    <row r="122" spans="16:19" x14ac:dyDescent="0.75">
      <c r="P122" s="9">
        <v>108</v>
      </c>
      <c r="Q122" s="9">
        <f t="shared" si="19"/>
        <v>17</v>
      </c>
      <c r="R122" s="9">
        <f t="shared" si="20"/>
        <v>6</v>
      </c>
      <c r="S122" s="14" cm="1">
        <f t="array" ref="S122">INDEX('Subj-ConceptMap-1'!$I$15:$N$270,Q122+1,R122)</f>
        <v>0</v>
      </c>
    </row>
    <row r="123" spans="16:19" x14ac:dyDescent="0.75">
      <c r="P123" s="9">
        <v>109</v>
      </c>
      <c r="Q123" s="9">
        <f t="shared" si="19"/>
        <v>18</v>
      </c>
      <c r="R123" s="9">
        <f t="shared" si="20"/>
        <v>1</v>
      </c>
      <c r="S123" s="14" cm="1">
        <f t="array" ref="S123">INDEX('Subj-ConceptMap-1'!$I$15:$N$270,Q123+1,R123)</f>
        <v>0</v>
      </c>
    </row>
    <row r="124" spans="16:19" x14ac:dyDescent="0.75">
      <c r="P124" s="9">
        <v>110</v>
      </c>
      <c r="Q124" s="9">
        <f t="shared" si="19"/>
        <v>18</v>
      </c>
      <c r="R124" s="9">
        <f t="shared" si="20"/>
        <v>2</v>
      </c>
      <c r="S124" s="14" cm="1">
        <f t="array" ref="S124">INDEX('Subj-ConceptMap-1'!$I$15:$N$270,Q124+1,R124)</f>
        <v>0</v>
      </c>
    </row>
    <row r="125" spans="16:19" x14ac:dyDescent="0.75">
      <c r="P125" s="9">
        <v>111</v>
      </c>
      <c r="Q125" s="9">
        <f t="shared" si="19"/>
        <v>18</v>
      </c>
      <c r="R125" s="9">
        <f t="shared" si="20"/>
        <v>3</v>
      </c>
      <c r="S125" s="14" cm="1">
        <f t="array" ref="S125">INDEX('Subj-ConceptMap-1'!$I$15:$N$270,Q125+1,R125)</f>
        <v>0</v>
      </c>
    </row>
    <row r="126" spans="16:19" x14ac:dyDescent="0.75">
      <c r="P126" s="9">
        <v>112</v>
      </c>
      <c r="Q126" s="9">
        <f t="shared" si="19"/>
        <v>18</v>
      </c>
      <c r="R126" s="9">
        <f t="shared" si="20"/>
        <v>4</v>
      </c>
      <c r="S126" s="14" cm="1">
        <f t="array" ref="S126">INDEX('Subj-ConceptMap-1'!$I$15:$N$270,Q126+1,R126)</f>
        <v>0</v>
      </c>
    </row>
    <row r="127" spans="16:19" x14ac:dyDescent="0.75">
      <c r="P127" s="9">
        <v>113</v>
      </c>
      <c r="Q127" s="9">
        <f t="shared" si="19"/>
        <v>18</v>
      </c>
      <c r="R127" s="9">
        <f t="shared" si="20"/>
        <v>5</v>
      </c>
      <c r="S127" s="14" cm="1">
        <f t="array" ref="S127">INDEX('Subj-ConceptMap-1'!$I$15:$N$270,Q127+1,R127)</f>
        <v>0</v>
      </c>
    </row>
    <row r="128" spans="16:19" x14ac:dyDescent="0.75">
      <c r="P128" s="9">
        <v>114</v>
      </c>
      <c r="Q128" s="9">
        <f t="shared" si="19"/>
        <v>18</v>
      </c>
      <c r="R128" s="9">
        <f t="shared" si="20"/>
        <v>6</v>
      </c>
      <c r="S128" s="14" cm="1">
        <f t="array" ref="S128">INDEX('Subj-ConceptMap-1'!$I$15:$N$270,Q128+1,R128)</f>
        <v>0</v>
      </c>
    </row>
    <row r="129" spans="16:19" x14ac:dyDescent="0.75">
      <c r="P129" s="9">
        <v>115</v>
      </c>
      <c r="Q129" s="9">
        <f t="shared" si="19"/>
        <v>19</v>
      </c>
      <c r="R129" s="9">
        <f t="shared" si="20"/>
        <v>1</v>
      </c>
      <c r="S129" s="14" cm="1">
        <f t="array" ref="S129">INDEX('Subj-ConceptMap-1'!$I$15:$N$270,Q129+1,R129)</f>
        <v>0</v>
      </c>
    </row>
    <row r="130" spans="16:19" x14ac:dyDescent="0.75">
      <c r="P130" s="9">
        <v>116</v>
      </c>
      <c r="Q130" s="9">
        <f t="shared" si="19"/>
        <v>19</v>
      </c>
      <c r="R130" s="9">
        <f t="shared" si="20"/>
        <v>2</v>
      </c>
      <c r="S130" s="14" cm="1">
        <f t="array" ref="S130">INDEX('Subj-ConceptMap-1'!$I$15:$N$270,Q130+1,R130)</f>
        <v>0</v>
      </c>
    </row>
    <row r="131" spans="16:19" x14ac:dyDescent="0.75">
      <c r="P131" s="9">
        <v>117</v>
      </c>
      <c r="Q131" s="9">
        <f t="shared" si="19"/>
        <v>19</v>
      </c>
      <c r="R131" s="9">
        <f t="shared" si="20"/>
        <v>3</v>
      </c>
      <c r="S131" s="14" cm="1">
        <f t="array" ref="S131">INDEX('Subj-ConceptMap-1'!$I$15:$N$270,Q131+1,R131)</f>
        <v>0</v>
      </c>
    </row>
    <row r="132" spans="16:19" x14ac:dyDescent="0.75">
      <c r="P132" s="9">
        <v>118</v>
      </c>
      <c r="Q132" s="9">
        <f t="shared" si="19"/>
        <v>19</v>
      </c>
      <c r="R132" s="9">
        <f t="shared" si="20"/>
        <v>4</v>
      </c>
      <c r="S132" s="14" cm="1">
        <f t="array" ref="S132">INDEX('Subj-ConceptMap-1'!$I$15:$N$270,Q132+1,R132)</f>
        <v>0</v>
      </c>
    </row>
    <row r="133" spans="16:19" x14ac:dyDescent="0.75">
      <c r="P133" s="9">
        <v>119</v>
      </c>
      <c r="Q133" s="9">
        <f t="shared" si="19"/>
        <v>19</v>
      </c>
      <c r="R133" s="9">
        <f t="shared" si="20"/>
        <v>5</v>
      </c>
      <c r="S133" s="14" cm="1">
        <f t="array" ref="S133">INDEX('Subj-ConceptMap-1'!$I$15:$N$270,Q133+1,R133)</f>
        <v>0</v>
      </c>
    </row>
    <row r="134" spans="16:19" x14ac:dyDescent="0.75">
      <c r="P134" s="9">
        <v>120</v>
      </c>
      <c r="Q134" s="9">
        <f t="shared" si="19"/>
        <v>19</v>
      </c>
      <c r="R134" s="9">
        <f t="shared" si="20"/>
        <v>6</v>
      </c>
      <c r="S134" s="14" cm="1">
        <f t="array" ref="S134">INDEX('Subj-ConceptMap-1'!$I$15:$N$270,Q134+1,R134)</f>
        <v>0</v>
      </c>
    </row>
    <row r="135" spans="16:19" x14ac:dyDescent="0.75">
      <c r="P135" s="9">
        <v>121</v>
      </c>
      <c r="Q135" s="9">
        <f t="shared" si="19"/>
        <v>20</v>
      </c>
      <c r="R135" s="9">
        <f t="shared" si="20"/>
        <v>1</v>
      </c>
      <c r="S135" s="14" cm="1">
        <f t="array" ref="S135">INDEX('Subj-ConceptMap-1'!$I$15:$N$270,Q135+1,R135)</f>
        <v>0</v>
      </c>
    </row>
    <row r="136" spans="16:19" x14ac:dyDescent="0.75">
      <c r="P136" s="9">
        <v>122</v>
      </c>
      <c r="Q136" s="9">
        <f t="shared" si="19"/>
        <v>20</v>
      </c>
      <c r="R136" s="9">
        <f t="shared" si="20"/>
        <v>2</v>
      </c>
      <c r="S136" s="14" cm="1">
        <f t="array" ref="S136">INDEX('Subj-ConceptMap-1'!$I$15:$N$270,Q136+1,R136)</f>
        <v>0</v>
      </c>
    </row>
    <row r="137" spans="16:19" x14ac:dyDescent="0.75">
      <c r="P137" s="9">
        <v>123</v>
      </c>
      <c r="Q137" s="9">
        <f t="shared" si="19"/>
        <v>20</v>
      </c>
      <c r="R137" s="9">
        <f t="shared" si="20"/>
        <v>3</v>
      </c>
      <c r="S137" s="14" cm="1">
        <f t="array" ref="S137">INDEX('Subj-ConceptMap-1'!$I$15:$N$270,Q137+1,R137)</f>
        <v>0</v>
      </c>
    </row>
    <row r="138" spans="16:19" x14ac:dyDescent="0.75">
      <c r="P138" s="9">
        <v>124</v>
      </c>
      <c r="Q138" s="9">
        <f t="shared" si="19"/>
        <v>20</v>
      </c>
      <c r="R138" s="9">
        <f t="shared" si="20"/>
        <v>4</v>
      </c>
      <c r="S138" s="14" cm="1">
        <f t="array" ref="S138">INDEX('Subj-ConceptMap-1'!$I$15:$N$270,Q138+1,R138)</f>
        <v>0</v>
      </c>
    </row>
    <row r="139" spans="16:19" x14ac:dyDescent="0.75">
      <c r="P139" s="9">
        <v>125</v>
      </c>
      <c r="Q139" s="9">
        <f t="shared" si="19"/>
        <v>20</v>
      </c>
      <c r="R139" s="9">
        <f t="shared" si="20"/>
        <v>5</v>
      </c>
      <c r="S139" s="14" cm="1">
        <f t="array" ref="S139">INDEX('Subj-ConceptMap-1'!$I$15:$N$270,Q139+1,R139)</f>
        <v>0</v>
      </c>
    </row>
    <row r="140" spans="16:19" x14ac:dyDescent="0.75">
      <c r="P140" s="9">
        <v>126</v>
      </c>
      <c r="Q140" s="9">
        <f t="shared" si="19"/>
        <v>20</v>
      </c>
      <c r="R140" s="9">
        <f t="shared" si="20"/>
        <v>6</v>
      </c>
      <c r="S140" s="14" cm="1">
        <f t="array" ref="S140">INDEX('Subj-ConceptMap-1'!$I$15:$N$270,Q140+1,R140)</f>
        <v>0</v>
      </c>
    </row>
    <row r="141" spans="16:19" x14ac:dyDescent="0.75">
      <c r="P141" s="9">
        <v>127</v>
      </c>
      <c r="Q141" s="9">
        <f t="shared" si="19"/>
        <v>21</v>
      </c>
      <c r="R141" s="9">
        <f t="shared" si="20"/>
        <v>1</v>
      </c>
      <c r="S141" s="14" cm="1">
        <f t="array" ref="S141">INDEX('Subj-ConceptMap-1'!$I$15:$N$270,Q141+1,R141)</f>
        <v>0</v>
      </c>
    </row>
    <row r="142" spans="16:19" x14ac:dyDescent="0.75">
      <c r="P142" s="9">
        <v>128</v>
      </c>
      <c r="Q142" s="9">
        <f t="shared" si="19"/>
        <v>21</v>
      </c>
      <c r="R142" s="9">
        <f t="shared" si="20"/>
        <v>2</v>
      </c>
      <c r="S142" s="14" cm="1">
        <f t="array" ref="S142">INDEX('Subj-ConceptMap-1'!$I$15:$N$270,Q142+1,R142)</f>
        <v>0</v>
      </c>
    </row>
    <row r="143" spans="16:19" x14ac:dyDescent="0.75">
      <c r="P143" s="9">
        <v>129</v>
      </c>
      <c r="Q143" s="9">
        <f t="shared" si="19"/>
        <v>21</v>
      </c>
      <c r="R143" s="9">
        <f t="shared" si="20"/>
        <v>3</v>
      </c>
      <c r="S143" s="14" cm="1">
        <f t="array" ref="S143">INDEX('Subj-ConceptMap-1'!$I$15:$N$270,Q143+1,R143)</f>
        <v>0</v>
      </c>
    </row>
    <row r="144" spans="16:19" x14ac:dyDescent="0.75">
      <c r="P144" s="9">
        <v>130</v>
      </c>
      <c r="Q144" s="9">
        <f t="shared" si="19"/>
        <v>21</v>
      </c>
      <c r="R144" s="9">
        <f t="shared" si="20"/>
        <v>4</v>
      </c>
      <c r="S144" s="14" cm="1">
        <f t="array" ref="S144">INDEX('Subj-ConceptMap-1'!$I$15:$N$270,Q144+1,R144)</f>
        <v>0</v>
      </c>
    </row>
    <row r="145" spans="16:19" x14ac:dyDescent="0.75">
      <c r="P145" s="9">
        <v>131</v>
      </c>
      <c r="Q145" s="9">
        <f t="shared" ref="Q145:Q190" si="21">IF(MOD(P145,$Q$8)=0,P145/$Q$8-1,INT(P145/$Q$8))</f>
        <v>21</v>
      </c>
      <c r="R145" s="9">
        <f t="shared" ref="R145:R190" si="22">IF(MOD(P145,$Q$8)=0,$Q$8,MOD(P145,$Q$8))</f>
        <v>5</v>
      </c>
      <c r="S145" s="14" cm="1">
        <f t="array" ref="S145">INDEX('Subj-ConceptMap-1'!$I$15:$N$270,Q145+1,R145)</f>
        <v>0</v>
      </c>
    </row>
    <row r="146" spans="16:19" x14ac:dyDescent="0.75">
      <c r="P146" s="9">
        <v>132</v>
      </c>
      <c r="Q146" s="9">
        <f t="shared" si="21"/>
        <v>21</v>
      </c>
      <c r="R146" s="9">
        <f t="shared" si="22"/>
        <v>6</v>
      </c>
      <c r="S146" s="14" cm="1">
        <f t="array" ref="S146">INDEX('Subj-ConceptMap-1'!$I$15:$N$270,Q146+1,R146)</f>
        <v>0</v>
      </c>
    </row>
    <row r="147" spans="16:19" x14ac:dyDescent="0.75">
      <c r="P147" s="9">
        <v>133</v>
      </c>
      <c r="Q147" s="9">
        <f t="shared" si="21"/>
        <v>22</v>
      </c>
      <c r="R147" s="9">
        <f t="shared" si="22"/>
        <v>1</v>
      </c>
      <c r="S147" s="14" cm="1">
        <f t="array" ref="S147">INDEX('Subj-ConceptMap-1'!$I$15:$N$270,Q147+1,R147)</f>
        <v>0</v>
      </c>
    </row>
    <row r="148" spans="16:19" x14ac:dyDescent="0.75">
      <c r="P148" s="9">
        <v>134</v>
      </c>
      <c r="Q148" s="9">
        <f t="shared" si="21"/>
        <v>22</v>
      </c>
      <c r="R148" s="9">
        <f t="shared" si="22"/>
        <v>2</v>
      </c>
      <c r="S148" s="14" cm="1">
        <f t="array" ref="S148">INDEX('Subj-ConceptMap-1'!$I$15:$N$270,Q148+1,R148)</f>
        <v>0</v>
      </c>
    </row>
    <row r="149" spans="16:19" x14ac:dyDescent="0.75">
      <c r="P149" s="9">
        <v>135</v>
      </c>
      <c r="Q149" s="9">
        <f t="shared" si="21"/>
        <v>22</v>
      </c>
      <c r="R149" s="9">
        <f t="shared" si="22"/>
        <v>3</v>
      </c>
      <c r="S149" s="14" cm="1">
        <f t="array" ref="S149">INDEX('Subj-ConceptMap-1'!$I$15:$N$270,Q149+1,R149)</f>
        <v>0</v>
      </c>
    </row>
    <row r="150" spans="16:19" x14ac:dyDescent="0.75">
      <c r="P150" s="9">
        <v>136</v>
      </c>
      <c r="Q150" s="9">
        <f t="shared" si="21"/>
        <v>22</v>
      </c>
      <c r="R150" s="9">
        <f t="shared" si="22"/>
        <v>4</v>
      </c>
      <c r="S150" s="14" cm="1">
        <f t="array" ref="S150">INDEX('Subj-ConceptMap-1'!$I$15:$N$270,Q150+1,R150)</f>
        <v>0</v>
      </c>
    </row>
    <row r="151" spans="16:19" x14ac:dyDescent="0.75">
      <c r="P151" s="9">
        <v>137</v>
      </c>
      <c r="Q151" s="9">
        <f t="shared" si="21"/>
        <v>22</v>
      </c>
      <c r="R151" s="9">
        <f t="shared" si="22"/>
        <v>5</v>
      </c>
      <c r="S151" s="14" cm="1">
        <f t="array" ref="S151">INDEX('Subj-ConceptMap-1'!$I$15:$N$270,Q151+1,R151)</f>
        <v>0</v>
      </c>
    </row>
    <row r="152" spans="16:19" x14ac:dyDescent="0.75">
      <c r="P152" s="9">
        <v>138</v>
      </c>
      <c r="Q152" s="9">
        <f t="shared" si="21"/>
        <v>22</v>
      </c>
      <c r="R152" s="9">
        <f t="shared" si="22"/>
        <v>6</v>
      </c>
      <c r="S152" s="14" cm="1">
        <f t="array" ref="S152">INDEX('Subj-ConceptMap-1'!$I$15:$N$270,Q152+1,R152)</f>
        <v>0</v>
      </c>
    </row>
    <row r="153" spans="16:19" x14ac:dyDescent="0.75">
      <c r="P153" s="9">
        <v>139</v>
      </c>
      <c r="Q153" s="9">
        <f t="shared" si="21"/>
        <v>23</v>
      </c>
      <c r="R153" s="9">
        <f t="shared" si="22"/>
        <v>1</v>
      </c>
      <c r="S153" s="14" cm="1">
        <f t="array" ref="S153">INDEX('Subj-ConceptMap-1'!$I$15:$N$270,Q153+1,R153)</f>
        <v>0</v>
      </c>
    </row>
    <row r="154" spans="16:19" x14ac:dyDescent="0.75">
      <c r="P154" s="9">
        <v>140</v>
      </c>
      <c r="Q154" s="9">
        <f t="shared" si="21"/>
        <v>23</v>
      </c>
      <c r="R154" s="9">
        <f t="shared" si="22"/>
        <v>2</v>
      </c>
      <c r="S154" s="14" cm="1">
        <f t="array" ref="S154">INDEX('Subj-ConceptMap-1'!$I$15:$N$270,Q154+1,R154)</f>
        <v>0</v>
      </c>
    </row>
    <row r="155" spans="16:19" x14ac:dyDescent="0.75">
      <c r="P155" s="9">
        <v>141</v>
      </c>
      <c r="Q155" s="9">
        <f t="shared" si="21"/>
        <v>23</v>
      </c>
      <c r="R155" s="9">
        <f t="shared" si="22"/>
        <v>3</v>
      </c>
      <c r="S155" s="14" cm="1">
        <f t="array" ref="S155">INDEX('Subj-ConceptMap-1'!$I$15:$N$270,Q155+1,R155)</f>
        <v>0</v>
      </c>
    </row>
    <row r="156" spans="16:19" x14ac:dyDescent="0.75">
      <c r="P156" s="9">
        <v>142</v>
      </c>
      <c r="Q156" s="9">
        <f t="shared" si="21"/>
        <v>23</v>
      </c>
      <c r="R156" s="9">
        <f t="shared" si="22"/>
        <v>4</v>
      </c>
      <c r="S156" s="14" cm="1">
        <f t="array" ref="S156">INDEX('Subj-ConceptMap-1'!$I$15:$N$270,Q156+1,R156)</f>
        <v>0</v>
      </c>
    </row>
    <row r="157" spans="16:19" x14ac:dyDescent="0.75">
      <c r="P157" s="9">
        <v>143</v>
      </c>
      <c r="Q157" s="9">
        <f t="shared" si="21"/>
        <v>23</v>
      </c>
      <c r="R157" s="9">
        <f t="shared" si="22"/>
        <v>5</v>
      </c>
      <c r="S157" s="14" cm="1">
        <f t="array" ref="S157">INDEX('Subj-ConceptMap-1'!$I$15:$N$270,Q157+1,R157)</f>
        <v>0</v>
      </c>
    </row>
    <row r="158" spans="16:19" x14ac:dyDescent="0.75">
      <c r="P158" s="9">
        <v>144</v>
      </c>
      <c r="Q158" s="9">
        <f t="shared" si="21"/>
        <v>23</v>
      </c>
      <c r="R158" s="9">
        <f t="shared" si="22"/>
        <v>6</v>
      </c>
      <c r="S158" s="14" cm="1">
        <f t="array" ref="S158">INDEX('Subj-ConceptMap-1'!$I$15:$N$270,Q158+1,R158)</f>
        <v>0</v>
      </c>
    </row>
    <row r="159" spans="16:19" x14ac:dyDescent="0.75">
      <c r="P159" s="9">
        <v>145</v>
      </c>
      <c r="Q159" s="9">
        <f t="shared" si="21"/>
        <v>24</v>
      </c>
      <c r="R159" s="9">
        <f t="shared" si="22"/>
        <v>1</v>
      </c>
      <c r="S159" s="14" cm="1">
        <f t="array" ref="S159">INDEX('Subj-ConceptMap-1'!$I$15:$N$270,Q159+1,R159)</f>
        <v>0</v>
      </c>
    </row>
    <row r="160" spans="16:19" x14ac:dyDescent="0.75">
      <c r="P160" s="9">
        <v>146</v>
      </c>
      <c r="Q160" s="9">
        <f t="shared" si="21"/>
        <v>24</v>
      </c>
      <c r="R160" s="9">
        <f t="shared" si="22"/>
        <v>2</v>
      </c>
      <c r="S160" s="14" cm="1">
        <f t="array" ref="S160">INDEX('Subj-ConceptMap-1'!$I$15:$N$270,Q160+1,R160)</f>
        <v>0</v>
      </c>
    </row>
    <row r="161" spans="16:19" x14ac:dyDescent="0.75">
      <c r="P161" s="9">
        <v>147</v>
      </c>
      <c r="Q161" s="9">
        <f t="shared" si="21"/>
        <v>24</v>
      </c>
      <c r="R161" s="9">
        <f t="shared" si="22"/>
        <v>3</v>
      </c>
      <c r="S161" s="14" cm="1">
        <f t="array" ref="S161">INDEX('Subj-ConceptMap-1'!$I$15:$N$270,Q161+1,R161)</f>
        <v>0</v>
      </c>
    </row>
    <row r="162" spans="16:19" x14ac:dyDescent="0.75">
      <c r="P162" s="9">
        <v>148</v>
      </c>
      <c r="Q162" s="9">
        <f t="shared" si="21"/>
        <v>24</v>
      </c>
      <c r="R162" s="9">
        <f t="shared" si="22"/>
        <v>4</v>
      </c>
      <c r="S162" s="14" cm="1">
        <f t="array" ref="S162">INDEX('Subj-ConceptMap-1'!$I$15:$N$270,Q162+1,R162)</f>
        <v>0</v>
      </c>
    </row>
    <row r="163" spans="16:19" x14ac:dyDescent="0.75">
      <c r="P163" s="9">
        <v>149</v>
      </c>
      <c r="Q163" s="9">
        <f t="shared" si="21"/>
        <v>24</v>
      </c>
      <c r="R163" s="9">
        <f t="shared" si="22"/>
        <v>5</v>
      </c>
      <c r="S163" s="14" cm="1">
        <f t="array" ref="S163">INDEX('Subj-ConceptMap-1'!$I$15:$N$270,Q163+1,R163)</f>
        <v>0</v>
      </c>
    </row>
    <row r="164" spans="16:19" x14ac:dyDescent="0.75">
      <c r="P164" s="9">
        <v>150</v>
      </c>
      <c r="Q164" s="9">
        <f t="shared" si="21"/>
        <v>24</v>
      </c>
      <c r="R164" s="9">
        <f t="shared" si="22"/>
        <v>6</v>
      </c>
      <c r="S164" s="14" cm="1">
        <f t="array" ref="S164">INDEX('Subj-ConceptMap-1'!$I$15:$N$270,Q164+1,R164)</f>
        <v>0</v>
      </c>
    </row>
    <row r="165" spans="16:19" x14ac:dyDescent="0.75">
      <c r="P165" s="9">
        <v>151</v>
      </c>
      <c r="Q165" s="9">
        <f t="shared" si="21"/>
        <v>25</v>
      </c>
      <c r="R165" s="9">
        <f t="shared" si="22"/>
        <v>1</v>
      </c>
      <c r="S165" s="14" cm="1">
        <f t="array" ref="S165">INDEX('Subj-ConceptMap-1'!$I$15:$N$270,Q165+1,R165)</f>
        <v>0</v>
      </c>
    </row>
    <row r="166" spans="16:19" x14ac:dyDescent="0.75">
      <c r="P166" s="9">
        <v>152</v>
      </c>
      <c r="Q166" s="9">
        <f t="shared" si="21"/>
        <v>25</v>
      </c>
      <c r="R166" s="9">
        <f t="shared" si="22"/>
        <v>2</v>
      </c>
      <c r="S166" s="14" cm="1">
        <f t="array" ref="S166">INDEX('Subj-ConceptMap-1'!$I$15:$N$270,Q166+1,R166)</f>
        <v>0</v>
      </c>
    </row>
    <row r="167" spans="16:19" x14ac:dyDescent="0.75">
      <c r="P167" s="9">
        <v>153</v>
      </c>
      <c r="Q167" s="9">
        <f t="shared" si="21"/>
        <v>25</v>
      </c>
      <c r="R167" s="9">
        <f t="shared" si="22"/>
        <v>3</v>
      </c>
      <c r="S167" s="14" cm="1">
        <f t="array" ref="S167">INDEX('Subj-ConceptMap-1'!$I$15:$N$270,Q167+1,R167)</f>
        <v>0</v>
      </c>
    </row>
    <row r="168" spans="16:19" x14ac:dyDescent="0.75">
      <c r="P168" s="9">
        <v>154</v>
      </c>
      <c r="Q168" s="9">
        <f t="shared" si="21"/>
        <v>25</v>
      </c>
      <c r="R168" s="9">
        <f t="shared" si="22"/>
        <v>4</v>
      </c>
      <c r="S168" s="14" cm="1">
        <f t="array" ref="S168">INDEX('Subj-ConceptMap-1'!$I$15:$N$270,Q168+1,R168)</f>
        <v>0</v>
      </c>
    </row>
    <row r="169" spans="16:19" x14ac:dyDescent="0.75">
      <c r="P169" s="9">
        <v>155</v>
      </c>
      <c r="Q169" s="9">
        <f t="shared" si="21"/>
        <v>25</v>
      </c>
      <c r="R169" s="9">
        <f t="shared" si="22"/>
        <v>5</v>
      </c>
      <c r="S169" s="14" cm="1">
        <f t="array" ref="S169">INDEX('Subj-ConceptMap-1'!$I$15:$N$270,Q169+1,R169)</f>
        <v>0</v>
      </c>
    </row>
    <row r="170" spans="16:19" x14ac:dyDescent="0.75">
      <c r="P170" s="9">
        <v>156</v>
      </c>
      <c r="Q170" s="9">
        <f t="shared" si="21"/>
        <v>25</v>
      </c>
      <c r="R170" s="9">
        <f t="shared" si="22"/>
        <v>6</v>
      </c>
      <c r="S170" s="14" cm="1">
        <f t="array" ref="S170">INDEX('Subj-ConceptMap-1'!$I$15:$N$270,Q170+1,R170)</f>
        <v>0</v>
      </c>
    </row>
    <row r="171" spans="16:19" x14ac:dyDescent="0.75">
      <c r="P171" s="9">
        <v>157</v>
      </c>
      <c r="Q171" s="9">
        <f t="shared" si="21"/>
        <v>26</v>
      </c>
      <c r="R171" s="9">
        <f t="shared" si="22"/>
        <v>1</v>
      </c>
      <c r="S171" s="14" cm="1">
        <f t="array" ref="S171">INDEX('Subj-ConceptMap-1'!$I$15:$N$270,Q171+1,R171)</f>
        <v>0</v>
      </c>
    </row>
    <row r="172" spans="16:19" x14ac:dyDescent="0.75">
      <c r="P172" s="9">
        <v>158</v>
      </c>
      <c r="Q172" s="9">
        <f t="shared" si="21"/>
        <v>26</v>
      </c>
      <c r="R172" s="9">
        <f t="shared" si="22"/>
        <v>2</v>
      </c>
      <c r="S172" s="14" cm="1">
        <f t="array" ref="S172">INDEX('Subj-ConceptMap-1'!$I$15:$N$270,Q172+1,R172)</f>
        <v>0</v>
      </c>
    </row>
    <row r="173" spans="16:19" x14ac:dyDescent="0.75">
      <c r="P173" s="9">
        <v>159</v>
      </c>
      <c r="Q173" s="9">
        <f t="shared" si="21"/>
        <v>26</v>
      </c>
      <c r="R173" s="9">
        <f t="shared" si="22"/>
        <v>3</v>
      </c>
      <c r="S173" s="14" cm="1">
        <f t="array" ref="S173">INDEX('Subj-ConceptMap-1'!$I$15:$N$270,Q173+1,R173)</f>
        <v>0</v>
      </c>
    </row>
    <row r="174" spans="16:19" x14ac:dyDescent="0.75">
      <c r="P174" s="9">
        <v>160</v>
      </c>
      <c r="Q174" s="9">
        <f t="shared" si="21"/>
        <v>26</v>
      </c>
      <c r="R174" s="9">
        <f t="shared" si="22"/>
        <v>4</v>
      </c>
      <c r="S174" s="14" cm="1">
        <f t="array" ref="S174">INDEX('Subj-ConceptMap-1'!$I$15:$N$270,Q174+1,R174)</f>
        <v>0</v>
      </c>
    </row>
    <row r="175" spans="16:19" x14ac:dyDescent="0.75">
      <c r="P175" s="9">
        <v>161</v>
      </c>
      <c r="Q175" s="9">
        <f t="shared" si="21"/>
        <v>26</v>
      </c>
      <c r="R175" s="9">
        <f t="shared" si="22"/>
        <v>5</v>
      </c>
      <c r="S175" s="14" cm="1">
        <f t="array" ref="S175">INDEX('Subj-ConceptMap-1'!$I$15:$N$270,Q175+1,R175)</f>
        <v>0</v>
      </c>
    </row>
    <row r="176" spans="16:19" x14ac:dyDescent="0.75">
      <c r="P176" s="9">
        <v>162</v>
      </c>
      <c r="Q176" s="9">
        <f t="shared" si="21"/>
        <v>26</v>
      </c>
      <c r="R176" s="9">
        <f t="shared" si="22"/>
        <v>6</v>
      </c>
      <c r="S176" s="14" cm="1">
        <f t="array" ref="S176">INDEX('Subj-ConceptMap-1'!$I$15:$N$270,Q176+1,R176)</f>
        <v>0</v>
      </c>
    </row>
    <row r="177" spans="16:19" x14ac:dyDescent="0.75">
      <c r="P177" s="9">
        <v>163</v>
      </c>
      <c r="Q177" s="9">
        <f t="shared" si="21"/>
        <v>27</v>
      </c>
      <c r="R177" s="9">
        <f t="shared" si="22"/>
        <v>1</v>
      </c>
      <c r="S177" s="14" cm="1">
        <f t="array" ref="S177">INDEX('Subj-ConceptMap-1'!$I$15:$N$270,Q177+1,R177)</f>
        <v>0</v>
      </c>
    </row>
    <row r="178" spans="16:19" x14ac:dyDescent="0.75">
      <c r="P178" s="9">
        <v>164</v>
      </c>
      <c r="Q178" s="9">
        <f t="shared" si="21"/>
        <v>27</v>
      </c>
      <c r="R178" s="9">
        <f t="shared" si="22"/>
        <v>2</v>
      </c>
      <c r="S178" s="14" cm="1">
        <f t="array" ref="S178">INDEX('Subj-ConceptMap-1'!$I$15:$N$270,Q178+1,R178)</f>
        <v>0</v>
      </c>
    </row>
    <row r="179" spans="16:19" x14ac:dyDescent="0.75">
      <c r="P179" s="9">
        <v>165</v>
      </c>
      <c r="Q179" s="9">
        <f t="shared" si="21"/>
        <v>27</v>
      </c>
      <c r="R179" s="9">
        <f t="shared" si="22"/>
        <v>3</v>
      </c>
      <c r="S179" s="14" cm="1">
        <f t="array" ref="S179">INDEX('Subj-ConceptMap-1'!$I$15:$N$270,Q179+1,R179)</f>
        <v>0</v>
      </c>
    </row>
    <row r="180" spans="16:19" x14ac:dyDescent="0.75">
      <c r="P180" s="9">
        <v>166</v>
      </c>
      <c r="Q180" s="9">
        <f t="shared" si="21"/>
        <v>27</v>
      </c>
      <c r="R180" s="9">
        <f t="shared" si="22"/>
        <v>4</v>
      </c>
      <c r="S180" s="14" cm="1">
        <f t="array" ref="S180">INDEX('Subj-ConceptMap-1'!$I$15:$N$270,Q180+1,R180)</f>
        <v>0</v>
      </c>
    </row>
    <row r="181" spans="16:19" x14ac:dyDescent="0.75">
      <c r="P181" s="9">
        <v>167</v>
      </c>
      <c r="Q181" s="9">
        <f t="shared" si="21"/>
        <v>27</v>
      </c>
      <c r="R181" s="9">
        <f t="shared" si="22"/>
        <v>5</v>
      </c>
      <c r="S181" s="14" cm="1">
        <f t="array" ref="S181">INDEX('Subj-ConceptMap-1'!$I$15:$N$270,Q181+1,R181)</f>
        <v>0</v>
      </c>
    </row>
    <row r="182" spans="16:19" x14ac:dyDescent="0.75">
      <c r="P182" s="9">
        <v>168</v>
      </c>
      <c r="Q182" s="9">
        <f t="shared" si="21"/>
        <v>27</v>
      </c>
      <c r="R182" s="9">
        <f t="shared" si="22"/>
        <v>6</v>
      </c>
      <c r="S182" s="14" cm="1">
        <f t="array" ref="S182">INDEX('Subj-ConceptMap-1'!$I$15:$N$270,Q182+1,R182)</f>
        <v>0</v>
      </c>
    </row>
    <row r="183" spans="16:19" x14ac:dyDescent="0.75">
      <c r="P183" s="9">
        <v>169</v>
      </c>
      <c r="Q183" s="9">
        <f t="shared" si="21"/>
        <v>28</v>
      </c>
      <c r="R183" s="9">
        <f t="shared" si="22"/>
        <v>1</v>
      </c>
      <c r="S183" s="14" cm="1">
        <f t="array" ref="S183">INDEX('Subj-ConceptMap-1'!$I$15:$N$270,Q183+1,R183)</f>
        <v>0</v>
      </c>
    </row>
    <row r="184" spans="16:19" x14ac:dyDescent="0.75">
      <c r="P184" s="9">
        <v>170</v>
      </c>
      <c r="Q184" s="9">
        <f t="shared" si="21"/>
        <v>28</v>
      </c>
      <c r="R184" s="9">
        <f t="shared" si="22"/>
        <v>2</v>
      </c>
      <c r="S184" s="14" cm="1">
        <f t="array" ref="S184">INDEX('Subj-ConceptMap-1'!$I$15:$N$270,Q184+1,R184)</f>
        <v>0</v>
      </c>
    </row>
    <row r="185" spans="16:19" x14ac:dyDescent="0.75">
      <c r="P185" s="9">
        <v>171</v>
      </c>
      <c r="Q185" s="9">
        <f t="shared" si="21"/>
        <v>28</v>
      </c>
      <c r="R185" s="9">
        <f t="shared" si="22"/>
        <v>3</v>
      </c>
      <c r="S185" s="14" cm="1">
        <f t="array" ref="S185">INDEX('Subj-ConceptMap-1'!$I$15:$N$270,Q185+1,R185)</f>
        <v>0</v>
      </c>
    </row>
    <row r="186" spans="16:19" x14ac:dyDescent="0.75">
      <c r="P186" s="9">
        <v>172</v>
      </c>
      <c r="Q186" s="9">
        <f t="shared" si="21"/>
        <v>28</v>
      </c>
      <c r="R186" s="9">
        <f t="shared" si="22"/>
        <v>4</v>
      </c>
      <c r="S186" s="14" cm="1">
        <f t="array" ref="S186">INDEX('Subj-ConceptMap-1'!$I$15:$N$270,Q186+1,R186)</f>
        <v>0</v>
      </c>
    </row>
    <row r="187" spans="16:19" x14ac:dyDescent="0.75">
      <c r="P187" s="9">
        <v>173</v>
      </c>
      <c r="Q187" s="9">
        <f t="shared" si="21"/>
        <v>28</v>
      </c>
      <c r="R187" s="9">
        <f t="shared" si="22"/>
        <v>5</v>
      </c>
      <c r="S187" s="14" cm="1">
        <f t="array" ref="S187">INDEX('Subj-ConceptMap-1'!$I$15:$N$270,Q187+1,R187)</f>
        <v>0</v>
      </c>
    </row>
    <row r="188" spans="16:19" x14ac:dyDescent="0.75">
      <c r="P188" s="9">
        <v>174</v>
      </c>
      <c r="Q188" s="9">
        <f t="shared" si="21"/>
        <v>28</v>
      </c>
      <c r="R188" s="9">
        <f t="shared" si="22"/>
        <v>6</v>
      </c>
      <c r="S188" s="14" cm="1">
        <f t="array" ref="S188">INDEX('Subj-ConceptMap-1'!$I$15:$N$270,Q188+1,R188)</f>
        <v>0</v>
      </c>
    </row>
    <row r="189" spans="16:19" x14ac:dyDescent="0.75">
      <c r="P189" s="9">
        <v>175</v>
      </c>
      <c r="Q189" s="9">
        <f t="shared" si="21"/>
        <v>29</v>
      </c>
      <c r="R189" s="9">
        <f t="shared" si="22"/>
        <v>1</v>
      </c>
      <c r="S189" s="14" cm="1">
        <f t="array" ref="S189">INDEX('Subj-ConceptMap-1'!$I$15:$N$270,Q189+1,R189)</f>
        <v>0</v>
      </c>
    </row>
    <row r="190" spans="16:19" x14ac:dyDescent="0.75">
      <c r="P190" s="9">
        <v>176</v>
      </c>
      <c r="Q190" s="9">
        <f t="shared" si="21"/>
        <v>29</v>
      </c>
      <c r="R190" s="9">
        <f t="shared" si="22"/>
        <v>2</v>
      </c>
      <c r="S190" s="14" cm="1">
        <f t="array" ref="S190">INDEX('Subj-ConceptMap-1'!$I$15:$N$270,Q190+1,R190)</f>
        <v>0</v>
      </c>
    </row>
  </sheetData>
  <mergeCells count="4">
    <mergeCell ref="E3:G3"/>
    <mergeCell ref="E4:G4"/>
    <mergeCell ref="E6:G6"/>
    <mergeCell ref="E7:G7"/>
  </mergeCells>
  <hyperlinks>
    <hyperlink ref="C6" r:id="rId1" xr:uid="{6A334214-24E7-4227-BBD5-19CA746AC2E5}"/>
  </hyperlinks>
  <pageMargins left="0.7" right="0.7" top="0.75" bottom="0.75" header="0.3" footer="0.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24C483-C687-4EED-AF6F-777916F7C9EB}">
  <sheetPr codeName="Foglio18">
    <tabColor theme="0" tint="-0.34998626667073579"/>
  </sheetPr>
  <dimension ref="B1:G251"/>
  <sheetViews>
    <sheetView workbookViewId="0"/>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2" t="s">
        <v>37</v>
      </c>
    </row>
    <row r="2" spans="2:7" ht="16.75" thickBot="1" x14ac:dyDescent="0.9">
      <c r="B2" s="33" t="s">
        <v>661</v>
      </c>
      <c r="G2" s="56" t="s">
        <v>718</v>
      </c>
    </row>
    <row r="3" spans="2:7" x14ac:dyDescent="0.75">
      <c r="B3" s="33" t="s">
        <v>37</v>
      </c>
    </row>
    <row r="4" spans="2:7" x14ac:dyDescent="0.75">
      <c r="B4" s="77" t="str">
        <f>"Instance: "&amp;'Subj-ConceptMap-1'!C4</f>
        <v>Instance: ConceptMap-eu-subject2FHIR</v>
      </c>
    </row>
    <row r="5" spans="2:7" x14ac:dyDescent="0.75">
      <c r="B5" s="77" t="s">
        <v>662</v>
      </c>
    </row>
    <row r="6" spans="2:7" x14ac:dyDescent="0.75">
      <c r="B6" s="77" t="s">
        <v>663</v>
      </c>
    </row>
    <row r="7" spans="2:7" x14ac:dyDescent="0.75">
      <c r="B7" s="77" t="s">
        <v>677</v>
      </c>
    </row>
    <row r="8" spans="2:7" x14ac:dyDescent="0.75">
      <c r="B8" s="77" t="str">
        <f>"* name = ##34#"&amp;'Subj-ConceptMap-1'!C3&amp;"##34#"</f>
        <v>* name = ##34#Subject2Fhir##34#</v>
      </c>
    </row>
    <row r="9" spans="2:7" x14ac:dyDescent="0.75">
      <c r="B9" s="77" t="str">
        <f>"* title = ##34#"&amp;'Subj-ConceptMap-1'!C5&amp;"##34#"</f>
        <v>* title = ##34#eHN Subject to this guide Map##34#</v>
      </c>
    </row>
    <row r="10" spans="2:7" x14ac:dyDescent="0.75">
      <c r="B10" s="77" t="s">
        <v>664</v>
      </c>
    </row>
    <row r="11" spans="2:7" x14ac:dyDescent="0.75">
      <c r="B11" s="77" t="s">
        <v>665</v>
      </c>
    </row>
    <row r="12" spans="2:7" x14ac:dyDescent="0.75">
      <c r="B12" s="77" t="str">
        <f>"* description = ##34#"&amp;'Subj-ConceptMap-1'!C8&amp;"##34#"</f>
        <v>* description = ##34#eHN Subject Model to this guide Map##34#</v>
      </c>
    </row>
    <row r="13" spans="2:7" x14ac:dyDescent="0.75">
      <c r="B13" s="77" t="str">
        <f>"* purpose = ##34#"&amp;'Subj-ConceptMap-1'!C9&amp;"##34#"</f>
        <v>* purpose = ##34#It shows how the Laboratory Report Subject data set defined by the EU eHN guidelines is mapped into this guide##34#</v>
      </c>
    </row>
    <row r="14" spans="2:7" x14ac:dyDescent="0.75">
      <c r="B14" s="78" t="str">
        <f>"* sourceUri = ##34#"&amp;'Subj-ConceptMap-1'!E3&amp;"##34#"</f>
        <v>* sourceUri = ##34#http://hl7.eu/fhir/laboratory/StructureDefinition/Subject##34#</v>
      </c>
    </row>
    <row r="15" spans="2:7" x14ac:dyDescent="0.75">
      <c r="B15" s="78" t="str">
        <f>"* targetUri = ##34#"&amp;'Subj-ConceptMap-1'!E4&amp;"##34#"</f>
        <v>* targetUri = ##34#http://hl7.eu/fhir/laboratory/StructureDefinition/Patient-eu-lab##34#</v>
      </c>
    </row>
    <row r="16" spans="2:7" x14ac:dyDescent="0.75">
      <c r="B16" s="77"/>
    </row>
    <row r="17" spans="2:7" x14ac:dyDescent="0.75">
      <c r="B17" s="79" t="str">
        <f>"* group[+].source = ##34#"&amp;'Subj-ConceptMap-1'!E6&amp;"##34#"</f>
        <v>* group[+].source = ##34#http://hl7.eu/fhir/laboratory/StructureDefinition/Subject##34#</v>
      </c>
    </row>
    <row r="18" spans="2:7" x14ac:dyDescent="0.75">
      <c r="B18" s="79" t="str">
        <f>"* group[=].target = ##34#"&amp;'Subj-ConceptMap-1'!E7&amp;"##34#"</f>
        <v>* group[=].target = ##34#http://hl7.eu/fhir/laboratory/StructureDefinition/Patient-eu-lab##34#</v>
      </c>
    </row>
    <row r="19" spans="2:7" x14ac:dyDescent="0.75">
      <c r="B19" s="81"/>
    </row>
    <row r="20" spans="2:7" x14ac:dyDescent="0.75">
      <c r="B20" s="14" t="str">
        <f>IF('Subj-ConceptMap-1'!S15=0,"//---END",'Subj-ConceptMap-1'!S15)</f>
        <v>* group[=].element[+].code = #Subject.identification</v>
      </c>
    </row>
    <row r="21" spans="2:7" x14ac:dyDescent="0.75">
      <c r="B21" s="14" t="str">
        <f>IF('Subj-ConceptMap-1'!S16=0,"//---END",'Subj-ConceptMap-1'!S16)</f>
        <v>* group[=].element[=].display = ##34#A.1.1 Identification of the patient/subject##34#</v>
      </c>
    </row>
    <row r="22" spans="2:7" x14ac:dyDescent="0.75">
      <c r="B22" s="14" t="str">
        <f>IF('Subj-ConceptMap-1'!S17=0,"//---END",'Subj-ConceptMap-1'!S17)</f>
        <v>* group[=].element[=].target.code = #Patient</v>
      </c>
    </row>
    <row r="23" spans="2:7" x14ac:dyDescent="0.75">
      <c r="B23" s="14" t="str">
        <f>IF('Subj-ConceptMap-1'!S18=0,"//---END",'Subj-ConceptMap-1'!S18)</f>
        <v>* group[=].element[=].target.display = ##34###34#</v>
      </c>
    </row>
    <row r="24" spans="2:7" x14ac:dyDescent="0.75">
      <c r="B24" s="14" t="str">
        <f>IF('Subj-ConceptMap-1'!S19=0,"//---END",'Subj-ConceptMap-1'!S19)</f>
        <v>* group[=].element[=].target.equivalence = #relatedto</v>
      </c>
    </row>
    <row r="25" spans="2:7" x14ac:dyDescent="0.75">
      <c r="B25" s="14" t="str">
        <f>IF('Subj-ConceptMap-1'!S20=0,"//---END",'Subj-ConceptMap-1'!S20)</f>
        <v/>
      </c>
      <c r="G25" s="10"/>
    </row>
    <row r="26" spans="2:7" x14ac:dyDescent="0.75">
      <c r="B26" s="14" t="str">
        <f>IF('Subj-ConceptMap-1'!S21=0,"//---END",'Subj-ConceptMap-1'!S21)</f>
        <v>* group[=].element[+].code = #Subject.identification.familyName</v>
      </c>
    </row>
    <row r="27" spans="2:7" x14ac:dyDescent="0.75">
      <c r="B27" s="14" t="str">
        <f>IF('Subj-ConceptMap-1'!S22=0,"//---END",'Subj-ConceptMap-1'!S22)</f>
        <v>* group[=].element[=].display = ##34#A.1.1.1 Familyname/surname##34#</v>
      </c>
    </row>
    <row r="28" spans="2:7" x14ac:dyDescent="0.75">
      <c r="B28" s="14" t="str">
        <f>IF('Subj-ConceptMap-1'!S23=0,"//---END",'Subj-ConceptMap-1'!S23)</f>
        <v>* group[=].element[=].target.code = #Patient.name.family</v>
      </c>
    </row>
    <row r="29" spans="2:7" x14ac:dyDescent="0.75">
      <c r="B29" s="14" t="str">
        <f>IF('Subj-ConceptMap-1'!S24=0,"//---END",'Subj-ConceptMap-1'!S24)</f>
        <v>* group[=].element[=].target.display = ##34###34#</v>
      </c>
    </row>
    <row r="30" spans="2:7" x14ac:dyDescent="0.75">
      <c r="B30" s="14" t="str">
        <f>IF('Subj-ConceptMap-1'!S25=0,"//---END",'Subj-ConceptMap-1'!S25)</f>
        <v>* group[=].element[=].target.equivalence = #equivalent</v>
      </c>
    </row>
    <row r="31" spans="2:7" x14ac:dyDescent="0.75">
      <c r="B31" s="14" t="str">
        <f>IF('Subj-ConceptMap-1'!S26=0,"//---END",'Subj-ConceptMap-1'!S26)</f>
        <v/>
      </c>
    </row>
    <row r="32" spans="2:7" x14ac:dyDescent="0.75">
      <c r="B32" s="14" t="str">
        <f>IF('Subj-ConceptMap-1'!S27=0,"//---END",'Subj-ConceptMap-1'!S27)</f>
        <v>* group[=].element[+].code = #Subject.identification.givenName</v>
      </c>
    </row>
    <row r="33" spans="2:2" x14ac:dyDescent="0.75">
      <c r="B33" s="14" t="str">
        <f>IF('Subj-ConceptMap-1'!S28=0,"//---END",'Subj-ConceptMap-1'!S28)</f>
        <v>* group[=].element[=].display = ##34#A.1.1.2 Given name##34#</v>
      </c>
    </row>
    <row r="34" spans="2:2" x14ac:dyDescent="0.75">
      <c r="B34" s="14" t="str">
        <f>IF('Subj-ConceptMap-1'!S29=0,"//---END",'Subj-ConceptMap-1'!S29)</f>
        <v>* group[=].element[=].target.code = #Patient.name.given</v>
      </c>
    </row>
    <row r="35" spans="2:2" x14ac:dyDescent="0.75">
      <c r="B35" s="14" t="str">
        <f>IF('Subj-ConceptMap-1'!S30=0,"//---END",'Subj-ConceptMap-1'!S30)</f>
        <v>* group[=].element[=].target.display = ##34###34#</v>
      </c>
    </row>
    <row r="36" spans="2:2" x14ac:dyDescent="0.75">
      <c r="B36" s="14" t="str">
        <f>IF('Subj-ConceptMap-1'!S31=0,"//---END",'Subj-ConceptMap-1'!S31)</f>
        <v>* group[=].element[=].target.equivalence = #equivalent</v>
      </c>
    </row>
    <row r="37" spans="2:2" x14ac:dyDescent="0.75">
      <c r="B37" s="14" t="str">
        <f>IF('Subj-ConceptMap-1'!S32=0,"//---END",'Subj-ConceptMap-1'!S32)</f>
        <v/>
      </c>
    </row>
    <row r="38" spans="2:2" x14ac:dyDescent="0.75">
      <c r="B38" s="14" t="str">
        <f>IF('Subj-ConceptMap-1'!S33=0,"//---END",'Subj-ConceptMap-1'!S33)</f>
        <v>* group[=].element[+].code = #Subject.identification.dateOfBirth</v>
      </c>
    </row>
    <row r="39" spans="2:2" x14ac:dyDescent="0.75">
      <c r="B39" s="14" t="str">
        <f>IF('Subj-ConceptMap-1'!S34=0,"//---END",'Subj-ConceptMap-1'!S34)</f>
        <v>* group[=].element[=].display = ##34#A.1.1.3 Date of birth##34#</v>
      </c>
    </row>
    <row r="40" spans="2:2" x14ac:dyDescent="0.75">
      <c r="B40" s="14" t="str">
        <f>IF('Subj-ConceptMap-1'!S35=0,"//---END",'Subj-ConceptMap-1'!S35)</f>
        <v>* group[=].element[=].target.code = #Patient.birthDate</v>
      </c>
    </row>
    <row r="41" spans="2:2" x14ac:dyDescent="0.75">
      <c r="B41" s="14" t="str">
        <f>IF('Subj-ConceptMap-1'!S36=0,"//---END",'Subj-ConceptMap-1'!S36)</f>
        <v>* group[=].element[=].target.display = ##34###34#</v>
      </c>
    </row>
    <row r="42" spans="2:2" x14ac:dyDescent="0.75">
      <c r="B42" s="14" t="str">
        <f>IF('Subj-ConceptMap-1'!S37=0,"//---END",'Subj-ConceptMap-1'!S37)</f>
        <v>* group[=].element[=].target.equivalence = #equivalent</v>
      </c>
    </row>
    <row r="43" spans="2:2" x14ac:dyDescent="0.75">
      <c r="B43" s="14" t="str">
        <f>IF('Subj-ConceptMap-1'!S38=0,"//---END",'Subj-ConceptMap-1'!S38)</f>
        <v/>
      </c>
    </row>
    <row r="44" spans="2:2" x14ac:dyDescent="0.75">
      <c r="B44" s="14" t="str">
        <f>IF('Subj-ConceptMap-1'!S39=0,"//---END",'Subj-ConceptMap-1'!S39)</f>
        <v>* group[=].element[+].code = #Subject.identification.identifier</v>
      </c>
    </row>
    <row r="45" spans="2:2" x14ac:dyDescent="0.75">
      <c r="B45" s="14" t="str">
        <f>IF('Subj-ConceptMap-1'!S40=0,"//---END",'Subj-ConceptMap-1'!S40)</f>
        <v>* group[=].element[=].display = ##34#A.1.1.4 Personal identifier##34#</v>
      </c>
    </row>
    <row r="46" spans="2:2" x14ac:dyDescent="0.75">
      <c r="B46" s="14" t="str">
        <f>IF('Subj-ConceptMap-1'!S41=0,"//---END",'Subj-ConceptMap-1'!S41)</f>
        <v>* group[=].element[=].target.code = #Patient.identifier</v>
      </c>
    </row>
    <row r="47" spans="2:2" x14ac:dyDescent="0.75">
      <c r="B47" s="14" t="str">
        <f>IF('Subj-ConceptMap-1'!S42=0,"//---END",'Subj-ConceptMap-1'!S42)</f>
        <v>* group[=].element[=].target.display = ##34###34#</v>
      </c>
    </row>
    <row r="48" spans="2:2" x14ac:dyDescent="0.75">
      <c r="B48" s="14" t="str">
        <f>IF('Subj-ConceptMap-1'!S43=0,"//---END",'Subj-ConceptMap-1'!S43)</f>
        <v>* group[=].element[=].target.equivalence = #equivalent</v>
      </c>
    </row>
    <row r="49" spans="2:2" x14ac:dyDescent="0.75">
      <c r="B49" s="14" t="str">
        <f>IF('Subj-ConceptMap-1'!S44=0,"//---END",'Subj-ConceptMap-1'!S44)</f>
        <v/>
      </c>
    </row>
    <row r="50" spans="2:2" x14ac:dyDescent="0.75">
      <c r="B50" s="14" t="str">
        <f>IF('Subj-ConceptMap-1'!S45=0,"//---END",'Subj-ConceptMap-1'!S45)</f>
        <v>* group[=].element[+].code = #Subject.identification.gender</v>
      </c>
    </row>
    <row r="51" spans="2:2" x14ac:dyDescent="0.75">
      <c r="B51" s="14" t="str">
        <f>IF('Subj-ConceptMap-1'!S46=0,"//---END",'Subj-ConceptMap-1'!S46)</f>
        <v>* group[=].element[=].display = ##34#A.1.1.5 Gender##34#</v>
      </c>
    </row>
    <row r="52" spans="2:2" x14ac:dyDescent="0.75">
      <c r="B52" s="14" t="str">
        <f>IF('Subj-ConceptMap-1'!S47=0,"//---END",'Subj-ConceptMap-1'!S47)</f>
        <v>* group[=].element[=].target.code = #Patient.gender</v>
      </c>
    </row>
    <row r="53" spans="2:2" x14ac:dyDescent="0.75">
      <c r="B53" s="14" t="str">
        <f>IF('Subj-ConceptMap-1'!S48=0,"//---END",'Subj-ConceptMap-1'!S48)</f>
        <v>* group[=].element[=].target.display = ##34###34#</v>
      </c>
    </row>
    <row r="54" spans="2:2" x14ac:dyDescent="0.75">
      <c r="B54" s="14" t="str">
        <f>IF('Subj-ConceptMap-1'!S49=0,"//---END",'Subj-ConceptMap-1'!S49)</f>
        <v>* group[=].element[=].target.equivalence = #equivalent</v>
      </c>
    </row>
    <row r="55" spans="2:2" x14ac:dyDescent="0.75">
      <c r="B55" s="14" t="str">
        <f>IF('Subj-ConceptMap-1'!S50=0,"//---END",'Subj-ConceptMap-1'!S50)</f>
        <v/>
      </c>
    </row>
    <row r="56" spans="2:2" x14ac:dyDescent="0.75">
      <c r="B56" s="14" t="str">
        <f>IF('Subj-ConceptMap-1'!S51=0,"//---END",'Subj-ConceptMap-1'!S51)</f>
        <v>* group[=].element[+].code = #Subject.addressTelecom</v>
      </c>
    </row>
    <row r="57" spans="2:2" x14ac:dyDescent="0.75">
      <c r="B57" s="14" t="str">
        <f>IF('Subj-ConceptMap-1'!S52=0,"//---END",'Subj-ConceptMap-1'!S52)</f>
        <v>* group[=].element[=].display = ##34#A.1.2 Patient/subject related contact information##34#</v>
      </c>
    </row>
    <row r="58" spans="2:2" x14ac:dyDescent="0.75">
      <c r="B58" s="14" t="str">
        <f>IF('Subj-ConceptMap-1'!S53=0,"//---END",'Subj-ConceptMap-1'!S53)</f>
        <v>* group[=].element[=].target.code = #Patient.$this</v>
      </c>
    </row>
    <row r="59" spans="2:2" x14ac:dyDescent="0.75">
      <c r="B59" s="14" t="str">
        <f>IF('Subj-ConceptMap-1'!S54=0,"//---END",'Subj-ConceptMap-1'!S54)</f>
        <v>* group[=].element[=].target.display = ##34###34#</v>
      </c>
    </row>
    <row r="60" spans="2:2" x14ac:dyDescent="0.75">
      <c r="B60" s="14" t="str">
        <f>IF('Subj-ConceptMap-1'!S55=0,"//---END",'Subj-ConceptMap-1'!S55)</f>
        <v>* group[=].element[=].target.equivalence = #relatedto</v>
      </c>
    </row>
    <row r="61" spans="2:2" x14ac:dyDescent="0.75">
      <c r="B61" s="14" t="str">
        <f>IF('Subj-ConceptMap-1'!S56=0,"//---END",'Subj-ConceptMap-1'!S56)</f>
        <v/>
      </c>
    </row>
    <row r="62" spans="2:2" x14ac:dyDescent="0.75">
      <c r="B62" s="14" t="str">
        <f>IF('Subj-ConceptMap-1'!S57=0,"//---END",'Subj-ConceptMap-1'!S57)</f>
        <v>* group[=].element[+].code = #Subject.addressTelecom.address</v>
      </c>
    </row>
    <row r="63" spans="2:2" x14ac:dyDescent="0.75">
      <c r="B63" s="14" t="str">
        <f>IF('Subj-ConceptMap-1'!S58=0,"//---END",'Subj-ConceptMap-1'!S58)</f>
        <v>* group[=].element[=].display = ##34#A.1.2.1 Address##34#</v>
      </c>
    </row>
    <row r="64" spans="2:2" x14ac:dyDescent="0.75">
      <c r="B64" s="14" t="str">
        <f>IF('Subj-ConceptMap-1'!S59=0,"//---END",'Subj-ConceptMap-1'!S59)</f>
        <v>* group[=].element[=].target.code = #Patient.address</v>
      </c>
    </row>
    <row r="65" spans="2:4" x14ac:dyDescent="0.75">
      <c r="B65" s="14" t="str">
        <f>IF('Subj-ConceptMap-1'!S60=0,"//---END",'Subj-ConceptMap-1'!S60)</f>
        <v>* group[=].element[=].target.display = ##34###34#</v>
      </c>
    </row>
    <row r="66" spans="2:4" x14ac:dyDescent="0.75">
      <c r="B66" s="14" t="str">
        <f>IF('Subj-ConceptMap-1'!S61=0,"//---END",'Subj-ConceptMap-1'!S61)</f>
        <v>* group[=].element[=].target.equivalence = #equivalent</v>
      </c>
    </row>
    <row r="67" spans="2:4" x14ac:dyDescent="0.75">
      <c r="B67" s="14" t="str">
        <f>IF('Subj-ConceptMap-1'!S62=0,"//---END",'Subj-ConceptMap-1'!S62)</f>
        <v/>
      </c>
    </row>
    <row r="68" spans="2:4" x14ac:dyDescent="0.75">
      <c r="B68" s="14" t="str">
        <f>IF('Subj-ConceptMap-1'!S63=0,"//---END",'Subj-ConceptMap-1'!S63)</f>
        <v>* group[=].element[+].code = #Subject.addressTelecom.telecom</v>
      </c>
    </row>
    <row r="69" spans="2:4" x14ac:dyDescent="0.75">
      <c r="B69" s="14" t="str">
        <f>IF('Subj-ConceptMap-1'!S64=0,"//---END",'Subj-ConceptMap-1'!S64)</f>
        <v>* group[=].element[=].display = ##34#A.1.2.2 Telecom##34#</v>
      </c>
    </row>
    <row r="70" spans="2:4" x14ac:dyDescent="0.75">
      <c r="B70" s="14" t="str">
        <f>IF('Subj-ConceptMap-1'!S65=0,"//---END",'Subj-ConceptMap-1'!S65)</f>
        <v>* group[=].element[=].target.code = #Patient.telecom</v>
      </c>
      <c r="D70" s="76"/>
    </row>
    <row r="71" spans="2:4" x14ac:dyDescent="0.75">
      <c r="B71" s="14" t="str">
        <f>IF('Subj-ConceptMap-1'!S66=0,"//---END",'Subj-ConceptMap-1'!S66)</f>
        <v>* group[=].element[=].target.display = ##34###34#</v>
      </c>
    </row>
    <row r="72" spans="2:4" x14ac:dyDescent="0.75">
      <c r="B72" s="14" t="str">
        <f>IF('Subj-ConceptMap-1'!S67=0,"//---END",'Subj-ConceptMap-1'!S67)</f>
        <v>* group[=].element[=].target.equivalence = #equivalent</v>
      </c>
    </row>
    <row r="73" spans="2:4" x14ac:dyDescent="0.75">
      <c r="B73" s="14" t="str">
        <f>IF('Subj-ConceptMap-1'!S68=0,"//---END",'Subj-ConceptMap-1'!S68)</f>
        <v/>
      </c>
    </row>
    <row r="74" spans="2:4" x14ac:dyDescent="0.75">
      <c r="B74" s="14" t="str">
        <f>IF('Subj-ConceptMap-1'!S69=0,"//---END",'Subj-ConceptMap-1'!S69)</f>
        <v>//---END</v>
      </c>
    </row>
    <row r="75" spans="2:4" x14ac:dyDescent="0.75">
      <c r="B75" s="14" t="str">
        <f>IF('Subj-ConceptMap-1'!S70=0,"//---END",'Subj-ConceptMap-1'!S70)</f>
        <v>//---END</v>
      </c>
    </row>
    <row r="76" spans="2:4" x14ac:dyDescent="0.75">
      <c r="B76" s="14" t="str">
        <f>IF('Subj-ConceptMap-1'!S71=0,"//---END",'Subj-ConceptMap-1'!S71)</f>
        <v>//---END</v>
      </c>
    </row>
    <row r="77" spans="2:4" x14ac:dyDescent="0.75">
      <c r="B77" s="14" t="str">
        <f>IF('Subj-ConceptMap-1'!S72=0,"//---END",'Subj-ConceptMap-1'!S72)</f>
        <v>//---END</v>
      </c>
    </row>
    <row r="78" spans="2:4" x14ac:dyDescent="0.75">
      <c r="B78" s="14"/>
    </row>
    <row r="79" spans="2:4" x14ac:dyDescent="0.75">
      <c r="B79" s="14"/>
    </row>
    <row r="80" spans="2:4" x14ac:dyDescent="0.75">
      <c r="B80" s="14"/>
    </row>
    <row r="81" spans="2:2" x14ac:dyDescent="0.75">
      <c r="B81" s="14"/>
    </row>
    <row r="82" spans="2:2" x14ac:dyDescent="0.75">
      <c r="B82" s="14"/>
    </row>
    <row r="83" spans="2:2" x14ac:dyDescent="0.75">
      <c r="B83" s="14"/>
    </row>
    <row r="84" spans="2:2" x14ac:dyDescent="0.75">
      <c r="B84" s="14"/>
    </row>
    <row r="85" spans="2:2" x14ac:dyDescent="0.75">
      <c r="B85" s="14"/>
    </row>
    <row r="86" spans="2:2" x14ac:dyDescent="0.75">
      <c r="B86" s="14"/>
    </row>
    <row r="87" spans="2:2" x14ac:dyDescent="0.75">
      <c r="B87" s="14"/>
    </row>
    <row r="88" spans="2:2" x14ac:dyDescent="0.75">
      <c r="B88" s="14"/>
    </row>
    <row r="128" spans="2:2" x14ac:dyDescent="0.75">
      <c r="B128" s="77"/>
    </row>
    <row r="129" spans="2:2" x14ac:dyDescent="0.75">
      <c r="B129" s="79"/>
    </row>
    <row r="130" spans="2:2" x14ac:dyDescent="0.75">
      <c r="B130" s="79"/>
    </row>
    <row r="131" spans="2:2" x14ac:dyDescent="0.75">
      <c r="B131" s="81"/>
    </row>
    <row r="133" spans="2:2" x14ac:dyDescent="0.75">
      <c r="B133" s="14"/>
    </row>
    <row r="134" spans="2:2" x14ac:dyDescent="0.75">
      <c r="B134" s="14"/>
    </row>
    <row r="135" spans="2:2" x14ac:dyDescent="0.75">
      <c r="B135" s="14"/>
    </row>
    <row r="136" spans="2:2" x14ac:dyDescent="0.75">
      <c r="B136" s="14"/>
    </row>
    <row r="137" spans="2:2" x14ac:dyDescent="0.75">
      <c r="B137" s="14"/>
    </row>
    <row r="138" spans="2:2" x14ac:dyDescent="0.75">
      <c r="B138" s="14"/>
    </row>
    <row r="139" spans="2:2" x14ac:dyDescent="0.75">
      <c r="B139" s="14"/>
    </row>
    <row r="140" spans="2:2" x14ac:dyDescent="0.75">
      <c r="B140" s="14"/>
    </row>
    <row r="141" spans="2:2" x14ac:dyDescent="0.75">
      <c r="B141" s="14"/>
    </row>
    <row r="142" spans="2:2" x14ac:dyDescent="0.75">
      <c r="B142" s="14"/>
    </row>
    <row r="143" spans="2:2" x14ac:dyDescent="0.75">
      <c r="B143" s="14"/>
    </row>
    <row r="144" spans="2:2" x14ac:dyDescent="0.75">
      <c r="B144" s="14"/>
    </row>
    <row r="145" spans="2:2" x14ac:dyDescent="0.75">
      <c r="B145" s="14"/>
    </row>
    <row r="146" spans="2:2" x14ac:dyDescent="0.75">
      <c r="B146" s="14"/>
    </row>
    <row r="147" spans="2:2" x14ac:dyDescent="0.75">
      <c r="B147" s="14"/>
    </row>
    <row r="148" spans="2:2" x14ac:dyDescent="0.75">
      <c r="B148" s="14"/>
    </row>
    <row r="149" spans="2:2" x14ac:dyDescent="0.75">
      <c r="B149" s="14"/>
    </row>
    <row r="150" spans="2:2" x14ac:dyDescent="0.75">
      <c r="B150" s="14"/>
    </row>
    <row r="151" spans="2:2" x14ac:dyDescent="0.75">
      <c r="B151" s="14"/>
    </row>
    <row r="152" spans="2:2" x14ac:dyDescent="0.75">
      <c r="B152" s="14"/>
    </row>
    <row r="153" spans="2:2" x14ac:dyDescent="0.75">
      <c r="B153" s="14"/>
    </row>
    <row r="154" spans="2:2" x14ac:dyDescent="0.75">
      <c r="B154" s="14"/>
    </row>
    <row r="155" spans="2:2" x14ac:dyDescent="0.75">
      <c r="B155" s="14"/>
    </row>
    <row r="156" spans="2:2" x14ac:dyDescent="0.75">
      <c r="B156" s="14"/>
    </row>
    <row r="157" spans="2:2" x14ac:dyDescent="0.75">
      <c r="B157" s="14"/>
    </row>
    <row r="158" spans="2:2" x14ac:dyDescent="0.75">
      <c r="B158" s="14"/>
    </row>
    <row r="159" spans="2:2" x14ac:dyDescent="0.75">
      <c r="B159" s="14"/>
    </row>
    <row r="160" spans="2:2" x14ac:dyDescent="0.75">
      <c r="B160" s="14"/>
    </row>
    <row r="161" spans="2:2" x14ac:dyDescent="0.75">
      <c r="B161" s="14"/>
    </row>
    <row r="162" spans="2:2" x14ac:dyDescent="0.75">
      <c r="B162" s="14"/>
    </row>
    <row r="163" spans="2:2" x14ac:dyDescent="0.75">
      <c r="B163" s="14"/>
    </row>
    <row r="164" spans="2:2" x14ac:dyDescent="0.75">
      <c r="B164" s="14"/>
    </row>
    <row r="165" spans="2:2" x14ac:dyDescent="0.75">
      <c r="B165" s="14"/>
    </row>
    <row r="166" spans="2:2" x14ac:dyDescent="0.75">
      <c r="B166" s="14"/>
    </row>
    <row r="167" spans="2:2" x14ac:dyDescent="0.75">
      <c r="B167" s="14"/>
    </row>
    <row r="168" spans="2:2" x14ac:dyDescent="0.75">
      <c r="B168" s="14"/>
    </row>
    <row r="169" spans="2:2" x14ac:dyDescent="0.75">
      <c r="B169" s="14"/>
    </row>
    <row r="170" spans="2:2" x14ac:dyDescent="0.75">
      <c r="B170" s="14"/>
    </row>
    <row r="171" spans="2:2" x14ac:dyDescent="0.75">
      <c r="B171" s="14"/>
    </row>
    <row r="172" spans="2:2" x14ac:dyDescent="0.75">
      <c r="B172" s="14"/>
    </row>
    <row r="173" spans="2:2" x14ac:dyDescent="0.75">
      <c r="B173" s="14"/>
    </row>
    <row r="174" spans="2:2" x14ac:dyDescent="0.75">
      <c r="B174" s="14"/>
    </row>
    <row r="175" spans="2:2" x14ac:dyDescent="0.75">
      <c r="B175" s="14"/>
    </row>
    <row r="176" spans="2:2" x14ac:dyDescent="0.75">
      <c r="B176" s="14"/>
    </row>
    <row r="177" spans="2:2" x14ac:dyDescent="0.75">
      <c r="B177" s="14"/>
    </row>
    <row r="178" spans="2:2" x14ac:dyDescent="0.75">
      <c r="B178" s="14"/>
    </row>
    <row r="179" spans="2:2" x14ac:dyDescent="0.75">
      <c r="B179" s="14"/>
    </row>
    <row r="180" spans="2:2" x14ac:dyDescent="0.75">
      <c r="B180" s="14"/>
    </row>
    <row r="181" spans="2:2" x14ac:dyDescent="0.75">
      <c r="B181" s="14"/>
    </row>
    <row r="182" spans="2:2" x14ac:dyDescent="0.75">
      <c r="B182" s="14"/>
    </row>
    <row r="183" spans="2:2" x14ac:dyDescent="0.75">
      <c r="B183" s="14"/>
    </row>
    <row r="184" spans="2:2" x14ac:dyDescent="0.75">
      <c r="B184" s="14"/>
    </row>
    <row r="185" spans="2:2" x14ac:dyDescent="0.75">
      <c r="B185" s="14"/>
    </row>
    <row r="186" spans="2:2" x14ac:dyDescent="0.75">
      <c r="B186" s="14"/>
    </row>
    <row r="187" spans="2:2" x14ac:dyDescent="0.75">
      <c r="B187" s="14"/>
    </row>
    <row r="188" spans="2:2" x14ac:dyDescent="0.75">
      <c r="B188" s="14"/>
    </row>
    <row r="189" spans="2:2" x14ac:dyDescent="0.75">
      <c r="B189" s="14"/>
    </row>
    <row r="190" spans="2:2" x14ac:dyDescent="0.75">
      <c r="B190" s="14"/>
    </row>
    <row r="191" spans="2:2" x14ac:dyDescent="0.75">
      <c r="B191" s="14"/>
    </row>
    <row r="192" spans="2:2" x14ac:dyDescent="0.75">
      <c r="B192" s="14"/>
    </row>
    <row r="193" spans="2:2" x14ac:dyDescent="0.75">
      <c r="B193" s="14"/>
    </row>
    <row r="194" spans="2:2" x14ac:dyDescent="0.75">
      <c r="B194" s="14"/>
    </row>
    <row r="195" spans="2:2" x14ac:dyDescent="0.75">
      <c r="B195" s="14"/>
    </row>
    <row r="196" spans="2:2" x14ac:dyDescent="0.75">
      <c r="B196" s="14"/>
    </row>
    <row r="197" spans="2:2" x14ac:dyDescent="0.75">
      <c r="B197" s="14"/>
    </row>
    <row r="198" spans="2:2" x14ac:dyDescent="0.75">
      <c r="B198" s="14"/>
    </row>
    <row r="199" spans="2:2" x14ac:dyDescent="0.75">
      <c r="B199" s="14"/>
    </row>
    <row r="200" spans="2:2" x14ac:dyDescent="0.75">
      <c r="B200" s="14"/>
    </row>
    <row r="201" spans="2:2" x14ac:dyDescent="0.75">
      <c r="B201" s="14"/>
    </row>
    <row r="202" spans="2:2" x14ac:dyDescent="0.75">
      <c r="B202" s="14"/>
    </row>
    <row r="203" spans="2:2" x14ac:dyDescent="0.75">
      <c r="B203" s="14"/>
    </row>
    <row r="204" spans="2:2" x14ac:dyDescent="0.75">
      <c r="B204" s="14"/>
    </row>
    <row r="205" spans="2:2" x14ac:dyDescent="0.75">
      <c r="B205" s="14"/>
    </row>
    <row r="206" spans="2:2" x14ac:dyDescent="0.75">
      <c r="B206" s="14"/>
    </row>
    <row r="207" spans="2:2" x14ac:dyDescent="0.75">
      <c r="B207" s="14"/>
    </row>
    <row r="208" spans="2:2" x14ac:dyDescent="0.75">
      <c r="B208" s="14"/>
    </row>
    <row r="209" spans="2:2" x14ac:dyDescent="0.75">
      <c r="B209" s="14"/>
    </row>
    <row r="210" spans="2:2" x14ac:dyDescent="0.75">
      <c r="B210" s="14"/>
    </row>
    <row r="211" spans="2:2" x14ac:dyDescent="0.75">
      <c r="B211" s="14"/>
    </row>
    <row r="212" spans="2:2" x14ac:dyDescent="0.75">
      <c r="B212" s="14"/>
    </row>
    <row r="213" spans="2:2" x14ac:dyDescent="0.75">
      <c r="B213" s="14"/>
    </row>
    <row r="214" spans="2:2" x14ac:dyDescent="0.75">
      <c r="B214" s="14"/>
    </row>
    <row r="215" spans="2:2" x14ac:dyDescent="0.75">
      <c r="B215" s="14"/>
    </row>
    <row r="216" spans="2:2" x14ac:dyDescent="0.75">
      <c r="B216" s="14"/>
    </row>
    <row r="217" spans="2:2" x14ac:dyDescent="0.75">
      <c r="B217" s="14"/>
    </row>
    <row r="218" spans="2:2" x14ac:dyDescent="0.75">
      <c r="B218" s="14"/>
    </row>
    <row r="219" spans="2:2" x14ac:dyDescent="0.75">
      <c r="B219" s="14"/>
    </row>
    <row r="220" spans="2:2" x14ac:dyDescent="0.75">
      <c r="B220" s="14"/>
    </row>
    <row r="221" spans="2:2" x14ac:dyDescent="0.75">
      <c r="B221" s="14"/>
    </row>
    <row r="222" spans="2:2" x14ac:dyDescent="0.75">
      <c r="B222" s="14"/>
    </row>
    <row r="223" spans="2:2" x14ac:dyDescent="0.75">
      <c r="B223" s="14"/>
    </row>
    <row r="224" spans="2:2" x14ac:dyDescent="0.75">
      <c r="B224" s="14"/>
    </row>
    <row r="225" spans="2:2" x14ac:dyDescent="0.75">
      <c r="B225" s="14"/>
    </row>
    <row r="226" spans="2:2" x14ac:dyDescent="0.75">
      <c r="B226" s="14"/>
    </row>
    <row r="227" spans="2:2" x14ac:dyDescent="0.75">
      <c r="B227" s="14"/>
    </row>
    <row r="228" spans="2:2" x14ac:dyDescent="0.75">
      <c r="B228" s="14"/>
    </row>
    <row r="229" spans="2:2" x14ac:dyDescent="0.75">
      <c r="B229" s="14"/>
    </row>
    <row r="230" spans="2:2" x14ac:dyDescent="0.75">
      <c r="B230" s="14"/>
    </row>
    <row r="231" spans="2:2" x14ac:dyDescent="0.75">
      <c r="B231" s="14"/>
    </row>
    <row r="232" spans="2:2" x14ac:dyDescent="0.75">
      <c r="B232" s="14"/>
    </row>
    <row r="233" spans="2:2" x14ac:dyDescent="0.75">
      <c r="B233" s="14"/>
    </row>
    <row r="234" spans="2:2" x14ac:dyDescent="0.75">
      <c r="B234" s="14"/>
    </row>
    <row r="235" spans="2:2" x14ac:dyDescent="0.75">
      <c r="B235" s="14"/>
    </row>
    <row r="236" spans="2:2" x14ac:dyDescent="0.75">
      <c r="B236" s="14"/>
    </row>
    <row r="237" spans="2:2" x14ac:dyDescent="0.75">
      <c r="B237" s="14"/>
    </row>
    <row r="238" spans="2:2" x14ac:dyDescent="0.75">
      <c r="B238" s="14"/>
    </row>
    <row r="239" spans="2:2" x14ac:dyDescent="0.75">
      <c r="B239" s="14"/>
    </row>
    <row r="240" spans="2:2" x14ac:dyDescent="0.75">
      <c r="B240" s="14"/>
    </row>
    <row r="241" spans="2:2" x14ac:dyDescent="0.75">
      <c r="B241" s="14"/>
    </row>
    <row r="242" spans="2:2" x14ac:dyDescent="0.75">
      <c r="B242" s="14"/>
    </row>
    <row r="243" spans="2:2" x14ac:dyDescent="0.75">
      <c r="B243" s="14"/>
    </row>
    <row r="244" spans="2:2" x14ac:dyDescent="0.75">
      <c r="B244" s="14"/>
    </row>
    <row r="245" spans="2:2" x14ac:dyDescent="0.75">
      <c r="B245" s="14"/>
    </row>
    <row r="246" spans="2:2" x14ac:dyDescent="0.75">
      <c r="B246" s="14"/>
    </row>
    <row r="247" spans="2:2" x14ac:dyDescent="0.75">
      <c r="B247" s="14"/>
    </row>
    <row r="248" spans="2:2" x14ac:dyDescent="0.75">
      <c r="B248" s="14"/>
    </row>
    <row r="249" spans="2:2" x14ac:dyDescent="0.75">
      <c r="B249" s="14"/>
    </row>
    <row r="250" spans="2:2" x14ac:dyDescent="0.75">
      <c r="B250" s="14"/>
    </row>
    <row r="251" spans="2:2" x14ac:dyDescent="0.75">
      <c r="B251" s="14"/>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75105"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557014-CE42-4780-99A7-4B647C2F78BA}">
  <sheetPr codeName="Foglio27">
    <tabColor theme="7" tint="0.39997558519241921"/>
  </sheetPr>
  <dimension ref="A1:L27"/>
  <sheetViews>
    <sheetView workbookViewId="0"/>
  </sheetViews>
  <sheetFormatPr defaultRowHeight="14.75" x14ac:dyDescent="0.75"/>
  <cols>
    <col min="1" max="1" width="16.54296875" customWidth="1"/>
    <col min="2" max="2" width="59.5" customWidth="1"/>
    <col min="3" max="3" width="44.6328125" customWidth="1"/>
    <col min="4" max="4" width="71.58984375" style="1" bestFit="1" customWidth="1"/>
    <col min="5" max="5" width="10.816406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11" x14ac:dyDescent="0.75">
      <c r="I1" s="32" t="s">
        <v>37</v>
      </c>
    </row>
    <row r="2" spans="1:11" x14ac:dyDescent="0.75">
      <c r="I2" s="33" t="s">
        <v>36</v>
      </c>
    </row>
    <row r="3" spans="1:11" ht="15.5" thickBot="1" x14ac:dyDescent="0.9">
      <c r="I3" s="33" t="str">
        <f>I1</f>
        <v>// -------------------------------------------------------------------------------</v>
      </c>
    </row>
    <row r="4" spans="1:11" x14ac:dyDescent="0.75">
      <c r="A4" s="6" t="s">
        <v>14</v>
      </c>
      <c r="B4" s="17" t="s">
        <v>359</v>
      </c>
      <c r="I4" s="25" t="str">
        <f>CONCATENATE("Logical: ",B4)</f>
        <v>Logical: PayerLabEhn</v>
      </c>
    </row>
    <row r="5" spans="1:11" x14ac:dyDescent="0.75">
      <c r="A5" s="18" t="s">
        <v>19</v>
      </c>
      <c r="B5" s="34" t="s">
        <v>358</v>
      </c>
      <c r="I5" s="25" t="str">
        <f>CONCATENATE("Id: ",B5)</f>
        <v>Id: Payer</v>
      </c>
    </row>
    <row r="6" spans="1:11" x14ac:dyDescent="0.75">
      <c r="A6" s="18" t="s">
        <v>13</v>
      </c>
      <c r="B6" s="19" t="s">
        <v>529</v>
      </c>
      <c r="I6" s="26" t="str">
        <f>CONCATENATE("Title: ##34#",B6,"##34#")</f>
        <v>Title: ##34#Health insurance and payment information (A.1.3)##34#</v>
      </c>
    </row>
    <row r="7" spans="1:11" ht="15.5" customHeight="1" thickBot="1" x14ac:dyDescent="0.9">
      <c r="A7" s="20" t="s">
        <v>5</v>
      </c>
      <c r="B7" s="21" t="s">
        <v>331</v>
      </c>
      <c r="C7" s="12" t="s">
        <v>6</v>
      </c>
      <c r="D7" s="2" t="s">
        <v>7</v>
      </c>
      <c r="E7" s="3" t="s">
        <v>8</v>
      </c>
      <c r="F7" s="3" t="s">
        <v>9</v>
      </c>
      <c r="G7" s="3" t="s">
        <v>10</v>
      </c>
      <c r="I7" s="26" t="str">
        <f>CONCATENATE("Description: "," ##334#",B7,"##334#",)</f>
        <v>Description:  ##334#A.1.3 Health insurance and payment information##334#</v>
      </c>
    </row>
    <row r="8" spans="1:11" ht="73.75" x14ac:dyDescent="0.75">
      <c r="A8" s="9">
        <v>1</v>
      </c>
      <c r="B8" s="9" t="s">
        <v>346</v>
      </c>
      <c r="C8" t="s">
        <v>342</v>
      </c>
      <c r="D8" s="14" t="s">
        <v>392</v>
      </c>
      <c r="E8" s="9">
        <v>0</v>
      </c>
      <c r="F8" s="9">
        <v>1</v>
      </c>
      <c r="G8" s="9" t="s">
        <v>4</v>
      </c>
      <c r="H8" s="23"/>
      <c r="I8" s="14" t="str">
        <f>CONCATENATE("* ",B8, " ",E8,"..",F8," ",G8," ##34#",C8,"##34# ##334#",D8,"##334#")</f>
        <v>* insurance 0..1 BackboneElement ##34#A.1.3.1 Health insurance information##34# ##334#Health insurance information is not always required, however, in some jurisdictions, the insurance number is also used as the patient identifier. It is necessary not just for identification but also forms access to funding for care.##334#</v>
      </c>
    </row>
    <row r="9" spans="1:11" ht="44.25" x14ac:dyDescent="0.75">
      <c r="A9" s="9">
        <v>2</v>
      </c>
      <c r="B9" s="9" t="s">
        <v>350</v>
      </c>
      <c r="C9" t="s">
        <v>343</v>
      </c>
      <c r="D9" s="14" t="s">
        <v>347</v>
      </c>
      <c r="E9" s="9">
        <v>0</v>
      </c>
      <c r="F9" s="9" t="s">
        <v>11</v>
      </c>
      <c r="G9" s="9" t="s">
        <v>0</v>
      </c>
      <c r="H9" s="23"/>
      <c r="I9" s="14" t="str">
        <f t="shared" ref="I9:I14" si="0">CONCATENATE("* ",B9, " ",E9,"..",F9," ",G9," ##34#",C9,"##34# ##334#",D9,"##334#")</f>
        <v>* insurance.identifier 0..* Identifier ##34#A.1.3.1.1 Health insurance code##34# ##334#Unique health insurance company identification code. ##334#</v>
      </c>
    </row>
    <row r="10" spans="1:11" ht="29.5" x14ac:dyDescent="0.75">
      <c r="A10" s="9">
        <v>3</v>
      </c>
      <c r="B10" s="9" t="s">
        <v>351</v>
      </c>
      <c r="C10" t="s">
        <v>344</v>
      </c>
      <c r="D10" s="14" t="s">
        <v>348</v>
      </c>
      <c r="E10" s="9">
        <v>0</v>
      </c>
      <c r="F10" s="9" t="s">
        <v>11</v>
      </c>
      <c r="G10" s="9" t="s">
        <v>3</v>
      </c>
      <c r="H10" s="23"/>
      <c r="I10" s="14" t="str">
        <f t="shared" si="0"/>
        <v>* insurance.name 0..* string ##34#A.1.3.1.2 Health insurance name##34# ##334#Full, official name of the healthcare insurance provider. ##334#</v>
      </c>
    </row>
    <row r="11" spans="1:11" ht="44.25" x14ac:dyDescent="0.75">
      <c r="A11" s="9">
        <v>4</v>
      </c>
      <c r="B11" s="9" t="s">
        <v>352</v>
      </c>
      <c r="C11" t="s">
        <v>345</v>
      </c>
      <c r="D11" s="14" t="s">
        <v>349</v>
      </c>
      <c r="E11" s="9">
        <v>0</v>
      </c>
      <c r="F11" s="9" t="s">
        <v>11</v>
      </c>
      <c r="G11" s="9" t="s">
        <v>0</v>
      </c>
      <c r="H11" s="23"/>
      <c r="I11" s="14" t="str">
        <f t="shared" si="0"/>
        <v>* insurance.subjectIdentifier 0..* Identifier ##34#A.1.3.1.3 Health insurance number##34# ##334#Number or code under which the insured person is registered at the insurance provider. ##334#</v>
      </c>
    </row>
    <row r="12" spans="1:11" x14ac:dyDescent="0.75">
      <c r="A12" s="9">
        <v>5</v>
      </c>
      <c r="B12" s="9"/>
      <c r="C12" s="9"/>
      <c r="D12" s="14"/>
      <c r="E12" s="9"/>
      <c r="F12" s="9"/>
      <c r="G12" s="9"/>
      <c r="H12" s="23"/>
      <c r="I12" s="14" t="str">
        <f t="shared" si="0"/>
        <v>*  ..  ##34###34# ##334###334#</v>
      </c>
    </row>
    <row r="13" spans="1:11" x14ac:dyDescent="0.75">
      <c r="A13" s="9">
        <v>6</v>
      </c>
      <c r="B13" s="9"/>
      <c r="C13" s="16"/>
      <c r="D13" s="14"/>
      <c r="E13" s="9"/>
      <c r="F13" s="9"/>
      <c r="G13" s="9"/>
      <c r="H13" s="23"/>
      <c r="I13" s="14" t="str">
        <f t="shared" si="0"/>
        <v>*  ..  ##34###34# ##334###334#</v>
      </c>
    </row>
    <row r="14" spans="1:11" x14ac:dyDescent="0.75">
      <c r="A14" s="9">
        <v>7</v>
      </c>
      <c r="B14" s="9"/>
      <c r="C14" s="16"/>
      <c r="D14" s="52"/>
      <c r="E14" s="9"/>
      <c r="F14" s="9"/>
      <c r="G14" s="9"/>
      <c r="H14" s="23"/>
      <c r="I14" s="14" t="str">
        <f t="shared" si="0"/>
        <v>*  ..  ##34###34# ##334###334#</v>
      </c>
    </row>
    <row r="15" spans="1:11" x14ac:dyDescent="0.75">
      <c r="A15" s="9">
        <v>8</v>
      </c>
      <c r="B15" s="9"/>
      <c r="C15" s="9"/>
      <c r="D15" s="14"/>
      <c r="E15" s="9"/>
      <c r="F15" s="9"/>
      <c r="G15" s="9"/>
      <c r="H15" s="23"/>
      <c r="I15" s="14"/>
      <c r="J15" s="16"/>
      <c r="K15" s="9"/>
    </row>
    <row r="16" spans="1:11" ht="29.5" customHeight="1" x14ac:dyDescent="0.75">
      <c r="A16" s="9">
        <v>9</v>
      </c>
      <c r="B16" s="9"/>
      <c r="C16" s="9"/>
      <c r="D16" s="14"/>
      <c r="E16" s="9"/>
      <c r="F16" s="9"/>
      <c r="G16" s="53"/>
      <c r="H16" s="9"/>
      <c r="I16" s="14"/>
    </row>
    <row r="17" spans="2:9" x14ac:dyDescent="0.75">
      <c r="I17" s="14"/>
    </row>
    <row r="18" spans="2:9" x14ac:dyDescent="0.75">
      <c r="I18" s="14"/>
    </row>
    <row r="19" spans="2:9" x14ac:dyDescent="0.75">
      <c r="I19" s="14"/>
    </row>
    <row r="20" spans="2:9" x14ac:dyDescent="0.75">
      <c r="I20" s="14"/>
    </row>
    <row r="21" spans="2:9" x14ac:dyDescent="0.75">
      <c r="B21" t="str">
        <f t="shared" ref="B21:B27" si="1">CONCATENATE(C21," ",D21)</f>
        <v xml:space="preserve"> </v>
      </c>
      <c r="I21"/>
    </row>
    <row r="22" spans="2:9" ht="15.5" thickBot="1" x14ac:dyDescent="0.9">
      <c r="B22" t="str">
        <f t="shared" si="1"/>
        <v xml:space="preserve"> </v>
      </c>
      <c r="I22"/>
    </row>
    <row r="23" spans="2:9" ht="16.75" thickBot="1" x14ac:dyDescent="0.9">
      <c r="C23" s="91" t="s">
        <v>331</v>
      </c>
      <c r="D23" s="92"/>
      <c r="E23" s="92"/>
      <c r="F23" s="93"/>
      <c r="I23"/>
    </row>
    <row r="24" spans="2:9" ht="400.75" thickBot="1" x14ac:dyDescent="0.9">
      <c r="B24" t="str">
        <f t="shared" si="1"/>
        <v>A.1.3.1 Health insurance information</v>
      </c>
      <c r="C24" s="36" t="s">
        <v>71</v>
      </c>
      <c r="D24" s="39" t="s">
        <v>72</v>
      </c>
      <c r="E24" s="37" t="s">
        <v>393</v>
      </c>
      <c r="F24" s="42"/>
      <c r="I24" s="1" t="str">
        <f t="shared" ref="I24:I27" si="2">CONCATENATE(E24," - Preferred system(s): ",F24)</f>
        <v xml:space="preserve">Health insurance information is not always required, however, in some jurisdictions, the insurance number is also used as the patient identifier. It is necessary not just for identification but also forms access to funding for care.  - Preferred system(s): </v>
      </c>
    </row>
    <row r="25" spans="2:9" ht="96.75" thickBot="1" x14ac:dyDescent="0.9">
      <c r="B25" t="str">
        <f t="shared" si="1"/>
        <v>A.1.3.1.1 Health insurance code</v>
      </c>
      <c r="C25" s="36" t="s">
        <v>74</v>
      </c>
      <c r="D25" s="39" t="s">
        <v>75</v>
      </c>
      <c r="E25" s="37" t="s">
        <v>76</v>
      </c>
      <c r="F25" s="42"/>
      <c r="I25" s="1" t="str">
        <f t="shared" si="2"/>
        <v xml:space="preserve">Unique health insurance company identification code. - Preferred system(s): </v>
      </c>
    </row>
    <row r="26" spans="2:9" ht="112.75" thickBot="1" x14ac:dyDescent="0.9">
      <c r="B26" t="str">
        <f t="shared" si="1"/>
        <v>A.1.3.1.2 Health insurance name</v>
      </c>
      <c r="C26" s="36" t="s">
        <v>77</v>
      </c>
      <c r="D26" s="39" t="s">
        <v>78</v>
      </c>
      <c r="E26" s="37" t="s">
        <v>79</v>
      </c>
      <c r="F26" s="42"/>
      <c r="I26" s="1" t="str">
        <f t="shared" si="2"/>
        <v xml:space="preserve">Full, official name of the healthcare insurance provider. - Preferred system(s): </v>
      </c>
    </row>
    <row r="27" spans="2:9" ht="160.75" thickBot="1" x14ac:dyDescent="0.9">
      <c r="B27" t="str">
        <f t="shared" si="1"/>
        <v>A.1.3.1.3 Health insurance number</v>
      </c>
      <c r="C27" s="36" t="s">
        <v>80</v>
      </c>
      <c r="D27" s="39" t="s">
        <v>81</v>
      </c>
      <c r="E27" s="37" t="s">
        <v>82</v>
      </c>
      <c r="F27" s="42"/>
      <c r="I27" s="1" t="str">
        <f t="shared" si="2"/>
        <v xml:space="preserve">Number or code under which the insured person is registered at the insurance provider. - Preferred system(s): </v>
      </c>
    </row>
  </sheetData>
  <mergeCells count="1">
    <mergeCell ref="C23:F23"/>
  </mergeCells>
  <pageMargins left="0.7" right="0.7" top="0.75" bottom="0.75" header="0.3" footer="0.3"/>
  <pageSetup paperSize="9"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DD32D9-6855-42AB-91AA-1051828F8ABB}">
  <sheetPr codeName="Foglio29"/>
  <dimension ref="A1:O24"/>
  <sheetViews>
    <sheetView workbookViewId="0"/>
  </sheetViews>
  <sheetFormatPr defaultRowHeight="14.75" x14ac:dyDescent="0.75"/>
  <cols>
    <col min="2" max="2" width="31.6796875" bestFit="1" customWidth="1"/>
    <col min="3" max="3" width="72.1328125" customWidth="1"/>
    <col min="4" max="4" width="8.04296875" customWidth="1"/>
    <col min="5" max="5" width="71.58984375" style="1" customWidth="1"/>
    <col min="6" max="6" width="10.76953125" customWidth="1"/>
    <col min="7" max="7" width="45.26953125" customWidth="1"/>
  </cols>
  <sheetData>
    <row r="1" spans="1:15" x14ac:dyDescent="0.75">
      <c r="E1" s="24" t="s">
        <v>37</v>
      </c>
      <c r="H1" s="10"/>
      <c r="I1" s="10"/>
      <c r="J1" s="10"/>
      <c r="K1" s="10"/>
      <c r="L1" s="10"/>
      <c r="M1" s="10"/>
      <c r="N1" s="10"/>
      <c r="O1" s="10"/>
    </row>
    <row r="2" spans="1:15" x14ac:dyDescent="0.75">
      <c r="E2" s="31" t="s">
        <v>38</v>
      </c>
      <c r="H2" s="10"/>
      <c r="I2" s="10"/>
      <c r="J2" s="10"/>
      <c r="K2" s="10"/>
      <c r="L2" s="10"/>
      <c r="M2" s="10"/>
      <c r="N2" s="10"/>
      <c r="O2" s="10"/>
    </row>
    <row r="3" spans="1:15" ht="15.5" thickBot="1" x14ac:dyDescent="0.9">
      <c r="E3" s="31" t="str">
        <f>E1</f>
        <v>// -------------------------------------------------------------------------------</v>
      </c>
      <c r="H3" s="10"/>
      <c r="I3" s="10"/>
      <c r="J3" s="10"/>
      <c r="K3" s="10"/>
      <c r="L3" s="10"/>
      <c r="M3" s="10"/>
      <c r="N3" s="10"/>
      <c r="O3" s="10"/>
    </row>
    <row r="4" spans="1:15" ht="15.5" thickBot="1" x14ac:dyDescent="0.9">
      <c r="B4" s="13" t="s">
        <v>34</v>
      </c>
      <c r="C4" s="7" t="s">
        <v>355</v>
      </c>
      <c r="E4" s="28" t="str">
        <f>CONCATENATE("Mapping: ",C4)</f>
        <v>Mapping: eHNLabPayer2Fhir</v>
      </c>
      <c r="H4" s="10"/>
      <c r="I4" s="10"/>
      <c r="J4" s="10"/>
      <c r="K4" s="10"/>
      <c r="L4" s="10"/>
      <c r="M4" s="10"/>
      <c r="N4" s="10"/>
      <c r="O4" s="10"/>
    </row>
    <row r="5" spans="1:15" ht="15.5" thickBot="1" x14ac:dyDescent="0.9">
      <c r="B5" s="13" t="s">
        <v>19</v>
      </c>
      <c r="C5" s="5" t="s">
        <v>16</v>
      </c>
      <c r="E5" s="29" t="str">
        <f>CONCATENATE("Id: ",C5)</f>
        <v>Id: fhir</v>
      </c>
      <c r="G5" s="1"/>
      <c r="H5" s="10"/>
      <c r="I5" s="10"/>
      <c r="J5" s="10"/>
      <c r="K5" s="10"/>
      <c r="L5" s="10"/>
      <c r="M5" s="10"/>
      <c r="N5" s="10"/>
      <c r="O5" s="10"/>
    </row>
    <row r="6" spans="1:15" ht="15.5" thickBot="1" x14ac:dyDescent="0.9">
      <c r="B6" s="13" t="s">
        <v>13</v>
      </c>
      <c r="C6" s="22" t="s">
        <v>357</v>
      </c>
      <c r="E6" s="29" t="str">
        <f>CONCATENATE("Title: ##34#",C6,"##34#")</f>
        <v>Title: ##34#eHN Lab Payer model to FHIR R4 Map##34#</v>
      </c>
      <c r="G6" s="1"/>
      <c r="H6" s="10"/>
      <c r="I6" s="10"/>
      <c r="J6" s="10"/>
      <c r="K6" s="10"/>
      <c r="L6" s="10"/>
      <c r="M6" s="10"/>
      <c r="N6" s="10"/>
      <c r="O6" s="10"/>
    </row>
    <row r="7" spans="1:15" ht="15.5" thickBot="1" x14ac:dyDescent="0.9">
      <c r="B7" s="13" t="s">
        <v>35</v>
      </c>
      <c r="C7" s="11" t="str">
        <f>B9</f>
        <v>Payer</v>
      </c>
      <c r="E7" s="29" t="str">
        <f>CONCATENATE("Source: ",C7)</f>
        <v>Source: Payer</v>
      </c>
      <c r="G7" s="1"/>
      <c r="H7" s="10"/>
      <c r="I7" s="10"/>
      <c r="J7" s="10"/>
      <c r="K7" s="10"/>
      <c r="L7" s="10"/>
      <c r="M7" s="10"/>
      <c r="N7" s="10"/>
      <c r="O7" s="10"/>
    </row>
    <row r="8" spans="1:15" ht="15.5" thickBot="1" x14ac:dyDescent="0.9">
      <c r="B8" s="27" t="s">
        <v>18</v>
      </c>
      <c r="C8" t="s">
        <v>15</v>
      </c>
      <c r="E8" s="30" t="str">
        <f>CONCATENATE("Target: ##34#",C8,"##34#")</f>
        <v>Target: ##34#hl7.org/fhir/r4##34#</v>
      </c>
      <c r="G8" s="1"/>
      <c r="H8" s="10"/>
      <c r="I8" s="10"/>
      <c r="J8" s="10"/>
      <c r="K8" s="10"/>
      <c r="L8" s="10"/>
      <c r="M8" s="10"/>
      <c r="N8" s="10"/>
      <c r="O8" s="10"/>
    </row>
    <row r="9" spans="1:15" ht="44.25" x14ac:dyDescent="0.75">
      <c r="A9" s="9"/>
      <c r="B9" s="9" t="str">
        <f>'A1.3 Payer'!B5</f>
        <v>Payer</v>
      </c>
      <c r="C9" s="4" t="s">
        <v>635</v>
      </c>
      <c r="E9" s="4" t="str">
        <f>CONCATENATE("* -&gt; ##34#",C9,"##34#")</f>
        <v>* -&gt; ##34#ServiceRequest.conformsTo('http://hl7.eu/fhir/ig/xeh/StructureDefinition/ServiceRequest-lab-xeh').insurance.resolve().ofType(Coverage)##34#</v>
      </c>
      <c r="H9" s="10"/>
      <c r="I9" s="10"/>
      <c r="J9" s="10"/>
      <c r="K9" s="10"/>
      <c r="L9" s="10"/>
      <c r="M9" s="10"/>
      <c r="N9" s="10"/>
      <c r="O9" s="10"/>
    </row>
    <row r="10" spans="1:15" x14ac:dyDescent="0.75">
      <c r="A10" s="9"/>
      <c r="B10" s="9" t="str">
        <f>'A1.3 Payer'!B8</f>
        <v>insurance</v>
      </c>
      <c r="C10" s="9" t="s">
        <v>564</v>
      </c>
      <c r="E10" s="14" t="str">
        <f t="shared" ref="E10:E19" si="0">IF(B10=0,"*  -&gt; ##34###34#",CONCATENATE("* ",B10," -&gt; ##34#",C10,"##34#"))</f>
        <v>* insurance -&gt; ##34#Coverage##34#</v>
      </c>
      <c r="G10" s="1"/>
      <c r="H10" s="10"/>
      <c r="I10" s="10"/>
      <c r="J10" s="10"/>
      <c r="K10" s="10"/>
      <c r="L10" s="10"/>
      <c r="M10" s="10"/>
      <c r="N10" s="10"/>
      <c r="O10" s="10"/>
    </row>
    <row r="11" spans="1:15" ht="29.5" x14ac:dyDescent="0.75">
      <c r="A11" s="9"/>
      <c r="B11" s="9" t="str">
        <f>'A1.3 Payer'!B9</f>
        <v>insurance.identifier</v>
      </c>
      <c r="C11" s="9" t="s">
        <v>569</v>
      </c>
      <c r="E11" s="14" t="str">
        <f t="shared" si="0"/>
        <v>* insurance.identifier -&gt; ##34#Coverage.payor.ofType(Organization).resolve().identifier##34#</v>
      </c>
      <c r="G11" s="1"/>
      <c r="H11" s="10"/>
      <c r="I11" s="10"/>
      <c r="J11" s="10"/>
      <c r="K11" s="10"/>
      <c r="L11" s="10"/>
      <c r="M11" s="10"/>
      <c r="N11" s="10"/>
      <c r="O11" s="10"/>
    </row>
    <row r="12" spans="1:15" ht="29.5" x14ac:dyDescent="0.75">
      <c r="A12" s="9"/>
      <c r="B12" s="9" t="str">
        <f>'A1.3 Payer'!B10</f>
        <v>insurance.name</v>
      </c>
      <c r="C12" s="9" t="s">
        <v>570</v>
      </c>
      <c r="E12" s="14" t="str">
        <f t="shared" si="0"/>
        <v>* insurance.name -&gt; ##34#Coverage.payor.ofType(Organization).resolve().name##34#</v>
      </c>
      <c r="G12" s="1"/>
      <c r="H12" s="10"/>
      <c r="I12" s="10"/>
      <c r="J12" s="10"/>
      <c r="K12" s="10"/>
      <c r="L12" s="10"/>
      <c r="M12" s="10"/>
      <c r="N12" s="10"/>
      <c r="O12" s="10"/>
    </row>
    <row r="13" spans="1:15" ht="29.5" x14ac:dyDescent="0.75">
      <c r="A13" s="9"/>
      <c r="B13" s="9" t="str">
        <f>'A1.3 Payer'!B11</f>
        <v>insurance.subjectIdentifier</v>
      </c>
      <c r="C13" s="9" t="s">
        <v>565</v>
      </c>
      <c r="E13" s="14" t="str">
        <f t="shared" si="0"/>
        <v>* insurance.subjectIdentifier -&gt; ##34#Coverage.policyHolder.resolve().identifier##34#</v>
      </c>
      <c r="G13" s="1"/>
      <c r="H13" s="10"/>
      <c r="I13" s="10"/>
      <c r="J13" s="10"/>
      <c r="K13" s="10"/>
      <c r="L13" s="10"/>
      <c r="M13" s="10"/>
      <c r="N13" s="10"/>
      <c r="O13" s="10"/>
    </row>
    <row r="14" spans="1:15" x14ac:dyDescent="0.75">
      <c r="A14" s="9"/>
      <c r="B14" s="9" t="str">
        <f>'A1.3 Payer'!$B$11</f>
        <v>insurance.subjectIdentifier</v>
      </c>
      <c r="C14" s="9" t="s">
        <v>566</v>
      </c>
      <c r="E14" s="14" t="str">
        <f t="shared" si="0"/>
        <v>* insurance.subjectIdentifier -&gt; ##34#Coverage.beneficiary.resolve().identifier##34#</v>
      </c>
      <c r="G14" s="1"/>
      <c r="H14" s="10"/>
      <c r="I14" s="10"/>
      <c r="J14" s="10"/>
      <c r="K14" s="10"/>
      <c r="L14" s="10"/>
      <c r="M14" s="10"/>
      <c r="N14" s="10"/>
      <c r="O14" s="10"/>
    </row>
    <row r="15" spans="1:15" x14ac:dyDescent="0.75">
      <c r="A15" s="9"/>
      <c r="B15" s="9" t="str">
        <f>'A1.3 Payer'!$B$11</f>
        <v>insurance.subjectIdentifier</v>
      </c>
      <c r="C15" s="9" t="s">
        <v>568</v>
      </c>
      <c r="E15" s="14" t="str">
        <f t="shared" si="0"/>
        <v>* insurance.subjectIdentifier -&gt; ##34#Coverage.subscriberId##34#</v>
      </c>
      <c r="G15" s="1"/>
      <c r="H15" s="10"/>
      <c r="I15" s="10"/>
      <c r="J15" s="10"/>
      <c r="K15" s="10"/>
      <c r="L15" s="10"/>
      <c r="M15" s="10"/>
      <c r="N15" s="10"/>
      <c r="O15" s="10"/>
    </row>
    <row r="16" spans="1:15" x14ac:dyDescent="0.75">
      <c r="A16" s="9"/>
      <c r="B16" s="9" t="str">
        <f>'A1.3 Payer'!$B$11</f>
        <v>insurance.subjectIdentifier</v>
      </c>
      <c r="C16" s="9" t="s">
        <v>567</v>
      </c>
      <c r="E16" s="14" t="str">
        <f t="shared" si="0"/>
        <v>* insurance.subjectIdentifier -&gt; ##34#Coverage.subscriber.resolve().identifier##34#</v>
      </c>
      <c r="G16" s="1"/>
      <c r="H16" s="10"/>
      <c r="I16" s="10"/>
      <c r="J16" s="10"/>
      <c r="K16" s="10"/>
      <c r="L16" s="10"/>
      <c r="M16" s="10"/>
      <c r="N16" s="10"/>
      <c r="O16" s="10"/>
    </row>
    <row r="17" spans="1:7" x14ac:dyDescent="0.75">
      <c r="A17" s="9"/>
      <c r="B17" s="9"/>
      <c r="C17" s="9"/>
      <c r="E17" s="14" t="str">
        <f t="shared" si="0"/>
        <v>*  -&gt; ##34###34#</v>
      </c>
      <c r="G17" s="1"/>
    </row>
    <row r="18" spans="1:7" x14ac:dyDescent="0.75">
      <c r="A18" s="9"/>
      <c r="B18" s="9"/>
      <c r="C18" s="9"/>
      <c r="E18" s="14" t="str">
        <f t="shared" si="0"/>
        <v>*  -&gt; ##34###34#</v>
      </c>
      <c r="G18" s="1"/>
    </row>
    <row r="19" spans="1:7" x14ac:dyDescent="0.75">
      <c r="A19" s="9"/>
      <c r="B19" s="9"/>
      <c r="C19" s="9"/>
      <c r="E19" s="14" t="str">
        <f t="shared" si="0"/>
        <v>*  -&gt; ##34###34#</v>
      </c>
    </row>
    <row r="20" spans="1:7" x14ac:dyDescent="0.75">
      <c r="A20" s="9"/>
      <c r="B20" s="9"/>
      <c r="C20" s="14"/>
      <c r="E20" s="14"/>
    </row>
    <row r="21" spans="1:7" x14ac:dyDescent="0.75">
      <c r="B21" s="9"/>
      <c r="E21" s="14"/>
    </row>
    <row r="22" spans="1:7" x14ac:dyDescent="0.75">
      <c r="B22" s="9"/>
      <c r="E22" s="14"/>
    </row>
    <row r="23" spans="1:7" x14ac:dyDescent="0.75">
      <c r="E23" s="14"/>
    </row>
    <row r="24" spans="1:7" x14ac:dyDescent="0.75">
      <c r="E24" s="22"/>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DC65A8-B25C-4422-8A42-B117E68E524D}">
  <sheetPr codeName="Foglio8">
    <tabColor theme="8" tint="-0.249977111117893"/>
  </sheetPr>
  <dimension ref="C1:G49"/>
  <sheetViews>
    <sheetView workbookViewId="0"/>
  </sheetViews>
  <sheetFormatPr defaultRowHeight="14.75" x14ac:dyDescent="0.75"/>
  <cols>
    <col min="3" max="3" width="108.2265625" style="14" customWidth="1"/>
    <col min="4" max="4" width="5.26953125" customWidth="1"/>
    <col min="5" max="5" width="4.81640625" customWidth="1"/>
    <col min="7" max="7" width="37.08984375" customWidth="1"/>
  </cols>
  <sheetData>
    <row r="1" spans="3:7" ht="15.5" thickBot="1" x14ac:dyDescent="0.9">
      <c r="C1" s="32" t="str">
        <f>'A1.3 Payer'!I1</f>
        <v>// -------------------------------------------------------------------------------</v>
      </c>
    </row>
    <row r="2" spans="3:7" ht="16.75" thickBot="1" x14ac:dyDescent="0.9">
      <c r="C2" s="33" t="str">
        <f>'A1.3 Payer'!I2</f>
        <v>//  Logical Model</v>
      </c>
      <c r="G2" s="56" t="s">
        <v>360</v>
      </c>
    </row>
    <row r="3" spans="3:7" x14ac:dyDescent="0.75">
      <c r="C3" s="33" t="str">
        <f>'A1.3 Payer'!I3</f>
        <v>// -------------------------------------------------------------------------------</v>
      </c>
    </row>
    <row r="4" spans="3:7" x14ac:dyDescent="0.75">
      <c r="C4" s="25" t="str">
        <f>'A1.3 Payer'!I4</f>
        <v>Logical: PayerLabEhn</v>
      </c>
    </row>
    <row r="5" spans="3:7" x14ac:dyDescent="0.75">
      <c r="C5" s="25" t="str">
        <f>'A1.3 Payer'!I5</f>
        <v>Id: Payer</v>
      </c>
    </row>
    <row r="6" spans="3:7" x14ac:dyDescent="0.75">
      <c r="C6" s="25" t="str">
        <f>'A1.3 Payer'!I6</f>
        <v>Title: ##34#Health insurance and payment information (A.1.3)##34#</v>
      </c>
    </row>
    <row r="7" spans="3:7" x14ac:dyDescent="0.75">
      <c r="C7" s="25" t="str">
        <f>'A1.3 Payer'!I7</f>
        <v>Description:  ##334#A.1.3 Health insurance and payment information##334#</v>
      </c>
    </row>
    <row r="8" spans="3:7" ht="44.25" x14ac:dyDescent="0.75">
      <c r="C8" s="14" t="str">
        <f>IF('A1.3 Payer'!I8="*  ..  ##34###34# ##334###334#","//--- END",'A1.3 Payer'!I8)</f>
        <v>* insurance 0..1 BackboneElement ##34#A.1.3.1 Health insurance information##34# ##334#Health insurance information is not always required, however, in some jurisdictions, the insurance number is also used as the patient identifier. It is necessary not just for identification but also forms access to funding for care.##334#</v>
      </c>
    </row>
    <row r="9" spans="3:7" ht="29.5" x14ac:dyDescent="0.75">
      <c r="C9" s="14" t="str">
        <f>IF('A1.3 Payer'!I9="*  ..  ##34###34# ##334###334#","//--- END",'A1.3 Payer'!I9)</f>
        <v>* insurance.identifier 0..* Identifier ##34#A.1.3.1.1 Health insurance code##34# ##334#Unique health insurance company identification code. ##334#</v>
      </c>
    </row>
    <row r="10" spans="3:7" ht="29.5" x14ac:dyDescent="0.75">
      <c r="C10" s="14" t="str">
        <f>IF('A1.3 Payer'!I10="*  ..  ##34###34# ##334###334#","//--- END",'A1.3 Payer'!I10)</f>
        <v>* insurance.name 0..* string ##34#A.1.3.1.2 Health insurance name##34# ##334#Full, official name of the healthcare insurance provider. ##334#</v>
      </c>
      <c r="E10" t="s">
        <v>307</v>
      </c>
    </row>
    <row r="11" spans="3:7" ht="29.5" x14ac:dyDescent="0.75">
      <c r="C11" s="14" t="str">
        <f>IF('A1.3 Payer'!I11="*  ..  ##34###34# ##334###334#","//--- END",'A1.3 Payer'!I11)</f>
        <v>* insurance.subjectIdentifier 0..* Identifier ##34#A.1.3.1.3 Health insurance number##34# ##334#Number or code under which the insured person is registered at the insurance provider. ##334#</v>
      </c>
    </row>
    <row r="12" spans="3:7" x14ac:dyDescent="0.75">
      <c r="C12" s="14" t="str">
        <f>IF('A1.3 Payer'!I12="*  ..  ##34###34# ##334###334#","//--- END",'A1.3 Payer'!I12)</f>
        <v>//--- END</v>
      </c>
    </row>
    <row r="13" spans="3:7" x14ac:dyDescent="0.75">
      <c r="C13" s="14" t="str">
        <f>IF('A1.3 Payer'!I13="*  ..  ##34###34# ##334###334#","//--- END",'A1.3 Payer'!I13)</f>
        <v>//--- END</v>
      </c>
    </row>
    <row r="14" spans="3:7" x14ac:dyDescent="0.75">
      <c r="C14" s="14" t="str">
        <f>IF('A1.3 Payer'!I14="*  ..  ##34###34# ##334###334#","//--- END",'A1.3 Payer'!I14)</f>
        <v>//--- END</v>
      </c>
    </row>
    <row r="30" spans="3:3" x14ac:dyDescent="0.75">
      <c r="C30" s="32" t="str">
        <f>'Payer-Map-1'!E1</f>
        <v>// -------------------------------------------------------------------------------</v>
      </c>
    </row>
    <row r="31" spans="3:3" x14ac:dyDescent="0.75">
      <c r="C31" s="33" t="str">
        <f>'Payer-Map-1'!E2</f>
        <v>//  Map to FHIR R4</v>
      </c>
    </row>
    <row r="32" spans="3:3" x14ac:dyDescent="0.75">
      <c r="C32" s="33" t="str">
        <f>'Payer-Map-1'!E3</f>
        <v>// -------------------------------------------------------------------------------</v>
      </c>
    </row>
    <row r="33" spans="3:7" x14ac:dyDescent="0.75">
      <c r="C33" s="14" t="str">
        <f>'Payer-Map-1'!E4</f>
        <v>Mapping: eHNLabPayer2Fhir</v>
      </c>
    </row>
    <row r="34" spans="3:7" x14ac:dyDescent="0.75">
      <c r="C34" s="14" t="str">
        <f>'Payer-Map-1'!E5</f>
        <v>Id: fhir</v>
      </c>
    </row>
    <row r="35" spans="3:7" x14ac:dyDescent="0.75">
      <c r="C35" s="14" t="str">
        <f>'Payer-Map-1'!E6</f>
        <v>Title: ##34#eHN Lab Payer model to FHIR R4 Map##34#</v>
      </c>
    </row>
    <row r="36" spans="3:7" x14ac:dyDescent="0.75">
      <c r="C36" s="14" t="str">
        <f>'Payer-Map-1'!E7</f>
        <v>Source: Payer</v>
      </c>
    </row>
    <row r="37" spans="3:7" x14ac:dyDescent="0.75">
      <c r="C37" s="14" t="str">
        <f>'Payer-Map-1'!E8</f>
        <v>Target: ##34#hl7.org/fhir/r4##34#</v>
      </c>
    </row>
    <row r="39" spans="3:7" ht="29.5" x14ac:dyDescent="0.75">
      <c r="C39" s="14" t="str">
        <f>'Payer-Map-1'!E9</f>
        <v>* -&gt; ##34#ServiceRequest.conformsTo('http://hl7.eu/fhir/ig/xeh/StructureDefinition/ServiceRequest-lab-xeh').insurance.resolve().ofType(Coverage)##34#</v>
      </c>
    </row>
    <row r="40" spans="3:7" x14ac:dyDescent="0.75">
      <c r="C40" s="14" t="str">
        <f>IF('Payer-Map-1'!E10="*  -&gt; ##34###34#","// --END",'Payer-Map-1'!E10)</f>
        <v>* insurance -&gt; ##34#Coverage##34#</v>
      </c>
    </row>
    <row r="41" spans="3:7" x14ac:dyDescent="0.75">
      <c r="C41" s="14" t="str">
        <f>IF('Payer-Map-1'!E11="*  -&gt; ##34###34#","// --END",'Payer-Map-1'!E11)</f>
        <v>* insurance.identifier -&gt; ##34#Coverage.payor.ofType(Organization).resolve().identifier##34#</v>
      </c>
    </row>
    <row r="42" spans="3:7" x14ac:dyDescent="0.75">
      <c r="C42" s="14" t="str">
        <f>IF('Payer-Map-1'!E12="*  -&gt; ##34###34#","// --END",'Payer-Map-1'!E12)</f>
        <v>* insurance.name -&gt; ##34#Coverage.payor.ofType(Organization).resolve().name##34#</v>
      </c>
    </row>
    <row r="43" spans="3:7" x14ac:dyDescent="0.75">
      <c r="C43" s="14" t="str">
        <f>IF('Payer-Map-1'!E13="*  -&gt; ##34###34#","// --END",'Payer-Map-1'!E13)</f>
        <v>* insurance.subjectIdentifier -&gt; ##34#Coverage.policyHolder.resolve().identifier##34#</v>
      </c>
    </row>
    <row r="44" spans="3:7" x14ac:dyDescent="0.75">
      <c r="C44" s="14" t="str">
        <f>IF('Payer-Map-1'!E14="*  -&gt; ##34###34#","// --END",'Payer-Map-1'!E14)</f>
        <v>* insurance.subjectIdentifier -&gt; ##34#Coverage.beneficiary.resolve().identifier##34#</v>
      </c>
    </row>
    <row r="45" spans="3:7" x14ac:dyDescent="0.75">
      <c r="C45" s="14" t="str">
        <f>IF('Payer-Map-1'!E15="*  -&gt; ##34###34#","// --END",'Payer-Map-1'!E15)</f>
        <v>* insurance.subjectIdentifier -&gt; ##34#Coverage.subscriberId##34#</v>
      </c>
    </row>
    <row r="46" spans="3:7" x14ac:dyDescent="0.75">
      <c r="C46" s="14" t="str">
        <f>IF('Payer-Map-1'!E16="*  -&gt; ##34###34#","// --END",'Payer-Map-1'!E16)</f>
        <v>* insurance.subjectIdentifier -&gt; ##34#Coverage.subscriber.resolve().identifier##34#</v>
      </c>
    </row>
    <row r="47" spans="3:7" x14ac:dyDescent="0.75">
      <c r="C47" s="14" t="str">
        <f>IF('Payer-Map-1'!E17="*  -&gt; ##34###34#","// --END",'Payer-Map-1'!E17)</f>
        <v>// --END</v>
      </c>
    </row>
    <row r="48" spans="3:7" x14ac:dyDescent="0.75">
      <c r="C48" s="14" t="str">
        <f>IF('Payer-Map-1'!E18="*  -&gt; ##34###34#","// --END",'Payer-Map-1'!E18)</f>
        <v>// --END</v>
      </c>
      <c r="G48" s="10"/>
    </row>
    <row r="49" spans="3:3" x14ac:dyDescent="0.75">
      <c r="C49" s="14" t="str">
        <f>IF('Payer-Map-1'!E19="*  -&gt; ##34###34#","// --END",'Payer-Map-1'!E19)</f>
        <v>// --END</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8129" r:id="rId3" name="Button 1">
              <controlPr defaultSize="0" print="0" autoFill="0" autoPict="0" macro="[0]!export">
                <anchor moveWithCells="1">
                  <from>
                    <xdr:col>4</xdr:col>
                    <xdr:colOff>222250</xdr:colOff>
                    <xdr:row>0</xdr:row>
                    <xdr:rowOff>171450</xdr:rowOff>
                  </from>
                  <to>
                    <xdr:col>5</xdr:col>
                    <xdr:colOff>558800</xdr:colOff>
                    <xdr:row>2</xdr:row>
                    <xdr:rowOff>44450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A5E5F6-B4F6-426A-81A6-389AB9833B54}">
  <sheetPr codeName="Foglio48">
    <tabColor theme="0" tint="-0.499984740745262"/>
  </sheetPr>
  <dimension ref="A2:S190"/>
  <sheetViews>
    <sheetView topLeftCell="D1" workbookViewId="0">
      <selection activeCell="K15" sqref="K15"/>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73" t="s">
        <v>34</v>
      </c>
      <c r="C3" s="54" t="s">
        <v>783</v>
      </c>
      <c r="D3" s="73" t="s">
        <v>688</v>
      </c>
      <c r="E3" s="112" t="s">
        <v>724</v>
      </c>
      <c r="F3" s="111"/>
      <c r="G3" s="111"/>
    </row>
    <row r="4" spans="1:19" x14ac:dyDescent="0.75">
      <c r="B4" s="73" t="s">
        <v>19</v>
      </c>
      <c r="C4" s="54" t="s">
        <v>733</v>
      </c>
      <c r="D4" s="73" t="s">
        <v>689</v>
      </c>
      <c r="E4" s="112" t="s">
        <v>723</v>
      </c>
      <c r="F4" s="111"/>
      <c r="G4" s="111"/>
    </row>
    <row r="5" spans="1:19" x14ac:dyDescent="0.75">
      <c r="B5" s="73" t="s">
        <v>13</v>
      </c>
      <c r="C5" s="10" t="s">
        <v>734</v>
      </c>
      <c r="D5" s="73"/>
      <c r="E5" s="10"/>
    </row>
    <row r="6" spans="1:19" x14ac:dyDescent="0.75">
      <c r="B6" s="73" t="s">
        <v>35</v>
      </c>
      <c r="C6" s="72" t="s">
        <v>678</v>
      </c>
      <c r="D6" s="73" t="s">
        <v>685</v>
      </c>
      <c r="E6" s="112" t="s">
        <v>724</v>
      </c>
      <c r="F6" s="111"/>
      <c r="G6" s="111"/>
    </row>
    <row r="7" spans="1:19" x14ac:dyDescent="0.75">
      <c r="B7" s="73" t="s">
        <v>18</v>
      </c>
      <c r="C7" s="80" t="s">
        <v>681</v>
      </c>
      <c r="D7" s="73" t="s">
        <v>686</v>
      </c>
      <c r="E7" s="112" t="s">
        <v>723</v>
      </c>
      <c r="F7" s="111"/>
      <c r="G7" s="111"/>
    </row>
    <row r="8" spans="1:19" ht="44.25" x14ac:dyDescent="0.75">
      <c r="B8" s="73" t="s">
        <v>679</v>
      </c>
      <c r="C8" s="10" t="s">
        <v>735</v>
      </c>
      <c r="D8" s="73"/>
      <c r="E8" s="10"/>
      <c r="I8" s="14" t="s">
        <v>647</v>
      </c>
      <c r="J8" s="14" t="s">
        <v>648</v>
      </c>
      <c r="K8" s="14" t="s">
        <v>649</v>
      </c>
      <c r="L8" s="14" t="s">
        <v>650</v>
      </c>
      <c r="M8" s="9" t="s">
        <v>651</v>
      </c>
      <c r="P8" s="69" t="s">
        <v>652</v>
      </c>
      <c r="Q8" s="69">
        <v>6</v>
      </c>
    </row>
    <row r="9" spans="1:19" ht="29.5" x14ac:dyDescent="0.75">
      <c r="B9" s="73" t="s">
        <v>680</v>
      </c>
      <c r="C9" s="1" t="s">
        <v>736</v>
      </c>
      <c r="D9" s="73"/>
      <c r="E9"/>
      <c r="I9" s="14"/>
      <c r="J9" s="9"/>
      <c r="K9" s="9"/>
      <c r="L9" s="9"/>
      <c r="M9" s="9"/>
    </row>
    <row r="10" spans="1:19" x14ac:dyDescent="0.75">
      <c r="B10" s="73"/>
      <c r="D10" s="73"/>
      <c r="E10"/>
      <c r="I10" s="14"/>
      <c r="J10" s="9"/>
      <c r="K10" s="9"/>
      <c r="L10" s="9"/>
      <c r="M10" s="9"/>
    </row>
    <row r="11" spans="1:19" x14ac:dyDescent="0.75">
      <c r="E11" s="10"/>
      <c r="I11" s="25" t="s">
        <v>653</v>
      </c>
      <c r="J11" s="70" t="s">
        <v>654</v>
      </c>
      <c r="K11" s="25" t="s">
        <v>655</v>
      </c>
      <c r="L11" s="70" t="s">
        <v>656</v>
      </c>
      <c r="M11" s="71" t="s">
        <v>657</v>
      </c>
      <c r="N11" s="74" t="s">
        <v>644</v>
      </c>
    </row>
    <row r="12" spans="1:19" x14ac:dyDescent="0.75">
      <c r="E12" s="72"/>
      <c r="I12" s="14"/>
      <c r="J12" s="9"/>
      <c r="K12" s="9"/>
      <c r="L12" s="9"/>
      <c r="M12" s="9"/>
    </row>
    <row r="13" spans="1:19" x14ac:dyDescent="0.75">
      <c r="D13" s="14"/>
      <c r="E13" s="9"/>
      <c r="F13" s="71" t="s">
        <v>657</v>
      </c>
      <c r="G13" s="74" t="s">
        <v>644</v>
      </c>
      <c r="H13" s="74"/>
      <c r="I13" s="14"/>
      <c r="J13" s="9"/>
      <c r="K13" s="71"/>
      <c r="L13" s="71"/>
      <c r="M13" s="71"/>
      <c r="N13" s="74"/>
    </row>
    <row r="14" spans="1:19" x14ac:dyDescent="0.75">
      <c r="A14" s="23"/>
      <c r="B14" s="8" t="str">
        <f>'A1.3 Payer'!B5</f>
        <v>Payer</v>
      </c>
      <c r="C14" s="9"/>
      <c r="D14" s="4" t="s">
        <v>725</v>
      </c>
      <c r="E14" s="8"/>
      <c r="F14" s="9"/>
      <c r="G14" s="9"/>
      <c r="I14" s="14"/>
      <c r="J14" s="9"/>
      <c r="K14" s="9"/>
      <c r="L14" s="9"/>
      <c r="M14" s="71"/>
      <c r="N14" s="74"/>
    </row>
    <row r="15" spans="1:19" ht="44.25" x14ac:dyDescent="0.75">
      <c r="A15" s="23"/>
      <c r="B15" s="9" t="str">
        <f>'A1.3 Payer'!B8</f>
        <v>insurance</v>
      </c>
      <c r="C15" s="9" t="str">
        <f>'A1.3 Payer'!C8</f>
        <v>A.1.3.1 Health insurance information</v>
      </c>
      <c r="D15" s="14" t="s">
        <v>692</v>
      </c>
      <c r="E15" s="62"/>
      <c r="F15" s="75" t="s">
        <v>659</v>
      </c>
      <c r="G15" s="75"/>
      <c r="H15" s="76"/>
      <c r="I15" s="14" t="str">
        <f>"* group[=].element[+].code = #"&amp;$B$14&amp;"."&amp;B15</f>
        <v>* group[=].element[+].code = #Payer.insurance</v>
      </c>
      <c r="J15" s="14" t="str">
        <f t="shared" ref="J15:J21" si="0">"* group[=].element[=].display = ##34#"&amp;C15&amp;"##34#"</f>
        <v>* group[=].element[=].display = ##34#A.1.3.1 Health insurance information##34#</v>
      </c>
      <c r="K15" s="14" t="str">
        <f>IF(F15="unmatched","//-- unmatched",IF(D15="","* group[=].element[=].target.code = #"&amp;$D$14,"* group[=].element[=].target.code = #"&amp;$D$14&amp;"."&amp;D15))</f>
        <v>* group[=].element[=].target.code = #insurance.resolve().ofType(Coverage).$this</v>
      </c>
      <c r="L15" s="14" t="str">
        <f t="shared" ref="L15:L21" si="1">IF(F15="unmatched","//-- unmatched","* group[=].element[=].target.display = ##34#"&amp;E15&amp;"##34#")</f>
        <v>* group[=].element[=].target.display = ##34###34#</v>
      </c>
      <c r="M15" s="14" t="str">
        <f t="shared" ref="M15:M21" si="2">"* group[=].element[=].target.equivalence = #"&amp;F15</f>
        <v>* group[=].element[=].target.equivalence = #relatedto</v>
      </c>
      <c r="N15" s="4" t="str">
        <f t="shared" ref="N15:N21" si="3">IF(G15&lt;&gt;"",CONCATENATE("* group[=].element[=].target.comment = ","##34#",G15,"##34#"),"")</f>
        <v/>
      </c>
      <c r="P15" s="9">
        <v>1</v>
      </c>
      <c r="Q15" s="9">
        <f>IF(MOD(P15,$Q$8)=0,P15/$Q$8-1,INT(P15/$Q$8))</f>
        <v>0</v>
      </c>
      <c r="R15" s="9">
        <f>IF(MOD(P15,$Q$8)=0,$Q$8,MOD(P15,$Q$8))</f>
        <v>1</v>
      </c>
      <c r="S15" s="14" t="str" cm="1">
        <f t="array" ref="S15">INDEX('Payer-ConceptMap-1'!$I$15:$N$270,Q15+1,R15)</f>
        <v>* group[=].element[+].code = #Payer.insurance</v>
      </c>
    </row>
    <row r="16" spans="1:19" ht="88.5" x14ac:dyDescent="0.75">
      <c r="A16" s="23"/>
      <c r="B16" s="9" t="str">
        <f>'A1.3 Payer'!B9</f>
        <v>insurance.identifier</v>
      </c>
      <c r="C16" s="9" t="str">
        <f>'A1.3 Payer'!C9</f>
        <v>A.1.3.1.1 Health insurance code</v>
      </c>
      <c r="D16" s="9" t="s">
        <v>726</v>
      </c>
      <c r="E16" s="9"/>
      <c r="F16" s="75" t="s">
        <v>658</v>
      </c>
      <c r="G16" s="75"/>
      <c r="H16" s="76"/>
      <c r="I16" s="14" t="str">
        <f t="shared" ref="I16:I21" si="4">"* group[=].element[+].code = #"&amp;$B$14&amp;"."&amp;B16</f>
        <v>* group[=].element[+].code = #Payer.insurance.identifier</v>
      </c>
      <c r="J16" s="14" t="str">
        <f t="shared" si="0"/>
        <v>* group[=].element[=].display = ##34#A.1.3.1.1 Health insurance code##34#</v>
      </c>
      <c r="K16" s="14" t="str">
        <f t="shared" ref="K16:K21" si="5">IF(F16="unmatched","//-- unmatched",IF(D16="","* group[=].element[=].target.code = #"&amp;$D$14,"* group[=].element[=].target.code = #"&amp;$D$14&amp;"."&amp;D16))</f>
        <v>* group[=].element[=].target.code = #insurance.resolve().ofType(Coverage).payor.ofType(Organization).resolve().identifier</v>
      </c>
      <c r="L16" s="14" t="str">
        <f t="shared" si="1"/>
        <v>* group[=].element[=].target.display = ##34###34#</v>
      </c>
      <c r="M16" s="14" t="str">
        <f t="shared" si="2"/>
        <v>* group[=].element[=].target.equivalence = #equivalent</v>
      </c>
      <c r="N16" s="14" t="str">
        <f t="shared" si="3"/>
        <v/>
      </c>
      <c r="P16" s="9">
        <v>2</v>
      </c>
      <c r="Q16" s="9">
        <f t="shared" ref="Q16:Q79" si="6">IF(MOD(P16,$Q$8)=0,P16/$Q$8-1,INT(P16/$Q$8))</f>
        <v>0</v>
      </c>
      <c r="R16" s="9">
        <f t="shared" ref="R16:R79" si="7">IF(MOD(P16,$Q$8)=0,$Q$8,MOD(P16,$Q$8))</f>
        <v>2</v>
      </c>
      <c r="S16" s="14" t="str" cm="1">
        <f t="array" ref="S16">INDEX('Payer-ConceptMap-1'!$I$15:$N$270,Q16+1,R16)</f>
        <v>* group[=].element[=].display = ##34#A.1.3.1 Health insurance information##34#</v>
      </c>
    </row>
    <row r="17" spans="1:19" ht="88.5" x14ac:dyDescent="0.75">
      <c r="A17" s="23"/>
      <c r="B17" s="9" t="str">
        <f>'A1.3 Payer'!B10</f>
        <v>insurance.name</v>
      </c>
      <c r="C17" s="9" t="str">
        <f>'A1.3 Payer'!C10</f>
        <v>A.1.3.1.2 Health insurance name</v>
      </c>
      <c r="D17" s="9" t="s">
        <v>727</v>
      </c>
      <c r="E17" s="9"/>
      <c r="F17" s="75" t="s">
        <v>658</v>
      </c>
      <c r="G17" s="75"/>
      <c r="H17" s="76"/>
      <c r="I17" s="14" t="str">
        <f t="shared" si="4"/>
        <v>* group[=].element[+].code = #Payer.insurance.name</v>
      </c>
      <c r="J17" s="14" t="str">
        <f t="shared" si="0"/>
        <v>* group[=].element[=].display = ##34#A.1.3.1.2 Health insurance name##34#</v>
      </c>
      <c r="K17" s="14" t="str">
        <f t="shared" si="5"/>
        <v>* group[=].element[=].target.code = #insurance.resolve().ofType(Coverage).payor.ofType(Organization).resolve().name</v>
      </c>
      <c r="L17" s="14" t="str">
        <f t="shared" si="1"/>
        <v>* group[=].element[=].target.display = ##34###34#</v>
      </c>
      <c r="M17" s="14" t="str">
        <f t="shared" si="2"/>
        <v>* group[=].element[=].target.equivalence = #equivalent</v>
      </c>
      <c r="N17" s="14" t="str">
        <f t="shared" si="3"/>
        <v/>
      </c>
      <c r="P17" s="9">
        <v>3</v>
      </c>
      <c r="Q17" s="9">
        <f t="shared" si="6"/>
        <v>0</v>
      </c>
      <c r="R17" s="9">
        <f t="shared" si="7"/>
        <v>3</v>
      </c>
      <c r="S17" s="14" t="str" cm="1">
        <f t="array" ref="S17">INDEX('Payer-ConceptMap-1'!$I$15:$N$270,Q17+1,R17)</f>
        <v>* group[=].element[=].target.code = #insurance.resolve().ofType(Coverage).$this</v>
      </c>
    </row>
    <row r="18" spans="1:19" ht="88.5" x14ac:dyDescent="0.75">
      <c r="A18" s="23"/>
      <c r="B18" s="9" t="str">
        <f>'A1.3 Payer'!$B$11</f>
        <v>insurance.subjectIdentifier</v>
      </c>
      <c r="C18" s="9" t="str">
        <f>'A1.3 Payer'!$C$11</f>
        <v>A.1.3.1.3 Health insurance number</v>
      </c>
      <c r="D18" s="9" t="s">
        <v>728</v>
      </c>
      <c r="E18" s="9"/>
      <c r="F18" s="75" t="s">
        <v>658</v>
      </c>
      <c r="G18" s="75"/>
      <c r="H18" s="76"/>
      <c r="I18" s="14" t="str">
        <f t="shared" si="4"/>
        <v>* group[=].element[+].code = #Payer.insurance.subjectIdentifier</v>
      </c>
      <c r="J18" s="14" t="str">
        <f t="shared" si="0"/>
        <v>* group[=].element[=].display = ##34#A.1.3.1.3 Health insurance number##34#</v>
      </c>
      <c r="K18" s="14" t="str">
        <f t="shared" si="5"/>
        <v>* group[=].element[=].target.code = #insurance.resolve().ofType(Coverage).policyHolder.resolve().identifier</v>
      </c>
      <c r="L18" s="14" t="str">
        <f t="shared" si="1"/>
        <v>* group[=].element[=].target.display = ##34###34#</v>
      </c>
      <c r="M18" s="14" t="str">
        <f t="shared" si="2"/>
        <v>* group[=].element[=].target.equivalence = #equivalent</v>
      </c>
      <c r="N18" s="14" t="str">
        <f t="shared" si="3"/>
        <v/>
      </c>
      <c r="P18" s="9">
        <v>4</v>
      </c>
      <c r="Q18" s="9">
        <f t="shared" si="6"/>
        <v>0</v>
      </c>
      <c r="R18" s="9">
        <f t="shared" si="7"/>
        <v>4</v>
      </c>
      <c r="S18" s="14" t="str" cm="1">
        <f t="array" ref="S18">INDEX('Payer-ConceptMap-1'!$I$15:$N$270,Q18+1,R18)</f>
        <v>* group[=].element[=].target.display = ##34###34#</v>
      </c>
    </row>
    <row r="19" spans="1:19" ht="88.5" x14ac:dyDescent="0.75">
      <c r="A19" s="23"/>
      <c r="B19" s="9" t="str">
        <f>'A1.3 Payer'!$B$11</f>
        <v>insurance.subjectIdentifier</v>
      </c>
      <c r="C19" s="9" t="str">
        <f>'A1.3 Payer'!$C$11</f>
        <v>A.1.3.1.3 Health insurance number</v>
      </c>
      <c r="D19" s="9" t="s">
        <v>729</v>
      </c>
      <c r="E19" s="9"/>
      <c r="F19" s="75" t="s">
        <v>658</v>
      </c>
      <c r="G19" s="75"/>
      <c r="H19" s="76"/>
      <c r="I19" s="14" t="str">
        <f t="shared" si="4"/>
        <v>* group[=].element[+].code = #Payer.insurance.subjectIdentifier</v>
      </c>
      <c r="J19" s="14" t="str">
        <f t="shared" si="0"/>
        <v>* group[=].element[=].display = ##34#A.1.3.1.3 Health insurance number##34#</v>
      </c>
      <c r="K19" s="14" t="str">
        <f t="shared" si="5"/>
        <v>* group[=].element[=].target.code = #insurance.resolve().ofType(Coverage).beneficiary.resolve().identifier</v>
      </c>
      <c r="L19" s="14" t="str">
        <f t="shared" si="1"/>
        <v>* group[=].element[=].target.display = ##34###34#</v>
      </c>
      <c r="M19" s="14" t="str">
        <f t="shared" si="2"/>
        <v>* group[=].element[=].target.equivalence = #equivalent</v>
      </c>
      <c r="N19" s="14" t="str">
        <f t="shared" si="3"/>
        <v/>
      </c>
      <c r="P19" s="9">
        <v>5</v>
      </c>
      <c r="Q19" s="9">
        <f t="shared" si="6"/>
        <v>0</v>
      </c>
      <c r="R19" s="9">
        <f t="shared" si="7"/>
        <v>5</v>
      </c>
      <c r="S19" s="14" t="str" cm="1">
        <f t="array" ref="S19">INDEX('Payer-ConceptMap-1'!$I$15:$N$270,Q19+1,R19)</f>
        <v>* group[=].element[=].target.equivalence = #relatedto</v>
      </c>
    </row>
    <row r="20" spans="1:19" ht="73.75" x14ac:dyDescent="0.75">
      <c r="A20" s="23"/>
      <c r="B20" s="9" t="str">
        <f>'A1.3 Payer'!$B$11</f>
        <v>insurance.subjectIdentifier</v>
      </c>
      <c r="C20" s="9" t="str">
        <f>'A1.3 Payer'!$C$11</f>
        <v>A.1.3.1.3 Health insurance number</v>
      </c>
      <c r="D20" s="9" t="s">
        <v>730</v>
      </c>
      <c r="E20" s="9"/>
      <c r="F20" s="75" t="s">
        <v>658</v>
      </c>
      <c r="G20" s="75"/>
      <c r="H20" s="76"/>
      <c r="I20" s="14" t="str">
        <f t="shared" si="4"/>
        <v>* group[=].element[+].code = #Payer.insurance.subjectIdentifier</v>
      </c>
      <c r="J20" s="14" t="str">
        <f t="shared" si="0"/>
        <v>* group[=].element[=].display = ##34#A.1.3.1.3 Health insurance number##34#</v>
      </c>
      <c r="K20" s="14" t="str">
        <f t="shared" si="5"/>
        <v>* group[=].element[=].target.code = #insurance.resolve().ofType(Coverage).subscriberId</v>
      </c>
      <c r="L20" s="14" t="str">
        <f t="shared" si="1"/>
        <v>* group[=].element[=].target.display = ##34###34#</v>
      </c>
      <c r="M20" s="14" t="str">
        <f t="shared" si="2"/>
        <v>* group[=].element[=].target.equivalence = #equivalent</v>
      </c>
      <c r="N20" s="14" t="str">
        <f t="shared" si="3"/>
        <v/>
      </c>
      <c r="P20" s="9">
        <v>6</v>
      </c>
      <c r="Q20" s="9">
        <f t="shared" si="6"/>
        <v>0</v>
      </c>
      <c r="R20" s="9">
        <f t="shared" si="7"/>
        <v>6</v>
      </c>
      <c r="S20" s="14" t="str" cm="1">
        <f t="array" ref="S20">INDEX('Payer-ConceptMap-1'!$I$15:$N$270,Q20+1,R20)</f>
        <v/>
      </c>
    </row>
    <row r="21" spans="1:19" ht="88.5" x14ac:dyDescent="0.75">
      <c r="A21" s="23"/>
      <c r="B21" s="9" t="str">
        <f>'A1.3 Payer'!$B$11</f>
        <v>insurance.subjectIdentifier</v>
      </c>
      <c r="C21" s="9" t="str">
        <f>'A1.3 Payer'!$C$11</f>
        <v>A.1.3.1.3 Health insurance number</v>
      </c>
      <c r="D21" s="9" t="s">
        <v>731</v>
      </c>
      <c r="E21" s="9"/>
      <c r="F21" s="75" t="s">
        <v>658</v>
      </c>
      <c r="G21" s="75"/>
      <c r="H21" s="76"/>
      <c r="I21" s="14" t="str">
        <f t="shared" si="4"/>
        <v>* group[=].element[+].code = #Payer.insurance.subjectIdentifier</v>
      </c>
      <c r="J21" s="14" t="str">
        <f t="shared" si="0"/>
        <v>* group[=].element[=].display = ##34#A.1.3.1.3 Health insurance number##34#</v>
      </c>
      <c r="K21" s="14" t="str">
        <f t="shared" si="5"/>
        <v>* group[=].element[=].target.code = #insurance.resolve().ofType(Coverage).subscriber.resolve().identifier</v>
      </c>
      <c r="L21" s="14" t="str">
        <f t="shared" si="1"/>
        <v>* group[=].element[=].target.display = ##34###34#</v>
      </c>
      <c r="M21" s="14" t="str">
        <f t="shared" si="2"/>
        <v>* group[=].element[=].target.equivalence = #equivalent</v>
      </c>
      <c r="N21" s="14" t="str">
        <f t="shared" si="3"/>
        <v/>
      </c>
      <c r="P21" s="9">
        <v>7</v>
      </c>
      <c r="Q21" s="9">
        <f t="shared" si="6"/>
        <v>1</v>
      </c>
      <c r="R21" s="9">
        <f t="shared" si="7"/>
        <v>1</v>
      </c>
      <c r="S21" s="14" t="str" cm="1">
        <f t="array" ref="S21">INDEX('Payer-ConceptMap-1'!$I$15:$N$270,Q21+1,R21)</f>
        <v>* group[=].element[+].code = #Payer.insurance.identifier</v>
      </c>
    </row>
    <row r="22" spans="1:19" x14ac:dyDescent="0.75">
      <c r="A22" s="23"/>
      <c r="B22" s="9"/>
      <c r="C22" s="9"/>
      <c r="D22" s="53"/>
      <c r="E22" s="9"/>
      <c r="F22" s="75"/>
      <c r="G22" s="75"/>
      <c r="H22" s="76"/>
      <c r="I22" s="14"/>
      <c r="J22" s="14"/>
      <c r="K22" s="14"/>
      <c r="L22" s="14"/>
      <c r="M22" s="14"/>
      <c r="N22" s="14"/>
      <c r="P22" s="9">
        <v>8</v>
      </c>
      <c r="Q22" s="9">
        <f t="shared" si="6"/>
        <v>1</v>
      </c>
      <c r="R22" s="9">
        <f t="shared" si="7"/>
        <v>2</v>
      </c>
      <c r="S22" s="14" t="str" cm="1">
        <f t="array" ref="S22">INDEX('Payer-ConceptMap-1'!$I$15:$N$270,Q22+1,R22)</f>
        <v>* group[=].element[=].display = ##34#A.1.3.1.1 Health insurance code##34#</v>
      </c>
    </row>
    <row r="23" spans="1:19" ht="29.5" x14ac:dyDescent="0.75">
      <c r="A23" s="23"/>
      <c r="B23" s="9"/>
      <c r="C23" s="9"/>
      <c r="D23" s="9"/>
      <c r="E23" s="14"/>
      <c r="F23" s="75"/>
      <c r="G23" s="75"/>
      <c r="H23" s="76"/>
      <c r="I23" s="14"/>
      <c r="J23" s="14"/>
      <c r="K23" s="14"/>
      <c r="L23" s="14"/>
      <c r="M23" s="14"/>
      <c r="N23" s="14"/>
      <c r="P23" s="9">
        <v>9</v>
      </c>
      <c r="Q23" s="9">
        <f t="shared" si="6"/>
        <v>1</v>
      </c>
      <c r="R23" s="9">
        <f t="shared" si="7"/>
        <v>3</v>
      </c>
      <c r="S23" s="14" t="str" cm="1">
        <f t="array" ref="S23">INDEX('Payer-ConceptMap-1'!$I$15:$N$270,Q23+1,R23)</f>
        <v>* group[=].element[=].target.code = #insurance.resolve().ofType(Coverage).payor.ofType(Organization).resolve().identifier</v>
      </c>
    </row>
    <row r="24" spans="1:19" x14ac:dyDescent="0.75">
      <c r="A24" s="23"/>
      <c r="B24" s="9"/>
      <c r="C24" s="9"/>
      <c r="D24" s="14"/>
      <c r="E24" s="14"/>
      <c r="F24" s="75"/>
      <c r="G24" s="75"/>
      <c r="H24" s="76"/>
      <c r="I24" s="14"/>
      <c r="J24" s="14"/>
      <c r="K24" s="14"/>
      <c r="L24" s="14"/>
      <c r="M24" s="14"/>
      <c r="N24" s="14"/>
      <c r="P24" s="9">
        <v>10</v>
      </c>
      <c r="Q24" s="9">
        <f t="shared" si="6"/>
        <v>1</v>
      </c>
      <c r="R24" s="9">
        <f t="shared" si="7"/>
        <v>4</v>
      </c>
      <c r="S24" s="14" t="str" cm="1">
        <f t="array" ref="S24">INDEX('Payer-ConceptMap-1'!$I$15:$N$270,Q24+1,R24)</f>
        <v>* group[=].element[=].target.display = ##34###34#</v>
      </c>
    </row>
    <row r="25" spans="1:19" x14ac:dyDescent="0.75">
      <c r="B25" s="9"/>
      <c r="C25" s="9"/>
      <c r="D25" s="14"/>
      <c r="E25" s="14"/>
      <c r="F25" s="75"/>
      <c r="G25" s="75"/>
      <c r="H25" s="76"/>
      <c r="I25" s="14"/>
      <c r="J25" s="14"/>
      <c r="K25" s="14"/>
      <c r="L25" s="14"/>
      <c r="M25" s="14"/>
      <c r="N25" s="14"/>
      <c r="P25" s="9">
        <v>11</v>
      </c>
      <c r="Q25" s="9">
        <f t="shared" si="6"/>
        <v>1</v>
      </c>
      <c r="R25" s="9">
        <f t="shared" si="7"/>
        <v>5</v>
      </c>
      <c r="S25" s="14" t="str" cm="1">
        <f t="array" ref="S25">INDEX('Payer-ConceptMap-1'!$I$15:$N$270,Q25+1,R25)</f>
        <v>* group[=].element[=].target.equivalence = #equivalent</v>
      </c>
    </row>
    <row r="26" spans="1:19" x14ac:dyDescent="0.75">
      <c r="B26" s="9"/>
      <c r="C26" s="9"/>
      <c r="D26" s="14"/>
      <c r="E26" s="14"/>
      <c r="F26" s="75"/>
      <c r="G26" s="75"/>
      <c r="H26" s="76"/>
      <c r="I26" s="14"/>
      <c r="J26" s="14"/>
      <c r="K26" s="14"/>
      <c r="L26" s="14"/>
      <c r="M26" s="14"/>
      <c r="N26" s="14"/>
      <c r="P26" s="9">
        <v>12</v>
      </c>
      <c r="Q26" s="9">
        <f t="shared" si="6"/>
        <v>1</v>
      </c>
      <c r="R26" s="9">
        <f t="shared" si="7"/>
        <v>6</v>
      </c>
      <c r="S26" s="14" t="str" cm="1">
        <f t="array" ref="S26">INDEX('Payer-ConceptMap-1'!$I$15:$N$270,Q26+1,R26)</f>
        <v/>
      </c>
    </row>
    <row r="27" spans="1:19" x14ac:dyDescent="0.75">
      <c r="B27" s="9"/>
      <c r="C27" s="9"/>
      <c r="D27" s="14"/>
      <c r="E27" s="14"/>
      <c r="F27" s="75"/>
      <c r="G27" s="75"/>
      <c r="H27" s="76"/>
      <c r="I27" s="14"/>
      <c r="J27" s="14"/>
      <c r="K27" s="14"/>
      <c r="L27" s="14"/>
      <c r="M27" s="14"/>
      <c r="N27" s="14"/>
      <c r="P27" s="9">
        <v>13</v>
      </c>
      <c r="Q27" s="9">
        <f t="shared" si="6"/>
        <v>2</v>
      </c>
      <c r="R27" s="9">
        <f t="shared" si="7"/>
        <v>1</v>
      </c>
      <c r="S27" s="14" t="str" cm="1">
        <f t="array" ref="S27">INDEX('Payer-ConceptMap-1'!$I$15:$N$270,Q27+1,R27)</f>
        <v>* group[=].element[+].code = #Payer.insurance.name</v>
      </c>
    </row>
    <row r="28" spans="1:19" x14ac:dyDescent="0.75">
      <c r="B28" s="9"/>
      <c r="C28" s="9"/>
      <c r="D28" s="14"/>
      <c r="E28" s="14"/>
      <c r="F28" s="75"/>
      <c r="G28" s="75"/>
      <c r="H28" s="76"/>
      <c r="I28" s="14"/>
      <c r="J28" s="14"/>
      <c r="K28" s="14"/>
      <c r="L28" s="14"/>
      <c r="M28" s="14"/>
      <c r="N28" s="14"/>
      <c r="P28" s="9">
        <v>14</v>
      </c>
      <c r="Q28" s="9">
        <f t="shared" si="6"/>
        <v>2</v>
      </c>
      <c r="R28" s="9">
        <f t="shared" si="7"/>
        <v>2</v>
      </c>
      <c r="S28" s="14" t="str" cm="1">
        <f t="array" ref="S28">INDEX('Payer-ConceptMap-1'!$I$15:$N$270,Q28+1,R28)</f>
        <v>* group[=].element[=].display = ##34#A.1.3.1.2 Health insurance name##34#</v>
      </c>
    </row>
    <row r="29" spans="1:19" ht="29.5" x14ac:dyDescent="0.75">
      <c r="B29" s="9"/>
      <c r="C29" s="9"/>
      <c r="D29" s="14"/>
      <c r="E29" s="14"/>
      <c r="F29" s="75"/>
      <c r="G29" s="75"/>
      <c r="H29" s="76"/>
      <c r="I29" s="14"/>
      <c r="J29" s="14"/>
      <c r="K29" s="14"/>
      <c r="L29" s="14"/>
      <c r="M29" s="14"/>
      <c r="N29" s="14"/>
      <c r="P29" s="9">
        <v>15</v>
      </c>
      <c r="Q29" s="9">
        <f t="shared" si="6"/>
        <v>2</v>
      </c>
      <c r="R29" s="9">
        <f t="shared" si="7"/>
        <v>3</v>
      </c>
      <c r="S29" s="14" t="str" cm="1">
        <f t="array" ref="S29">INDEX('Payer-ConceptMap-1'!$I$15:$N$270,Q29+1,R29)</f>
        <v>* group[=].element[=].target.code = #insurance.resolve().ofType(Coverage).payor.ofType(Organization).resolve().name</v>
      </c>
    </row>
    <row r="30" spans="1:19" x14ac:dyDescent="0.75">
      <c r="B30" s="9"/>
      <c r="C30" s="9"/>
      <c r="D30" s="14"/>
      <c r="E30" s="14"/>
      <c r="F30" s="75"/>
      <c r="G30" s="75"/>
      <c r="H30" s="76"/>
      <c r="I30" s="14"/>
      <c r="J30" s="14"/>
      <c r="K30" s="14"/>
      <c r="L30" s="14"/>
      <c r="M30" s="14"/>
      <c r="N30" s="14"/>
      <c r="P30" s="9">
        <v>16</v>
      </c>
      <c r="Q30" s="9">
        <f t="shared" si="6"/>
        <v>2</v>
      </c>
      <c r="R30" s="9">
        <f t="shared" si="7"/>
        <v>4</v>
      </c>
      <c r="S30" s="14" t="str" cm="1">
        <f t="array" ref="S30">INDEX('Payer-ConceptMap-1'!$I$15:$N$270,Q30+1,R30)</f>
        <v>* group[=].element[=].target.display = ##34###34#</v>
      </c>
    </row>
    <row r="31" spans="1:19" x14ac:dyDescent="0.75">
      <c r="B31" s="9"/>
      <c r="C31" s="9"/>
      <c r="D31" s="14"/>
      <c r="E31" s="14"/>
      <c r="F31" s="75"/>
      <c r="G31" s="75"/>
      <c r="H31" s="76"/>
      <c r="I31" s="14"/>
      <c r="J31" s="14"/>
      <c r="K31" s="14"/>
      <c r="L31" s="14"/>
      <c r="M31" s="14"/>
      <c r="N31" s="14"/>
      <c r="P31" s="9">
        <v>17</v>
      </c>
      <c r="Q31" s="9">
        <f t="shared" si="6"/>
        <v>2</v>
      </c>
      <c r="R31" s="9">
        <f t="shared" si="7"/>
        <v>5</v>
      </c>
      <c r="S31" s="14" t="str" cm="1">
        <f t="array" ref="S31">INDEX('Payer-ConceptMap-1'!$I$15:$N$270,Q31+1,R31)</f>
        <v>* group[=].element[=].target.equivalence = #equivalent</v>
      </c>
    </row>
    <row r="32" spans="1:19" x14ac:dyDescent="0.75">
      <c r="B32" s="9"/>
      <c r="C32" s="9"/>
      <c r="D32" s="14"/>
      <c r="E32" s="14"/>
      <c r="F32" s="75"/>
      <c r="G32" s="75"/>
      <c r="H32" s="76"/>
      <c r="I32" s="14"/>
      <c r="J32" s="14"/>
      <c r="K32" s="14"/>
      <c r="L32" s="14"/>
      <c r="M32" s="14"/>
      <c r="N32" s="1"/>
      <c r="P32" s="9">
        <v>18</v>
      </c>
      <c r="Q32" s="9">
        <f t="shared" si="6"/>
        <v>2</v>
      </c>
      <c r="R32" s="9">
        <f t="shared" si="7"/>
        <v>6</v>
      </c>
      <c r="S32" s="14" t="str" cm="1">
        <f t="array" ref="S32">INDEX('Payer-ConceptMap-1'!$I$15:$N$270,Q32+1,R32)</f>
        <v/>
      </c>
    </row>
    <row r="33" spans="1:19" x14ac:dyDescent="0.75">
      <c r="B33" s="9"/>
      <c r="C33" s="9"/>
      <c r="D33" s="14"/>
      <c r="E33" s="14"/>
      <c r="F33" s="75"/>
      <c r="G33" s="75"/>
      <c r="H33" s="76"/>
      <c r="I33" s="14"/>
      <c r="J33" s="14"/>
      <c r="K33" s="14"/>
      <c r="L33" s="14"/>
      <c r="M33" s="14"/>
      <c r="N33" s="1"/>
      <c r="P33" s="9">
        <v>19</v>
      </c>
      <c r="Q33" s="9">
        <f t="shared" si="6"/>
        <v>3</v>
      </c>
      <c r="R33" s="9">
        <f t="shared" si="7"/>
        <v>1</v>
      </c>
      <c r="S33" s="14" t="str" cm="1">
        <f t="array" ref="S33">INDEX('Payer-ConceptMap-1'!$I$15:$N$270,Q33+1,R33)</f>
        <v>* group[=].element[+].code = #Payer.insurance.subjectIdentifier</v>
      </c>
    </row>
    <row r="34" spans="1:19" x14ac:dyDescent="0.75">
      <c r="B34" s="9"/>
      <c r="C34" s="9"/>
      <c r="D34" s="14"/>
      <c r="E34" s="14"/>
      <c r="F34" s="75"/>
      <c r="G34" s="75"/>
      <c r="H34" s="76"/>
      <c r="I34" s="14"/>
      <c r="J34" s="14"/>
      <c r="K34" s="14"/>
      <c r="L34" s="14"/>
      <c r="M34" s="14"/>
      <c r="N34" s="1"/>
      <c r="P34" s="9">
        <v>20</v>
      </c>
      <c r="Q34" s="9">
        <f t="shared" si="6"/>
        <v>3</v>
      </c>
      <c r="R34" s="9">
        <f t="shared" si="7"/>
        <v>2</v>
      </c>
      <c r="S34" s="14" t="str" cm="1">
        <f t="array" ref="S34">INDEX('Payer-ConceptMap-1'!$I$15:$N$270,Q34+1,R34)</f>
        <v>* group[=].element[=].display = ##34#A.1.3.1.3 Health insurance number##34#</v>
      </c>
    </row>
    <row r="35" spans="1:19" ht="29.5" x14ac:dyDescent="0.75">
      <c r="B35" s="9"/>
      <c r="C35" s="9"/>
      <c r="D35" s="14"/>
      <c r="E35" s="14"/>
      <c r="F35" s="75"/>
      <c r="G35" s="75"/>
      <c r="H35" s="76"/>
      <c r="K35" s="76"/>
      <c r="L35" s="76"/>
      <c r="M35" s="74"/>
      <c r="N35" s="74"/>
      <c r="P35" s="9">
        <v>21</v>
      </c>
      <c r="Q35" s="9">
        <f t="shared" si="6"/>
        <v>3</v>
      </c>
      <c r="R35" s="9">
        <f t="shared" si="7"/>
        <v>3</v>
      </c>
      <c r="S35" s="14" t="str" cm="1">
        <f t="array" ref="S35">INDEX('Payer-ConceptMap-1'!$I$15:$N$270,Q35+1,R35)</f>
        <v>* group[=].element[=].target.code = #insurance.resolve().ofType(Coverage).policyHolder.resolve().identifier</v>
      </c>
    </row>
    <row r="36" spans="1:19" x14ac:dyDescent="0.75">
      <c r="B36" s="9"/>
      <c r="C36" s="9"/>
      <c r="D36" s="14"/>
      <c r="E36" s="14"/>
      <c r="F36" s="75"/>
      <c r="G36" s="75"/>
      <c r="H36" s="76"/>
      <c r="K36" s="76"/>
      <c r="L36" s="76"/>
      <c r="M36" s="74"/>
      <c r="N36" s="74"/>
      <c r="P36" s="9">
        <v>22</v>
      </c>
      <c r="Q36" s="9">
        <f t="shared" si="6"/>
        <v>3</v>
      </c>
      <c r="R36" s="9">
        <f t="shared" si="7"/>
        <v>4</v>
      </c>
      <c r="S36" s="14" t="str" cm="1">
        <f t="array" ref="S36">INDEX('Payer-ConceptMap-1'!$I$15:$N$270,Q36+1,R36)</f>
        <v>* group[=].element[=].target.display = ##34###34#</v>
      </c>
    </row>
    <row r="37" spans="1:19" s="1" customFormat="1" x14ac:dyDescent="0.75">
      <c r="A37"/>
      <c r="B37" s="9"/>
      <c r="C37" s="9"/>
      <c r="D37" s="14"/>
      <c r="E37" s="14"/>
      <c r="F37" s="75"/>
      <c r="G37" s="76"/>
      <c r="H37" s="76"/>
      <c r="J37"/>
      <c r="K37" s="76"/>
      <c r="L37" s="76"/>
      <c r="M37" s="74"/>
      <c r="N37" s="74"/>
      <c r="P37" s="9">
        <v>23</v>
      </c>
      <c r="Q37" s="9">
        <f t="shared" si="6"/>
        <v>3</v>
      </c>
      <c r="R37" s="9">
        <f t="shared" si="7"/>
        <v>5</v>
      </c>
      <c r="S37" s="14" t="str" cm="1">
        <f t="array" ref="S37">INDEX('Payer-ConceptMap-1'!$I$15:$N$270,Q37+1,R37)</f>
        <v>* group[=].element[=].target.equivalence = #equivalent</v>
      </c>
    </row>
    <row r="38" spans="1:19" s="1" customFormat="1" x14ac:dyDescent="0.75">
      <c r="A38"/>
      <c r="B38" s="9"/>
      <c r="C38" s="9"/>
      <c r="D38" s="60"/>
      <c r="F38" s="76"/>
      <c r="G38" s="76"/>
      <c r="H38" s="76"/>
      <c r="J38"/>
      <c r="K38" s="76"/>
      <c r="L38" s="76"/>
      <c r="M38" s="74"/>
      <c r="N38" s="74"/>
      <c r="P38" s="9">
        <v>24</v>
      </c>
      <c r="Q38" s="9">
        <f t="shared" si="6"/>
        <v>3</v>
      </c>
      <c r="R38" s="9">
        <f t="shared" si="7"/>
        <v>6</v>
      </c>
      <c r="S38" s="14" t="str" cm="1">
        <f t="array" ref="S38">INDEX('Payer-ConceptMap-1'!$I$15:$N$270,Q38+1,R38)</f>
        <v/>
      </c>
    </row>
    <row r="39" spans="1:19" s="1" customFormat="1" x14ac:dyDescent="0.75">
      <c r="A39"/>
      <c r="B39" s="9"/>
      <c r="C39" s="9"/>
      <c r="F39" s="76"/>
      <c r="G39" s="76"/>
      <c r="H39" s="76"/>
      <c r="J39"/>
      <c r="K39" s="76"/>
      <c r="L39" s="76"/>
      <c r="M39" s="74"/>
      <c r="N39" s="74"/>
      <c r="P39" s="9">
        <v>25</v>
      </c>
      <c r="Q39" s="9">
        <f t="shared" si="6"/>
        <v>4</v>
      </c>
      <c r="R39" s="9">
        <f t="shared" si="7"/>
        <v>1</v>
      </c>
      <c r="S39" s="14" t="str" cm="1">
        <f t="array" ref="S39">INDEX('Payer-ConceptMap-1'!$I$15:$N$270,Q39+1,R39)</f>
        <v>* group[=].element[+].code = #Payer.insurance.subjectIdentifier</v>
      </c>
    </row>
    <row r="40" spans="1:19" s="1" customFormat="1" x14ac:dyDescent="0.75">
      <c r="A40"/>
      <c r="B40" s="9"/>
      <c r="C40" s="9"/>
      <c r="F40" s="76"/>
      <c r="G40" s="76"/>
      <c r="H40" s="76"/>
      <c r="J40" s="76"/>
      <c r="K40" s="76"/>
      <c r="L40" s="76"/>
      <c r="M40" s="74"/>
      <c r="N40" s="74"/>
      <c r="P40" s="9">
        <v>26</v>
      </c>
      <c r="Q40" s="9">
        <f t="shared" si="6"/>
        <v>4</v>
      </c>
      <c r="R40" s="9">
        <f t="shared" si="7"/>
        <v>2</v>
      </c>
      <c r="S40" s="14" t="str" cm="1">
        <f t="array" ref="S40">INDEX('Payer-ConceptMap-1'!$I$15:$N$270,Q40+1,R40)</f>
        <v>* group[=].element[=].display = ##34#A.1.3.1.3 Health insurance number##34#</v>
      </c>
    </row>
    <row r="41" spans="1:19" s="1" customFormat="1" ht="29.5" x14ac:dyDescent="0.75">
      <c r="A41"/>
      <c r="B41" s="9"/>
      <c r="C41" s="9"/>
      <c r="F41" s="76"/>
      <c r="G41" s="76"/>
      <c r="H41" s="76"/>
      <c r="J41" s="76"/>
      <c r="K41" s="76"/>
      <c r="L41" s="76"/>
      <c r="M41" s="74"/>
      <c r="N41" s="74"/>
      <c r="P41" s="9">
        <v>27</v>
      </c>
      <c r="Q41" s="9">
        <f t="shared" si="6"/>
        <v>4</v>
      </c>
      <c r="R41" s="9">
        <f t="shared" si="7"/>
        <v>3</v>
      </c>
      <c r="S41" s="14" t="str" cm="1">
        <f t="array" ref="S41">INDEX('Payer-ConceptMap-1'!$I$15:$N$270,Q41+1,R41)</f>
        <v>* group[=].element[=].target.code = #insurance.resolve().ofType(Coverage).beneficiary.resolve().identifier</v>
      </c>
    </row>
    <row r="42" spans="1:19" s="1" customFormat="1" x14ac:dyDescent="0.75">
      <c r="A42"/>
      <c r="B42" s="9"/>
      <c r="C42" s="9"/>
      <c r="F42" s="76"/>
      <c r="G42" s="76"/>
      <c r="H42" s="76"/>
      <c r="J42" s="76"/>
      <c r="K42" s="76"/>
      <c r="L42" s="76"/>
      <c r="M42" s="74"/>
      <c r="N42" s="74"/>
      <c r="P42" s="9">
        <v>28</v>
      </c>
      <c r="Q42" s="9">
        <f t="shared" si="6"/>
        <v>4</v>
      </c>
      <c r="R42" s="9">
        <f t="shared" si="7"/>
        <v>4</v>
      </c>
      <c r="S42" s="14" t="str" cm="1">
        <f t="array" ref="S42">INDEX('Payer-ConceptMap-1'!$I$15:$N$270,Q42+1,R42)</f>
        <v>* group[=].element[=].target.display = ##34###34#</v>
      </c>
    </row>
    <row r="43" spans="1:19" s="1" customFormat="1" x14ac:dyDescent="0.75">
      <c r="A43"/>
      <c r="B43" s="9"/>
      <c r="C43" s="9"/>
      <c r="F43" s="76"/>
      <c r="G43" s="76"/>
      <c r="H43" s="76"/>
      <c r="J43" s="76"/>
      <c r="K43" s="76"/>
      <c r="L43" s="76"/>
      <c r="M43" s="76"/>
      <c r="N43" s="76"/>
      <c r="P43" s="9">
        <v>29</v>
      </c>
      <c r="Q43" s="9">
        <f t="shared" si="6"/>
        <v>4</v>
      </c>
      <c r="R43" s="9">
        <f t="shared" si="7"/>
        <v>5</v>
      </c>
      <c r="S43" s="14" t="str" cm="1">
        <f t="array" ref="S43">INDEX('Payer-ConceptMap-1'!$I$15:$N$270,Q43+1,R43)</f>
        <v>* group[=].element[=].target.equivalence = #equivalent</v>
      </c>
    </row>
    <row r="44" spans="1:19" s="1" customFormat="1" x14ac:dyDescent="0.75">
      <c r="A44"/>
      <c r="B44" s="9"/>
      <c r="C44"/>
      <c r="F44" s="76"/>
      <c r="G44" s="76"/>
      <c r="H44" s="76"/>
      <c r="J44" s="76"/>
      <c r="K44" s="76"/>
      <c r="L44" s="76"/>
      <c r="M44" s="76"/>
      <c r="N44" s="76"/>
      <c r="P44" s="9">
        <v>30</v>
      </c>
      <c r="Q44" s="9">
        <f t="shared" si="6"/>
        <v>4</v>
      </c>
      <c r="R44" s="9">
        <f t="shared" si="7"/>
        <v>6</v>
      </c>
      <c r="S44" s="14" t="str" cm="1">
        <f t="array" ref="S44">INDEX('Payer-ConceptMap-1'!$I$15:$N$270,Q44+1,R44)</f>
        <v/>
      </c>
    </row>
    <row r="45" spans="1:19" s="1" customFormat="1" x14ac:dyDescent="0.75">
      <c r="A45"/>
      <c r="B45" s="9"/>
      <c r="C45"/>
      <c r="F45" s="76"/>
      <c r="G45" s="76"/>
      <c r="H45" s="76"/>
      <c r="J45" s="76"/>
      <c r="K45" s="76"/>
      <c r="L45" s="76"/>
      <c r="M45" s="76"/>
      <c r="N45" s="76"/>
      <c r="P45" s="9">
        <v>31</v>
      </c>
      <c r="Q45" s="9">
        <f t="shared" si="6"/>
        <v>5</v>
      </c>
      <c r="R45" s="9">
        <f t="shared" si="7"/>
        <v>1</v>
      </c>
      <c r="S45" s="14" t="str" cm="1">
        <f t="array" ref="S45">INDEX('Payer-ConceptMap-1'!$I$15:$N$270,Q45+1,R45)</f>
        <v>* group[=].element[+].code = #Payer.insurance.subjectIdentifier</v>
      </c>
    </row>
    <row r="46" spans="1:19" s="1" customFormat="1" x14ac:dyDescent="0.75">
      <c r="A46"/>
      <c r="B46" s="9"/>
      <c r="C46"/>
      <c r="F46" s="76"/>
      <c r="G46" s="76"/>
      <c r="H46" s="76"/>
      <c r="J46" s="76"/>
      <c r="K46" s="76"/>
      <c r="L46" s="76"/>
      <c r="M46" s="76"/>
      <c r="N46" s="76"/>
      <c r="P46" s="9">
        <v>32</v>
      </c>
      <c r="Q46" s="9">
        <f t="shared" si="6"/>
        <v>5</v>
      </c>
      <c r="R46" s="9">
        <f t="shared" si="7"/>
        <v>2</v>
      </c>
      <c r="S46" s="14" t="str" cm="1">
        <f t="array" ref="S46">INDEX('Payer-ConceptMap-1'!$I$15:$N$270,Q46+1,R46)</f>
        <v>* group[=].element[=].display = ##34#A.1.3.1.3 Health insurance number##34#</v>
      </c>
    </row>
    <row r="47" spans="1:19" s="1" customFormat="1" ht="29.5" x14ac:dyDescent="0.75">
      <c r="A47"/>
      <c r="B47" s="9"/>
      <c r="C47"/>
      <c r="F47" s="76"/>
      <c r="G47" s="76"/>
      <c r="H47" s="76"/>
      <c r="J47" s="76"/>
      <c r="K47" s="76"/>
      <c r="L47" s="76"/>
      <c r="M47" s="76"/>
      <c r="N47" s="76"/>
      <c r="P47" s="9">
        <v>33</v>
      </c>
      <c r="Q47" s="9">
        <f t="shared" si="6"/>
        <v>5</v>
      </c>
      <c r="R47" s="9">
        <f t="shared" si="7"/>
        <v>3</v>
      </c>
      <c r="S47" s="14" t="str" cm="1">
        <f t="array" ref="S47">INDEX('Payer-ConceptMap-1'!$I$15:$N$270,Q47+1,R47)</f>
        <v>* group[=].element[=].target.code = #insurance.resolve().ofType(Coverage).subscriberId</v>
      </c>
    </row>
    <row r="48" spans="1:19" s="1" customFormat="1" x14ac:dyDescent="0.75">
      <c r="A48"/>
      <c r="B48" s="9"/>
      <c r="C48"/>
      <c r="F48" s="76"/>
      <c r="G48" s="76"/>
      <c r="H48" s="76"/>
      <c r="J48" s="76"/>
      <c r="K48" s="76"/>
      <c r="L48" s="76"/>
      <c r="M48" s="76"/>
      <c r="N48" s="76"/>
      <c r="P48" s="9">
        <v>34</v>
      </c>
      <c r="Q48" s="9">
        <f t="shared" si="6"/>
        <v>5</v>
      </c>
      <c r="R48" s="9">
        <f t="shared" si="7"/>
        <v>4</v>
      </c>
      <c r="S48" s="14" t="str" cm="1">
        <f t="array" ref="S48">INDEX('Payer-ConceptMap-1'!$I$15:$N$270,Q48+1,R48)</f>
        <v>* group[=].element[=].target.display = ##34###34#</v>
      </c>
    </row>
    <row r="49" spans="5:19" x14ac:dyDescent="0.75">
      <c r="F49" s="76"/>
      <c r="G49" s="76"/>
      <c r="H49" s="76"/>
      <c r="J49" s="76"/>
      <c r="K49" s="76"/>
      <c r="L49" s="76"/>
      <c r="M49" s="76"/>
      <c r="N49" s="76"/>
      <c r="P49" s="9">
        <v>35</v>
      </c>
      <c r="Q49" s="9">
        <f t="shared" si="6"/>
        <v>5</v>
      </c>
      <c r="R49" s="9">
        <f t="shared" si="7"/>
        <v>5</v>
      </c>
      <c r="S49" s="14" t="str" cm="1">
        <f t="array" ref="S49">INDEX('Payer-ConceptMap-1'!$I$15:$N$270,Q49+1,R49)</f>
        <v>* group[=].element[=].target.equivalence = #equivalent</v>
      </c>
    </row>
    <row r="50" spans="5:19" x14ac:dyDescent="0.75">
      <c r="F50" s="76"/>
      <c r="G50" s="76"/>
      <c r="H50" s="76"/>
      <c r="J50" s="76"/>
      <c r="K50" s="76"/>
      <c r="L50" s="76"/>
      <c r="M50" s="76"/>
      <c r="N50" s="76"/>
      <c r="P50" s="9">
        <v>36</v>
      </c>
      <c r="Q50" s="9">
        <f t="shared" si="6"/>
        <v>5</v>
      </c>
      <c r="R50" s="9">
        <f t="shared" si="7"/>
        <v>6</v>
      </c>
      <c r="S50" s="14" t="str" cm="1">
        <f t="array" ref="S50">INDEX('Payer-ConceptMap-1'!$I$15:$N$270,Q50+1,R50)</f>
        <v/>
      </c>
    </row>
    <row r="51" spans="5:19" x14ac:dyDescent="0.75">
      <c r="F51" s="76"/>
      <c r="G51" s="76"/>
      <c r="H51" s="76"/>
      <c r="J51" s="76"/>
      <c r="K51" s="76"/>
      <c r="L51" s="76"/>
      <c r="M51" s="76"/>
      <c r="N51" s="76"/>
      <c r="P51" s="9">
        <v>37</v>
      </c>
      <c r="Q51" s="9">
        <f t="shared" si="6"/>
        <v>6</v>
      </c>
      <c r="R51" s="9">
        <f t="shared" si="7"/>
        <v>1</v>
      </c>
      <c r="S51" s="14" t="str" cm="1">
        <f t="array" ref="S51">INDEX('Payer-ConceptMap-1'!$I$15:$N$270,Q51+1,R51)</f>
        <v>* group[=].element[+].code = #Payer.insurance.subjectIdentifier</v>
      </c>
    </row>
    <row r="52" spans="5:19" x14ac:dyDescent="0.75">
      <c r="F52" s="76"/>
      <c r="G52" s="76"/>
      <c r="H52" s="76"/>
      <c r="J52" s="76"/>
      <c r="K52" s="76"/>
      <c r="L52" s="76"/>
      <c r="M52" s="76"/>
      <c r="N52" s="76"/>
      <c r="P52" s="9">
        <v>38</v>
      </c>
      <c r="Q52" s="9">
        <f t="shared" si="6"/>
        <v>6</v>
      </c>
      <c r="R52" s="9">
        <f t="shared" si="7"/>
        <v>2</v>
      </c>
      <c r="S52" s="14" t="str" cm="1">
        <f t="array" ref="S52">INDEX('Payer-ConceptMap-1'!$I$15:$N$270,Q52+1,R52)</f>
        <v>* group[=].element[=].display = ##34#A.1.3.1.3 Health insurance number##34#</v>
      </c>
    </row>
    <row r="53" spans="5:19" ht="29.5" x14ac:dyDescent="0.75">
      <c r="E53"/>
      <c r="P53" s="9">
        <v>39</v>
      </c>
      <c r="Q53" s="9">
        <f t="shared" si="6"/>
        <v>6</v>
      </c>
      <c r="R53" s="9">
        <f t="shared" si="7"/>
        <v>3</v>
      </c>
      <c r="S53" s="14" t="str" cm="1">
        <f t="array" ref="S53">INDEX('Payer-ConceptMap-1'!$I$15:$N$270,Q53+1,R53)</f>
        <v>* group[=].element[=].target.code = #insurance.resolve().ofType(Coverage).subscriber.resolve().identifier</v>
      </c>
    </row>
    <row r="54" spans="5:19" x14ac:dyDescent="0.75">
      <c r="P54" s="9">
        <v>40</v>
      </c>
      <c r="Q54" s="9">
        <f t="shared" si="6"/>
        <v>6</v>
      </c>
      <c r="R54" s="9">
        <f t="shared" si="7"/>
        <v>4</v>
      </c>
      <c r="S54" s="14" t="str" cm="1">
        <f t="array" ref="S54">INDEX('Payer-ConceptMap-1'!$I$15:$N$270,Q54+1,R54)</f>
        <v>* group[=].element[=].target.display = ##34###34#</v>
      </c>
    </row>
    <row r="55" spans="5:19" x14ac:dyDescent="0.75">
      <c r="P55" s="9">
        <v>41</v>
      </c>
      <c r="Q55" s="9">
        <f t="shared" si="6"/>
        <v>6</v>
      </c>
      <c r="R55" s="9">
        <f t="shared" si="7"/>
        <v>5</v>
      </c>
      <c r="S55" s="14" t="str" cm="1">
        <f t="array" ref="S55">INDEX('Payer-ConceptMap-1'!$I$15:$N$270,Q55+1,R55)</f>
        <v>* group[=].element[=].target.equivalence = #equivalent</v>
      </c>
    </row>
    <row r="56" spans="5:19" x14ac:dyDescent="0.75">
      <c r="P56" s="9">
        <v>42</v>
      </c>
      <c r="Q56" s="9">
        <f t="shared" si="6"/>
        <v>6</v>
      </c>
      <c r="R56" s="9">
        <f t="shared" si="7"/>
        <v>6</v>
      </c>
      <c r="S56" s="14" t="str" cm="1">
        <f t="array" ref="S56">INDEX('Payer-ConceptMap-1'!$I$15:$N$270,Q56+1,R56)</f>
        <v/>
      </c>
    </row>
    <row r="57" spans="5:19" x14ac:dyDescent="0.75">
      <c r="P57" s="9">
        <v>43</v>
      </c>
      <c r="Q57" s="9">
        <f t="shared" si="6"/>
        <v>7</v>
      </c>
      <c r="R57" s="9">
        <f t="shared" si="7"/>
        <v>1</v>
      </c>
      <c r="S57" s="14" cm="1">
        <f t="array" ref="S57">INDEX('Payer-ConceptMap-1'!$I$15:$N$270,Q57+1,R57)</f>
        <v>0</v>
      </c>
    </row>
    <row r="58" spans="5:19" x14ac:dyDescent="0.75">
      <c r="P58" s="9">
        <v>44</v>
      </c>
      <c r="Q58" s="9">
        <f t="shared" si="6"/>
        <v>7</v>
      </c>
      <c r="R58" s="9">
        <f t="shared" si="7"/>
        <v>2</v>
      </c>
      <c r="S58" s="14" cm="1">
        <f t="array" ref="S58">INDEX('Payer-ConceptMap-1'!$I$15:$N$270,Q58+1,R58)</f>
        <v>0</v>
      </c>
    </row>
    <row r="59" spans="5:19" x14ac:dyDescent="0.75">
      <c r="P59" s="9">
        <v>45</v>
      </c>
      <c r="Q59" s="9">
        <f t="shared" si="6"/>
        <v>7</v>
      </c>
      <c r="R59" s="9">
        <f t="shared" si="7"/>
        <v>3</v>
      </c>
      <c r="S59" s="14" cm="1">
        <f t="array" ref="S59">INDEX('Payer-ConceptMap-1'!$I$15:$N$270,Q59+1,R59)</f>
        <v>0</v>
      </c>
    </row>
    <row r="60" spans="5:19" x14ac:dyDescent="0.75">
      <c r="P60" s="9">
        <v>46</v>
      </c>
      <c r="Q60" s="9">
        <f t="shared" si="6"/>
        <v>7</v>
      </c>
      <c r="R60" s="9">
        <f t="shared" si="7"/>
        <v>4</v>
      </c>
      <c r="S60" s="14" cm="1">
        <f t="array" ref="S60">INDEX('Payer-ConceptMap-1'!$I$15:$N$270,Q60+1,R60)</f>
        <v>0</v>
      </c>
    </row>
    <row r="61" spans="5:19" x14ac:dyDescent="0.75">
      <c r="P61" s="9">
        <v>47</v>
      </c>
      <c r="Q61" s="9">
        <f t="shared" si="6"/>
        <v>7</v>
      </c>
      <c r="R61" s="9">
        <f t="shared" si="7"/>
        <v>5</v>
      </c>
      <c r="S61" s="14" cm="1">
        <f t="array" ref="S61">INDEX('Payer-ConceptMap-1'!$I$15:$N$270,Q61+1,R61)</f>
        <v>0</v>
      </c>
    </row>
    <row r="62" spans="5:19" x14ac:dyDescent="0.75">
      <c r="P62" s="9">
        <v>48</v>
      </c>
      <c r="Q62" s="9">
        <f t="shared" si="6"/>
        <v>7</v>
      </c>
      <c r="R62" s="9">
        <f t="shared" si="7"/>
        <v>6</v>
      </c>
      <c r="S62" s="14" cm="1">
        <f t="array" ref="S62">INDEX('Payer-ConceptMap-1'!$I$15:$N$270,Q62+1,R62)</f>
        <v>0</v>
      </c>
    </row>
    <row r="63" spans="5:19" x14ac:dyDescent="0.75">
      <c r="P63" s="9">
        <v>49</v>
      </c>
      <c r="Q63" s="9">
        <f t="shared" si="6"/>
        <v>8</v>
      </c>
      <c r="R63" s="9">
        <f t="shared" si="7"/>
        <v>1</v>
      </c>
      <c r="S63" s="14" cm="1">
        <f t="array" ref="S63">INDEX('Payer-ConceptMap-1'!$I$15:$N$270,Q63+1,R63)</f>
        <v>0</v>
      </c>
    </row>
    <row r="64" spans="5:19" x14ac:dyDescent="0.75">
      <c r="P64" s="9">
        <v>50</v>
      </c>
      <c r="Q64" s="9">
        <f t="shared" si="6"/>
        <v>8</v>
      </c>
      <c r="R64" s="9">
        <f t="shared" si="7"/>
        <v>2</v>
      </c>
      <c r="S64" s="14" cm="1">
        <f t="array" ref="S64">INDEX('Payer-ConceptMap-1'!$I$15:$N$270,Q64+1,R64)</f>
        <v>0</v>
      </c>
    </row>
    <row r="65" spans="16:19" x14ac:dyDescent="0.75">
      <c r="P65" s="9">
        <v>51</v>
      </c>
      <c r="Q65" s="9">
        <f t="shared" si="6"/>
        <v>8</v>
      </c>
      <c r="R65" s="9">
        <f t="shared" si="7"/>
        <v>3</v>
      </c>
      <c r="S65" s="14" cm="1">
        <f t="array" ref="S65">INDEX('Payer-ConceptMap-1'!$I$15:$N$270,Q65+1,R65)</f>
        <v>0</v>
      </c>
    </row>
    <row r="66" spans="16:19" x14ac:dyDescent="0.75">
      <c r="P66" s="9">
        <v>52</v>
      </c>
      <c r="Q66" s="9">
        <f t="shared" si="6"/>
        <v>8</v>
      </c>
      <c r="R66" s="9">
        <f t="shared" si="7"/>
        <v>4</v>
      </c>
      <c r="S66" s="14" cm="1">
        <f t="array" ref="S66">INDEX('Payer-ConceptMap-1'!$I$15:$N$270,Q66+1,R66)</f>
        <v>0</v>
      </c>
    </row>
    <row r="67" spans="16:19" x14ac:dyDescent="0.75">
      <c r="P67" s="9">
        <v>53</v>
      </c>
      <c r="Q67" s="9">
        <f t="shared" si="6"/>
        <v>8</v>
      </c>
      <c r="R67" s="9">
        <f t="shared" si="7"/>
        <v>5</v>
      </c>
      <c r="S67" s="14" cm="1">
        <f t="array" ref="S67">INDEX('Payer-ConceptMap-1'!$I$15:$N$270,Q67+1,R67)</f>
        <v>0</v>
      </c>
    </row>
    <row r="68" spans="16:19" x14ac:dyDescent="0.75">
      <c r="P68" s="9">
        <v>54</v>
      </c>
      <c r="Q68" s="9">
        <f t="shared" si="6"/>
        <v>8</v>
      </c>
      <c r="R68" s="9">
        <f t="shared" si="7"/>
        <v>6</v>
      </c>
      <c r="S68" s="14" cm="1">
        <f t="array" ref="S68">INDEX('Payer-ConceptMap-1'!$I$15:$N$270,Q68+1,R68)</f>
        <v>0</v>
      </c>
    </row>
    <row r="69" spans="16:19" x14ac:dyDescent="0.75">
      <c r="P69" s="9">
        <v>55</v>
      </c>
      <c r="Q69" s="9">
        <f t="shared" si="6"/>
        <v>9</v>
      </c>
      <c r="R69" s="9">
        <f t="shared" si="7"/>
        <v>1</v>
      </c>
      <c r="S69" s="14" cm="1">
        <f t="array" ref="S69">INDEX('Payer-ConceptMap-1'!$I$15:$N$270,Q69+1,R69)</f>
        <v>0</v>
      </c>
    </row>
    <row r="70" spans="16:19" x14ac:dyDescent="0.75">
      <c r="P70" s="9">
        <v>56</v>
      </c>
      <c r="Q70" s="9">
        <f t="shared" si="6"/>
        <v>9</v>
      </c>
      <c r="R70" s="9">
        <f t="shared" si="7"/>
        <v>2</v>
      </c>
      <c r="S70" s="14" cm="1">
        <f t="array" ref="S70">INDEX('Payer-ConceptMap-1'!$I$15:$N$270,Q70+1,R70)</f>
        <v>0</v>
      </c>
    </row>
    <row r="71" spans="16:19" x14ac:dyDescent="0.75">
      <c r="P71" s="9">
        <v>57</v>
      </c>
      <c r="Q71" s="9">
        <f t="shared" si="6"/>
        <v>9</v>
      </c>
      <c r="R71" s="9">
        <f t="shared" si="7"/>
        <v>3</v>
      </c>
      <c r="S71" s="14" cm="1">
        <f t="array" ref="S71">INDEX('Payer-ConceptMap-1'!$I$15:$N$270,Q71+1,R71)</f>
        <v>0</v>
      </c>
    </row>
    <row r="72" spans="16:19" x14ac:dyDescent="0.75">
      <c r="P72" s="9">
        <v>58</v>
      </c>
      <c r="Q72" s="9">
        <f t="shared" si="6"/>
        <v>9</v>
      </c>
      <c r="R72" s="9">
        <f t="shared" si="7"/>
        <v>4</v>
      </c>
      <c r="S72" s="14" cm="1">
        <f t="array" ref="S72">INDEX('Payer-ConceptMap-1'!$I$15:$N$270,Q72+1,R72)</f>
        <v>0</v>
      </c>
    </row>
    <row r="73" spans="16:19" x14ac:dyDescent="0.75">
      <c r="P73" s="9">
        <v>59</v>
      </c>
      <c r="Q73" s="9">
        <f t="shared" si="6"/>
        <v>9</v>
      </c>
      <c r="R73" s="9">
        <f t="shared" si="7"/>
        <v>5</v>
      </c>
      <c r="S73" s="14" cm="1">
        <f t="array" ref="S73">INDEX('Payer-ConceptMap-1'!$I$15:$N$270,Q73+1,R73)</f>
        <v>0</v>
      </c>
    </row>
    <row r="74" spans="16:19" x14ac:dyDescent="0.75">
      <c r="P74" s="9">
        <v>60</v>
      </c>
      <c r="Q74" s="9">
        <f t="shared" si="6"/>
        <v>9</v>
      </c>
      <c r="R74" s="9">
        <f t="shared" si="7"/>
        <v>6</v>
      </c>
      <c r="S74" s="14" cm="1">
        <f t="array" ref="S74">INDEX('Payer-ConceptMap-1'!$I$15:$N$270,Q74+1,R74)</f>
        <v>0</v>
      </c>
    </row>
    <row r="75" spans="16:19" x14ac:dyDescent="0.75">
      <c r="P75" s="9">
        <v>61</v>
      </c>
      <c r="Q75" s="9">
        <f t="shared" si="6"/>
        <v>10</v>
      </c>
      <c r="R75" s="9">
        <f t="shared" si="7"/>
        <v>1</v>
      </c>
      <c r="S75" s="14" cm="1">
        <f t="array" ref="S75">INDEX('Payer-ConceptMap-1'!$I$15:$N$270,Q75+1,R75)</f>
        <v>0</v>
      </c>
    </row>
    <row r="76" spans="16:19" x14ac:dyDescent="0.75">
      <c r="P76" s="9">
        <v>62</v>
      </c>
      <c r="Q76" s="9">
        <f t="shared" si="6"/>
        <v>10</v>
      </c>
      <c r="R76" s="9">
        <f t="shared" si="7"/>
        <v>2</v>
      </c>
      <c r="S76" s="14" cm="1">
        <f t="array" ref="S76">INDEX('Payer-ConceptMap-1'!$I$15:$N$270,Q76+1,R76)</f>
        <v>0</v>
      </c>
    </row>
    <row r="77" spans="16:19" x14ac:dyDescent="0.75">
      <c r="P77" s="9">
        <v>63</v>
      </c>
      <c r="Q77" s="9">
        <f t="shared" si="6"/>
        <v>10</v>
      </c>
      <c r="R77" s="9">
        <f t="shared" si="7"/>
        <v>3</v>
      </c>
      <c r="S77" s="14" cm="1">
        <f t="array" ref="S77">INDEX('Payer-ConceptMap-1'!$I$15:$N$270,Q77+1,R77)</f>
        <v>0</v>
      </c>
    </row>
    <row r="78" spans="16:19" x14ac:dyDescent="0.75">
      <c r="P78" s="9">
        <v>64</v>
      </c>
      <c r="Q78" s="9">
        <f t="shared" si="6"/>
        <v>10</v>
      </c>
      <c r="R78" s="9">
        <f t="shared" si="7"/>
        <v>4</v>
      </c>
      <c r="S78" s="14" cm="1">
        <f t="array" ref="S78">INDEX('Payer-ConceptMap-1'!$I$15:$N$270,Q78+1,R78)</f>
        <v>0</v>
      </c>
    </row>
    <row r="79" spans="16:19" x14ac:dyDescent="0.75">
      <c r="P79" s="9">
        <v>65</v>
      </c>
      <c r="Q79" s="9">
        <f t="shared" si="6"/>
        <v>10</v>
      </c>
      <c r="R79" s="9">
        <f t="shared" si="7"/>
        <v>5</v>
      </c>
      <c r="S79" s="14" cm="1">
        <f t="array" ref="S79">INDEX('Payer-ConceptMap-1'!$I$15:$N$270,Q79+1,R79)</f>
        <v>0</v>
      </c>
    </row>
    <row r="80" spans="16:19" x14ac:dyDescent="0.75">
      <c r="P80" s="9">
        <v>66</v>
      </c>
      <c r="Q80" s="9">
        <f t="shared" ref="Q80" si="8">IF(MOD(P80,$Q$8)=0,P80/$Q$8-1,INT(P80/$Q$8))</f>
        <v>10</v>
      </c>
      <c r="R80" s="9">
        <f t="shared" ref="R80" si="9">IF(MOD(P80,$Q$8)=0,$Q$8,MOD(P80,$Q$8))</f>
        <v>6</v>
      </c>
      <c r="S80" s="14" cm="1">
        <f t="array" ref="S80">INDEX('Payer-ConceptMap-1'!$I$15:$N$270,Q80+1,R80)</f>
        <v>0</v>
      </c>
    </row>
    <row r="81" spans="16:19" x14ac:dyDescent="0.75">
      <c r="P81" s="9"/>
      <c r="Q81" s="9"/>
      <c r="R81" s="9"/>
      <c r="S81" s="14"/>
    </row>
    <row r="82" spans="16:19" x14ac:dyDescent="0.75">
      <c r="P82" s="9"/>
      <c r="Q82" s="9"/>
      <c r="R82" s="9"/>
      <c r="S82" s="14"/>
    </row>
    <row r="83" spans="16:19" x14ac:dyDescent="0.75">
      <c r="P83" s="9"/>
      <c r="Q83" s="9"/>
      <c r="R83" s="9"/>
      <c r="S83" s="14"/>
    </row>
    <row r="84" spans="16:19" x14ac:dyDescent="0.75">
      <c r="P84" s="9"/>
      <c r="Q84" s="9"/>
      <c r="R84" s="9"/>
      <c r="S84" s="14"/>
    </row>
    <row r="85" spans="16:19" x14ac:dyDescent="0.75">
      <c r="P85" s="9"/>
      <c r="Q85" s="9"/>
      <c r="R85" s="9"/>
      <c r="S85" s="14"/>
    </row>
    <row r="86" spans="16:19" x14ac:dyDescent="0.75">
      <c r="P86" s="9"/>
      <c r="Q86" s="9"/>
      <c r="R86" s="9"/>
      <c r="S86" s="14"/>
    </row>
    <row r="87" spans="16:19" x14ac:dyDescent="0.75">
      <c r="P87" s="9"/>
      <c r="Q87" s="9"/>
      <c r="R87" s="9"/>
      <c r="S87" s="14"/>
    </row>
    <row r="88" spans="16:19" x14ac:dyDescent="0.75">
      <c r="P88" s="9"/>
      <c r="Q88" s="9"/>
      <c r="R88" s="9"/>
      <c r="S88" s="14"/>
    </row>
    <row r="89" spans="16:19" x14ac:dyDescent="0.75">
      <c r="P89" s="9"/>
      <c r="Q89" s="9"/>
      <c r="R89" s="9"/>
      <c r="S89" s="14"/>
    </row>
    <row r="90" spans="16:19" x14ac:dyDescent="0.75">
      <c r="P90" s="9"/>
      <c r="Q90" s="9"/>
      <c r="R90" s="9"/>
      <c r="S90" s="14"/>
    </row>
    <row r="91" spans="16:19" x14ac:dyDescent="0.75">
      <c r="P91" s="9"/>
      <c r="Q91" s="9"/>
      <c r="R91" s="9"/>
      <c r="S91" s="14"/>
    </row>
    <row r="92" spans="16:19" x14ac:dyDescent="0.75">
      <c r="P92" s="9"/>
      <c r="Q92" s="9"/>
      <c r="R92" s="9"/>
      <c r="S92" s="14"/>
    </row>
    <row r="93" spans="16:19" x14ac:dyDescent="0.75">
      <c r="P93" s="9"/>
      <c r="Q93" s="9"/>
      <c r="R93" s="9"/>
      <c r="S93" s="14"/>
    </row>
    <row r="94" spans="16:19" x14ac:dyDescent="0.75">
      <c r="P94" s="9"/>
      <c r="Q94" s="9"/>
      <c r="R94" s="9"/>
      <c r="S94" s="14"/>
    </row>
    <row r="95" spans="16:19" x14ac:dyDescent="0.75">
      <c r="P95" s="9"/>
      <c r="Q95" s="9"/>
      <c r="R95" s="9"/>
      <c r="S95" s="14"/>
    </row>
    <row r="96" spans="16:19" x14ac:dyDescent="0.75">
      <c r="P96" s="9"/>
      <c r="Q96" s="9"/>
      <c r="R96" s="9"/>
      <c r="S96" s="14"/>
    </row>
    <row r="97" spans="16:19" x14ac:dyDescent="0.75">
      <c r="P97" s="9"/>
      <c r="Q97" s="9"/>
      <c r="R97" s="9"/>
      <c r="S97" s="14"/>
    </row>
    <row r="98" spans="16:19" x14ac:dyDescent="0.75">
      <c r="P98" s="9"/>
      <c r="Q98" s="9"/>
      <c r="R98" s="9"/>
      <c r="S98" s="14"/>
    </row>
    <row r="99" spans="16:19" x14ac:dyDescent="0.75">
      <c r="P99" s="9"/>
      <c r="Q99" s="9"/>
      <c r="R99" s="9"/>
      <c r="S99" s="14"/>
    </row>
    <row r="100" spans="16:19" x14ac:dyDescent="0.75">
      <c r="P100" s="9"/>
      <c r="Q100" s="9"/>
      <c r="R100" s="9"/>
      <c r="S100" s="14"/>
    </row>
    <row r="101" spans="16:19" x14ac:dyDescent="0.75">
      <c r="P101" s="9"/>
      <c r="Q101" s="9"/>
      <c r="R101" s="9"/>
      <c r="S101" s="14"/>
    </row>
    <row r="102" spans="16:19" x14ac:dyDescent="0.75">
      <c r="P102" s="9"/>
      <c r="Q102" s="9"/>
      <c r="R102" s="9"/>
      <c r="S102" s="14"/>
    </row>
    <row r="103" spans="16:19" x14ac:dyDescent="0.75">
      <c r="P103" s="9"/>
      <c r="Q103" s="9"/>
      <c r="R103" s="9"/>
      <c r="S103" s="14"/>
    </row>
    <row r="104" spans="16:19" x14ac:dyDescent="0.75">
      <c r="P104" s="9"/>
      <c r="Q104" s="9"/>
      <c r="R104" s="9"/>
      <c r="S104" s="14"/>
    </row>
    <row r="105" spans="16:19" x14ac:dyDescent="0.75">
      <c r="P105" s="9"/>
      <c r="Q105" s="9"/>
      <c r="R105" s="9"/>
      <c r="S105" s="14"/>
    </row>
    <row r="106" spans="16:19" x14ac:dyDescent="0.75">
      <c r="P106" s="9"/>
      <c r="Q106" s="9"/>
      <c r="R106" s="9"/>
      <c r="S106" s="14"/>
    </row>
    <row r="107" spans="16:19" x14ac:dyDescent="0.75">
      <c r="P107" s="9"/>
      <c r="Q107" s="9"/>
      <c r="R107" s="9"/>
      <c r="S107" s="14"/>
    </row>
    <row r="108" spans="16:19" x14ac:dyDescent="0.75">
      <c r="P108" s="9"/>
      <c r="Q108" s="9"/>
      <c r="R108" s="9"/>
      <c r="S108" s="14"/>
    </row>
    <row r="109" spans="16:19" x14ac:dyDescent="0.75">
      <c r="P109" s="9"/>
      <c r="Q109" s="9"/>
      <c r="R109" s="9"/>
      <c r="S109" s="14"/>
    </row>
    <row r="110" spans="16:19" x14ac:dyDescent="0.75">
      <c r="P110" s="9"/>
      <c r="Q110" s="9"/>
      <c r="R110" s="9"/>
      <c r="S110" s="14"/>
    </row>
    <row r="111" spans="16:19" x14ac:dyDescent="0.75">
      <c r="P111" s="9"/>
      <c r="Q111" s="9"/>
      <c r="R111" s="9"/>
      <c r="S111" s="14"/>
    </row>
    <row r="112" spans="16:19" x14ac:dyDescent="0.75">
      <c r="P112" s="9"/>
      <c r="Q112" s="9"/>
      <c r="R112" s="9"/>
      <c r="S112" s="14"/>
    </row>
    <row r="113" spans="16:19" x14ac:dyDescent="0.75">
      <c r="P113" s="9"/>
      <c r="Q113" s="9"/>
      <c r="R113" s="9"/>
      <c r="S113" s="14"/>
    </row>
    <row r="114" spans="16:19" x14ac:dyDescent="0.75">
      <c r="P114" s="9"/>
      <c r="Q114" s="9"/>
      <c r="R114" s="9"/>
      <c r="S114" s="14"/>
    </row>
    <row r="115" spans="16:19" x14ac:dyDescent="0.75">
      <c r="P115" s="9"/>
      <c r="Q115" s="9"/>
      <c r="R115" s="9"/>
      <c r="S115" s="14"/>
    </row>
    <row r="116" spans="16:19" x14ac:dyDescent="0.75">
      <c r="P116" s="9"/>
      <c r="Q116" s="9"/>
      <c r="R116" s="9"/>
      <c r="S116" s="14"/>
    </row>
    <row r="117" spans="16:19" x14ac:dyDescent="0.75">
      <c r="P117" s="9"/>
      <c r="Q117" s="9"/>
      <c r="R117" s="9"/>
      <c r="S117" s="14"/>
    </row>
    <row r="118" spans="16:19" x14ac:dyDescent="0.75">
      <c r="P118" s="9"/>
      <c r="Q118" s="9"/>
      <c r="R118" s="9"/>
      <c r="S118" s="14"/>
    </row>
    <row r="119" spans="16:19" x14ac:dyDescent="0.75">
      <c r="P119" s="9"/>
      <c r="Q119" s="9"/>
      <c r="R119" s="9"/>
      <c r="S119" s="14"/>
    </row>
    <row r="120" spans="16:19" x14ac:dyDescent="0.75">
      <c r="P120" s="9"/>
      <c r="Q120" s="9"/>
      <c r="R120" s="9"/>
      <c r="S120" s="14"/>
    </row>
    <row r="121" spans="16:19" x14ac:dyDescent="0.75">
      <c r="P121" s="9">
        <v>107</v>
      </c>
      <c r="Q121" s="9">
        <f t="shared" ref="Q121:Q184" si="10">IF(MOD(P121,$Q$8)=0,P121/$Q$8-1,INT(P121/$Q$8))</f>
        <v>17</v>
      </c>
      <c r="R121" s="9">
        <f t="shared" ref="R121:R184" si="11">IF(MOD(P121,$Q$8)=0,$Q$8,MOD(P121,$Q$8))</f>
        <v>5</v>
      </c>
      <c r="S121" s="14" cm="1">
        <f t="array" ref="S121">INDEX('Payer-ConceptMap-1'!$I$15:$N$270,Q121+1,R121)</f>
        <v>0</v>
      </c>
    </row>
    <row r="122" spans="16:19" x14ac:dyDescent="0.75">
      <c r="P122" s="9">
        <v>108</v>
      </c>
      <c r="Q122" s="9">
        <f t="shared" si="10"/>
        <v>17</v>
      </c>
      <c r="R122" s="9">
        <f t="shared" si="11"/>
        <v>6</v>
      </c>
      <c r="S122" s="14" cm="1">
        <f t="array" ref="S122">INDEX('Payer-ConceptMap-1'!$I$15:$N$270,Q122+1,R122)</f>
        <v>0</v>
      </c>
    </row>
    <row r="123" spans="16:19" x14ac:dyDescent="0.75">
      <c r="P123" s="9">
        <v>109</v>
      </c>
      <c r="Q123" s="9">
        <f t="shared" si="10"/>
        <v>18</v>
      </c>
      <c r="R123" s="9">
        <f t="shared" si="11"/>
        <v>1</v>
      </c>
      <c r="S123" s="14" cm="1">
        <f t="array" ref="S123">INDEX('Payer-ConceptMap-1'!$I$15:$N$270,Q123+1,R123)</f>
        <v>0</v>
      </c>
    </row>
    <row r="124" spans="16:19" x14ac:dyDescent="0.75">
      <c r="P124" s="9">
        <v>110</v>
      </c>
      <c r="Q124" s="9">
        <f t="shared" si="10"/>
        <v>18</v>
      </c>
      <c r="R124" s="9">
        <f t="shared" si="11"/>
        <v>2</v>
      </c>
      <c r="S124" s="14" cm="1">
        <f t="array" ref="S124">INDEX('Payer-ConceptMap-1'!$I$15:$N$270,Q124+1,R124)</f>
        <v>0</v>
      </c>
    </row>
    <row r="125" spans="16:19" x14ac:dyDescent="0.75">
      <c r="P125" s="9">
        <v>111</v>
      </c>
      <c r="Q125" s="9">
        <f t="shared" si="10"/>
        <v>18</v>
      </c>
      <c r="R125" s="9">
        <f t="shared" si="11"/>
        <v>3</v>
      </c>
      <c r="S125" s="14" cm="1">
        <f t="array" ref="S125">INDEX('Payer-ConceptMap-1'!$I$15:$N$270,Q125+1,R125)</f>
        <v>0</v>
      </c>
    </row>
    <row r="126" spans="16:19" x14ac:dyDescent="0.75">
      <c r="P126" s="9">
        <v>112</v>
      </c>
      <c r="Q126" s="9">
        <f t="shared" si="10"/>
        <v>18</v>
      </c>
      <c r="R126" s="9">
        <f t="shared" si="11"/>
        <v>4</v>
      </c>
      <c r="S126" s="14" cm="1">
        <f t="array" ref="S126">INDEX('Payer-ConceptMap-1'!$I$15:$N$270,Q126+1,R126)</f>
        <v>0</v>
      </c>
    </row>
    <row r="127" spans="16:19" x14ac:dyDescent="0.75">
      <c r="P127" s="9">
        <v>113</v>
      </c>
      <c r="Q127" s="9">
        <f t="shared" si="10"/>
        <v>18</v>
      </c>
      <c r="R127" s="9">
        <f t="shared" si="11"/>
        <v>5</v>
      </c>
      <c r="S127" s="14" cm="1">
        <f t="array" ref="S127">INDEX('Payer-ConceptMap-1'!$I$15:$N$270,Q127+1,R127)</f>
        <v>0</v>
      </c>
    </row>
    <row r="128" spans="16:19" x14ac:dyDescent="0.75">
      <c r="P128" s="9">
        <v>114</v>
      </c>
      <c r="Q128" s="9">
        <f t="shared" si="10"/>
        <v>18</v>
      </c>
      <c r="R128" s="9">
        <f t="shared" si="11"/>
        <v>6</v>
      </c>
      <c r="S128" s="14" cm="1">
        <f t="array" ref="S128">INDEX('Payer-ConceptMap-1'!$I$15:$N$270,Q128+1,R128)</f>
        <v>0</v>
      </c>
    </row>
    <row r="129" spans="16:19" x14ac:dyDescent="0.75">
      <c r="P129" s="9">
        <v>115</v>
      </c>
      <c r="Q129" s="9">
        <f t="shared" si="10"/>
        <v>19</v>
      </c>
      <c r="R129" s="9">
        <f t="shared" si="11"/>
        <v>1</v>
      </c>
      <c r="S129" s="14" cm="1">
        <f t="array" ref="S129">INDEX('Payer-ConceptMap-1'!$I$15:$N$270,Q129+1,R129)</f>
        <v>0</v>
      </c>
    </row>
    <row r="130" spans="16:19" x14ac:dyDescent="0.75">
      <c r="P130" s="9">
        <v>116</v>
      </c>
      <c r="Q130" s="9">
        <f t="shared" si="10"/>
        <v>19</v>
      </c>
      <c r="R130" s="9">
        <f t="shared" si="11"/>
        <v>2</v>
      </c>
      <c r="S130" s="14" cm="1">
        <f t="array" ref="S130">INDEX('Payer-ConceptMap-1'!$I$15:$N$270,Q130+1,R130)</f>
        <v>0</v>
      </c>
    </row>
    <row r="131" spans="16:19" x14ac:dyDescent="0.75">
      <c r="P131" s="9">
        <v>117</v>
      </c>
      <c r="Q131" s="9">
        <f t="shared" si="10"/>
        <v>19</v>
      </c>
      <c r="R131" s="9">
        <f t="shared" si="11"/>
        <v>3</v>
      </c>
      <c r="S131" s="14" cm="1">
        <f t="array" ref="S131">INDEX('Payer-ConceptMap-1'!$I$15:$N$270,Q131+1,R131)</f>
        <v>0</v>
      </c>
    </row>
    <row r="132" spans="16:19" x14ac:dyDescent="0.75">
      <c r="P132" s="9">
        <v>118</v>
      </c>
      <c r="Q132" s="9">
        <f t="shared" si="10"/>
        <v>19</v>
      </c>
      <c r="R132" s="9">
        <f t="shared" si="11"/>
        <v>4</v>
      </c>
      <c r="S132" s="14" cm="1">
        <f t="array" ref="S132">INDEX('Payer-ConceptMap-1'!$I$15:$N$270,Q132+1,R132)</f>
        <v>0</v>
      </c>
    </row>
    <row r="133" spans="16:19" x14ac:dyDescent="0.75">
      <c r="P133" s="9">
        <v>119</v>
      </c>
      <c r="Q133" s="9">
        <f t="shared" si="10"/>
        <v>19</v>
      </c>
      <c r="R133" s="9">
        <f t="shared" si="11"/>
        <v>5</v>
      </c>
      <c r="S133" s="14" cm="1">
        <f t="array" ref="S133">INDEX('Payer-ConceptMap-1'!$I$15:$N$270,Q133+1,R133)</f>
        <v>0</v>
      </c>
    </row>
    <row r="134" spans="16:19" x14ac:dyDescent="0.75">
      <c r="P134" s="9">
        <v>120</v>
      </c>
      <c r="Q134" s="9">
        <f t="shared" si="10"/>
        <v>19</v>
      </c>
      <c r="R134" s="9">
        <f t="shared" si="11"/>
        <v>6</v>
      </c>
      <c r="S134" s="14" cm="1">
        <f t="array" ref="S134">INDEX('Payer-ConceptMap-1'!$I$15:$N$270,Q134+1,R134)</f>
        <v>0</v>
      </c>
    </row>
    <row r="135" spans="16:19" x14ac:dyDescent="0.75">
      <c r="P135" s="9">
        <v>121</v>
      </c>
      <c r="Q135" s="9">
        <f t="shared" si="10"/>
        <v>20</v>
      </c>
      <c r="R135" s="9">
        <f t="shared" si="11"/>
        <v>1</v>
      </c>
      <c r="S135" s="14" cm="1">
        <f t="array" ref="S135">INDEX('Payer-ConceptMap-1'!$I$15:$N$270,Q135+1,R135)</f>
        <v>0</v>
      </c>
    </row>
    <row r="136" spans="16:19" x14ac:dyDescent="0.75">
      <c r="P136" s="9">
        <v>122</v>
      </c>
      <c r="Q136" s="9">
        <f t="shared" si="10"/>
        <v>20</v>
      </c>
      <c r="R136" s="9">
        <f t="shared" si="11"/>
        <v>2</v>
      </c>
      <c r="S136" s="14" cm="1">
        <f t="array" ref="S136">INDEX('Payer-ConceptMap-1'!$I$15:$N$270,Q136+1,R136)</f>
        <v>0</v>
      </c>
    </row>
    <row r="137" spans="16:19" x14ac:dyDescent="0.75">
      <c r="P137" s="9">
        <v>123</v>
      </c>
      <c r="Q137" s="9">
        <f t="shared" si="10"/>
        <v>20</v>
      </c>
      <c r="R137" s="9">
        <f t="shared" si="11"/>
        <v>3</v>
      </c>
      <c r="S137" s="14" cm="1">
        <f t="array" ref="S137">INDEX('Payer-ConceptMap-1'!$I$15:$N$270,Q137+1,R137)</f>
        <v>0</v>
      </c>
    </row>
    <row r="138" spans="16:19" x14ac:dyDescent="0.75">
      <c r="P138" s="9">
        <v>124</v>
      </c>
      <c r="Q138" s="9">
        <f t="shared" si="10"/>
        <v>20</v>
      </c>
      <c r="R138" s="9">
        <f t="shared" si="11"/>
        <v>4</v>
      </c>
      <c r="S138" s="14" cm="1">
        <f t="array" ref="S138">INDEX('Payer-ConceptMap-1'!$I$15:$N$270,Q138+1,R138)</f>
        <v>0</v>
      </c>
    </row>
    <row r="139" spans="16:19" x14ac:dyDescent="0.75">
      <c r="P139" s="9">
        <v>125</v>
      </c>
      <c r="Q139" s="9">
        <f t="shared" si="10"/>
        <v>20</v>
      </c>
      <c r="R139" s="9">
        <f t="shared" si="11"/>
        <v>5</v>
      </c>
      <c r="S139" s="14" cm="1">
        <f t="array" ref="S139">INDEX('Payer-ConceptMap-1'!$I$15:$N$270,Q139+1,R139)</f>
        <v>0</v>
      </c>
    </row>
    <row r="140" spans="16:19" x14ac:dyDescent="0.75">
      <c r="P140" s="9">
        <v>126</v>
      </c>
      <c r="Q140" s="9">
        <f t="shared" si="10"/>
        <v>20</v>
      </c>
      <c r="R140" s="9">
        <f t="shared" si="11"/>
        <v>6</v>
      </c>
      <c r="S140" s="14" cm="1">
        <f t="array" ref="S140">INDEX('Payer-ConceptMap-1'!$I$15:$N$270,Q140+1,R140)</f>
        <v>0</v>
      </c>
    </row>
    <row r="141" spans="16:19" x14ac:dyDescent="0.75">
      <c r="P141" s="9">
        <v>127</v>
      </c>
      <c r="Q141" s="9">
        <f t="shared" si="10"/>
        <v>21</v>
      </c>
      <c r="R141" s="9">
        <f t="shared" si="11"/>
        <v>1</v>
      </c>
      <c r="S141" s="14" cm="1">
        <f t="array" ref="S141">INDEX('Payer-ConceptMap-1'!$I$15:$N$270,Q141+1,R141)</f>
        <v>0</v>
      </c>
    </row>
    <row r="142" spans="16:19" x14ac:dyDescent="0.75">
      <c r="P142" s="9">
        <v>128</v>
      </c>
      <c r="Q142" s="9">
        <f t="shared" si="10"/>
        <v>21</v>
      </c>
      <c r="R142" s="9">
        <f t="shared" si="11"/>
        <v>2</v>
      </c>
      <c r="S142" s="14" cm="1">
        <f t="array" ref="S142">INDEX('Payer-ConceptMap-1'!$I$15:$N$270,Q142+1,R142)</f>
        <v>0</v>
      </c>
    </row>
    <row r="143" spans="16:19" x14ac:dyDescent="0.75">
      <c r="P143" s="9">
        <v>129</v>
      </c>
      <c r="Q143" s="9">
        <f t="shared" si="10"/>
        <v>21</v>
      </c>
      <c r="R143" s="9">
        <f t="shared" si="11"/>
        <v>3</v>
      </c>
      <c r="S143" s="14" cm="1">
        <f t="array" ref="S143">INDEX('Payer-ConceptMap-1'!$I$15:$N$270,Q143+1,R143)</f>
        <v>0</v>
      </c>
    </row>
    <row r="144" spans="16:19" x14ac:dyDescent="0.75">
      <c r="P144" s="9">
        <v>130</v>
      </c>
      <c r="Q144" s="9">
        <f t="shared" si="10"/>
        <v>21</v>
      </c>
      <c r="R144" s="9">
        <f t="shared" si="11"/>
        <v>4</v>
      </c>
      <c r="S144" s="14" cm="1">
        <f t="array" ref="S144">INDEX('Payer-ConceptMap-1'!$I$15:$N$270,Q144+1,R144)</f>
        <v>0</v>
      </c>
    </row>
    <row r="145" spans="16:19" x14ac:dyDescent="0.75">
      <c r="P145" s="9">
        <v>131</v>
      </c>
      <c r="Q145" s="9">
        <f t="shared" si="10"/>
        <v>21</v>
      </c>
      <c r="R145" s="9">
        <f t="shared" si="11"/>
        <v>5</v>
      </c>
      <c r="S145" s="14" cm="1">
        <f t="array" ref="S145">INDEX('Payer-ConceptMap-1'!$I$15:$N$270,Q145+1,R145)</f>
        <v>0</v>
      </c>
    </row>
    <row r="146" spans="16:19" x14ac:dyDescent="0.75">
      <c r="P146" s="9">
        <v>132</v>
      </c>
      <c r="Q146" s="9">
        <f t="shared" si="10"/>
        <v>21</v>
      </c>
      <c r="R146" s="9">
        <f t="shared" si="11"/>
        <v>6</v>
      </c>
      <c r="S146" s="14" cm="1">
        <f t="array" ref="S146">INDEX('Payer-ConceptMap-1'!$I$15:$N$270,Q146+1,R146)</f>
        <v>0</v>
      </c>
    </row>
    <row r="147" spans="16:19" x14ac:dyDescent="0.75">
      <c r="P147" s="9">
        <v>133</v>
      </c>
      <c r="Q147" s="9">
        <f t="shared" si="10"/>
        <v>22</v>
      </c>
      <c r="R147" s="9">
        <f t="shared" si="11"/>
        <v>1</v>
      </c>
      <c r="S147" s="14" cm="1">
        <f t="array" ref="S147">INDEX('Payer-ConceptMap-1'!$I$15:$N$270,Q147+1,R147)</f>
        <v>0</v>
      </c>
    </row>
    <row r="148" spans="16:19" x14ac:dyDescent="0.75">
      <c r="P148" s="9">
        <v>134</v>
      </c>
      <c r="Q148" s="9">
        <f t="shared" si="10"/>
        <v>22</v>
      </c>
      <c r="R148" s="9">
        <f t="shared" si="11"/>
        <v>2</v>
      </c>
      <c r="S148" s="14" cm="1">
        <f t="array" ref="S148">INDEX('Payer-ConceptMap-1'!$I$15:$N$270,Q148+1,R148)</f>
        <v>0</v>
      </c>
    </row>
    <row r="149" spans="16:19" x14ac:dyDescent="0.75">
      <c r="P149" s="9">
        <v>135</v>
      </c>
      <c r="Q149" s="9">
        <f t="shared" si="10"/>
        <v>22</v>
      </c>
      <c r="R149" s="9">
        <f t="shared" si="11"/>
        <v>3</v>
      </c>
      <c r="S149" s="14" cm="1">
        <f t="array" ref="S149">INDEX('Payer-ConceptMap-1'!$I$15:$N$270,Q149+1,R149)</f>
        <v>0</v>
      </c>
    </row>
    <row r="150" spans="16:19" x14ac:dyDescent="0.75">
      <c r="P150" s="9">
        <v>136</v>
      </c>
      <c r="Q150" s="9">
        <f t="shared" si="10"/>
        <v>22</v>
      </c>
      <c r="R150" s="9">
        <f t="shared" si="11"/>
        <v>4</v>
      </c>
      <c r="S150" s="14" cm="1">
        <f t="array" ref="S150">INDEX('Payer-ConceptMap-1'!$I$15:$N$270,Q150+1,R150)</f>
        <v>0</v>
      </c>
    </row>
    <row r="151" spans="16:19" x14ac:dyDescent="0.75">
      <c r="P151" s="9">
        <v>137</v>
      </c>
      <c r="Q151" s="9">
        <f t="shared" si="10"/>
        <v>22</v>
      </c>
      <c r="R151" s="9">
        <f t="shared" si="11"/>
        <v>5</v>
      </c>
      <c r="S151" s="14" cm="1">
        <f t="array" ref="S151">INDEX('Payer-ConceptMap-1'!$I$15:$N$270,Q151+1,R151)</f>
        <v>0</v>
      </c>
    </row>
    <row r="152" spans="16:19" x14ac:dyDescent="0.75">
      <c r="P152" s="9">
        <v>138</v>
      </c>
      <c r="Q152" s="9">
        <f t="shared" si="10"/>
        <v>22</v>
      </c>
      <c r="R152" s="9">
        <f t="shared" si="11"/>
        <v>6</v>
      </c>
      <c r="S152" s="14" cm="1">
        <f t="array" ref="S152">INDEX('Payer-ConceptMap-1'!$I$15:$N$270,Q152+1,R152)</f>
        <v>0</v>
      </c>
    </row>
    <row r="153" spans="16:19" x14ac:dyDescent="0.75">
      <c r="P153" s="9">
        <v>139</v>
      </c>
      <c r="Q153" s="9">
        <f t="shared" si="10"/>
        <v>23</v>
      </c>
      <c r="R153" s="9">
        <f t="shared" si="11"/>
        <v>1</v>
      </c>
      <c r="S153" s="14" cm="1">
        <f t="array" ref="S153">INDEX('Payer-ConceptMap-1'!$I$15:$N$270,Q153+1,R153)</f>
        <v>0</v>
      </c>
    </row>
    <row r="154" spans="16:19" x14ac:dyDescent="0.75">
      <c r="P154" s="9">
        <v>140</v>
      </c>
      <c r="Q154" s="9">
        <f t="shared" si="10"/>
        <v>23</v>
      </c>
      <c r="R154" s="9">
        <f t="shared" si="11"/>
        <v>2</v>
      </c>
      <c r="S154" s="14" cm="1">
        <f t="array" ref="S154">INDEX('Payer-ConceptMap-1'!$I$15:$N$270,Q154+1,R154)</f>
        <v>0</v>
      </c>
    </row>
    <row r="155" spans="16:19" x14ac:dyDescent="0.75">
      <c r="P155" s="9">
        <v>141</v>
      </c>
      <c r="Q155" s="9">
        <f t="shared" si="10"/>
        <v>23</v>
      </c>
      <c r="R155" s="9">
        <f t="shared" si="11"/>
        <v>3</v>
      </c>
      <c r="S155" s="14" cm="1">
        <f t="array" ref="S155">INDEX('Payer-ConceptMap-1'!$I$15:$N$270,Q155+1,R155)</f>
        <v>0</v>
      </c>
    </row>
    <row r="156" spans="16:19" x14ac:dyDescent="0.75">
      <c r="P156" s="9">
        <v>142</v>
      </c>
      <c r="Q156" s="9">
        <f t="shared" si="10"/>
        <v>23</v>
      </c>
      <c r="R156" s="9">
        <f t="shared" si="11"/>
        <v>4</v>
      </c>
      <c r="S156" s="14" cm="1">
        <f t="array" ref="S156">INDEX('Payer-ConceptMap-1'!$I$15:$N$270,Q156+1,R156)</f>
        <v>0</v>
      </c>
    </row>
    <row r="157" spans="16:19" x14ac:dyDescent="0.75">
      <c r="P157" s="9">
        <v>143</v>
      </c>
      <c r="Q157" s="9">
        <f t="shared" si="10"/>
        <v>23</v>
      </c>
      <c r="R157" s="9">
        <f t="shared" si="11"/>
        <v>5</v>
      </c>
      <c r="S157" s="14" cm="1">
        <f t="array" ref="S157">INDEX('Payer-ConceptMap-1'!$I$15:$N$270,Q157+1,R157)</f>
        <v>0</v>
      </c>
    </row>
    <row r="158" spans="16:19" x14ac:dyDescent="0.75">
      <c r="P158" s="9">
        <v>144</v>
      </c>
      <c r="Q158" s="9">
        <f t="shared" si="10"/>
        <v>23</v>
      </c>
      <c r="R158" s="9">
        <f t="shared" si="11"/>
        <v>6</v>
      </c>
      <c r="S158" s="14" cm="1">
        <f t="array" ref="S158">INDEX('Payer-ConceptMap-1'!$I$15:$N$270,Q158+1,R158)</f>
        <v>0</v>
      </c>
    </row>
    <row r="159" spans="16:19" x14ac:dyDescent="0.75">
      <c r="P159" s="9">
        <v>145</v>
      </c>
      <c r="Q159" s="9">
        <f t="shared" si="10"/>
        <v>24</v>
      </c>
      <c r="R159" s="9">
        <f t="shared" si="11"/>
        <v>1</v>
      </c>
      <c r="S159" s="14" cm="1">
        <f t="array" ref="S159">INDEX('Payer-ConceptMap-1'!$I$15:$N$270,Q159+1,R159)</f>
        <v>0</v>
      </c>
    </row>
    <row r="160" spans="16:19" x14ac:dyDescent="0.75">
      <c r="P160" s="9">
        <v>146</v>
      </c>
      <c r="Q160" s="9">
        <f t="shared" si="10"/>
        <v>24</v>
      </c>
      <c r="R160" s="9">
        <f t="shared" si="11"/>
        <v>2</v>
      </c>
      <c r="S160" s="14" cm="1">
        <f t="array" ref="S160">INDEX('Payer-ConceptMap-1'!$I$15:$N$270,Q160+1,R160)</f>
        <v>0</v>
      </c>
    </row>
    <row r="161" spans="16:19" x14ac:dyDescent="0.75">
      <c r="P161" s="9">
        <v>147</v>
      </c>
      <c r="Q161" s="9">
        <f t="shared" si="10"/>
        <v>24</v>
      </c>
      <c r="R161" s="9">
        <f t="shared" si="11"/>
        <v>3</v>
      </c>
      <c r="S161" s="14" cm="1">
        <f t="array" ref="S161">INDEX('Payer-ConceptMap-1'!$I$15:$N$270,Q161+1,R161)</f>
        <v>0</v>
      </c>
    </row>
    <row r="162" spans="16:19" x14ac:dyDescent="0.75">
      <c r="P162" s="9">
        <v>148</v>
      </c>
      <c r="Q162" s="9">
        <f t="shared" si="10"/>
        <v>24</v>
      </c>
      <c r="R162" s="9">
        <f t="shared" si="11"/>
        <v>4</v>
      </c>
      <c r="S162" s="14" cm="1">
        <f t="array" ref="S162">INDEX('Payer-ConceptMap-1'!$I$15:$N$270,Q162+1,R162)</f>
        <v>0</v>
      </c>
    </row>
    <row r="163" spans="16:19" x14ac:dyDescent="0.75">
      <c r="P163" s="9">
        <v>149</v>
      </c>
      <c r="Q163" s="9">
        <f t="shared" si="10"/>
        <v>24</v>
      </c>
      <c r="R163" s="9">
        <f t="shared" si="11"/>
        <v>5</v>
      </c>
      <c r="S163" s="14" cm="1">
        <f t="array" ref="S163">INDEX('Payer-ConceptMap-1'!$I$15:$N$270,Q163+1,R163)</f>
        <v>0</v>
      </c>
    </row>
    <row r="164" spans="16:19" x14ac:dyDescent="0.75">
      <c r="P164" s="9">
        <v>150</v>
      </c>
      <c r="Q164" s="9">
        <f t="shared" si="10"/>
        <v>24</v>
      </c>
      <c r="R164" s="9">
        <f t="shared" si="11"/>
        <v>6</v>
      </c>
      <c r="S164" s="14" cm="1">
        <f t="array" ref="S164">INDEX('Payer-ConceptMap-1'!$I$15:$N$270,Q164+1,R164)</f>
        <v>0</v>
      </c>
    </row>
    <row r="165" spans="16:19" x14ac:dyDescent="0.75">
      <c r="P165" s="9">
        <v>151</v>
      </c>
      <c r="Q165" s="9">
        <f t="shared" si="10"/>
        <v>25</v>
      </c>
      <c r="R165" s="9">
        <f t="shared" si="11"/>
        <v>1</v>
      </c>
      <c r="S165" s="14" cm="1">
        <f t="array" ref="S165">INDEX('Payer-ConceptMap-1'!$I$15:$N$270,Q165+1,R165)</f>
        <v>0</v>
      </c>
    </row>
    <row r="166" spans="16:19" x14ac:dyDescent="0.75">
      <c r="P166" s="9">
        <v>152</v>
      </c>
      <c r="Q166" s="9">
        <f t="shared" si="10"/>
        <v>25</v>
      </c>
      <c r="R166" s="9">
        <f t="shared" si="11"/>
        <v>2</v>
      </c>
      <c r="S166" s="14" cm="1">
        <f t="array" ref="S166">INDEX('Payer-ConceptMap-1'!$I$15:$N$270,Q166+1,R166)</f>
        <v>0</v>
      </c>
    </row>
    <row r="167" spans="16:19" x14ac:dyDescent="0.75">
      <c r="P167" s="9">
        <v>153</v>
      </c>
      <c r="Q167" s="9">
        <f t="shared" si="10"/>
        <v>25</v>
      </c>
      <c r="R167" s="9">
        <f t="shared" si="11"/>
        <v>3</v>
      </c>
      <c r="S167" s="14" cm="1">
        <f t="array" ref="S167">INDEX('Payer-ConceptMap-1'!$I$15:$N$270,Q167+1,R167)</f>
        <v>0</v>
      </c>
    </row>
    <row r="168" spans="16:19" x14ac:dyDescent="0.75">
      <c r="P168" s="9">
        <v>154</v>
      </c>
      <c r="Q168" s="9">
        <f t="shared" si="10"/>
        <v>25</v>
      </c>
      <c r="R168" s="9">
        <f t="shared" si="11"/>
        <v>4</v>
      </c>
      <c r="S168" s="14" cm="1">
        <f t="array" ref="S168">INDEX('Payer-ConceptMap-1'!$I$15:$N$270,Q168+1,R168)</f>
        <v>0</v>
      </c>
    </row>
    <row r="169" spans="16:19" x14ac:dyDescent="0.75">
      <c r="P169" s="9">
        <v>155</v>
      </c>
      <c r="Q169" s="9">
        <f t="shared" si="10"/>
        <v>25</v>
      </c>
      <c r="R169" s="9">
        <f t="shared" si="11"/>
        <v>5</v>
      </c>
      <c r="S169" s="14" cm="1">
        <f t="array" ref="S169">INDEX('Payer-ConceptMap-1'!$I$15:$N$270,Q169+1,R169)</f>
        <v>0</v>
      </c>
    </row>
    <row r="170" spans="16:19" x14ac:dyDescent="0.75">
      <c r="P170" s="9">
        <v>156</v>
      </c>
      <c r="Q170" s="9">
        <f t="shared" si="10"/>
        <v>25</v>
      </c>
      <c r="R170" s="9">
        <f t="shared" si="11"/>
        <v>6</v>
      </c>
      <c r="S170" s="14" cm="1">
        <f t="array" ref="S170">INDEX('Payer-ConceptMap-1'!$I$15:$N$270,Q170+1,R170)</f>
        <v>0</v>
      </c>
    </row>
    <row r="171" spans="16:19" x14ac:dyDescent="0.75">
      <c r="P171" s="9">
        <v>157</v>
      </c>
      <c r="Q171" s="9">
        <f t="shared" si="10"/>
        <v>26</v>
      </c>
      <c r="R171" s="9">
        <f t="shared" si="11"/>
        <v>1</v>
      </c>
      <c r="S171" s="14" cm="1">
        <f t="array" ref="S171">INDEX('Payer-ConceptMap-1'!$I$15:$N$270,Q171+1,R171)</f>
        <v>0</v>
      </c>
    </row>
    <row r="172" spans="16:19" x14ac:dyDescent="0.75">
      <c r="P172" s="9">
        <v>158</v>
      </c>
      <c r="Q172" s="9">
        <f t="shared" si="10"/>
        <v>26</v>
      </c>
      <c r="R172" s="9">
        <f t="shared" si="11"/>
        <v>2</v>
      </c>
      <c r="S172" s="14" cm="1">
        <f t="array" ref="S172">INDEX('Payer-ConceptMap-1'!$I$15:$N$270,Q172+1,R172)</f>
        <v>0</v>
      </c>
    </row>
    <row r="173" spans="16:19" x14ac:dyDescent="0.75">
      <c r="P173" s="9">
        <v>159</v>
      </c>
      <c r="Q173" s="9">
        <f t="shared" si="10"/>
        <v>26</v>
      </c>
      <c r="R173" s="9">
        <f t="shared" si="11"/>
        <v>3</v>
      </c>
      <c r="S173" s="14" cm="1">
        <f t="array" ref="S173">INDEX('Payer-ConceptMap-1'!$I$15:$N$270,Q173+1,R173)</f>
        <v>0</v>
      </c>
    </row>
    <row r="174" spans="16:19" x14ac:dyDescent="0.75">
      <c r="P174" s="9">
        <v>160</v>
      </c>
      <c r="Q174" s="9">
        <f t="shared" si="10"/>
        <v>26</v>
      </c>
      <c r="R174" s="9">
        <f t="shared" si="11"/>
        <v>4</v>
      </c>
      <c r="S174" s="14" cm="1">
        <f t="array" ref="S174">INDEX('Payer-ConceptMap-1'!$I$15:$N$270,Q174+1,R174)</f>
        <v>0</v>
      </c>
    </row>
    <row r="175" spans="16:19" x14ac:dyDescent="0.75">
      <c r="P175" s="9">
        <v>161</v>
      </c>
      <c r="Q175" s="9">
        <f t="shared" si="10"/>
        <v>26</v>
      </c>
      <c r="R175" s="9">
        <f t="shared" si="11"/>
        <v>5</v>
      </c>
      <c r="S175" s="14" cm="1">
        <f t="array" ref="S175">INDEX('Payer-ConceptMap-1'!$I$15:$N$270,Q175+1,R175)</f>
        <v>0</v>
      </c>
    </row>
    <row r="176" spans="16:19" x14ac:dyDescent="0.75">
      <c r="P176" s="9">
        <v>162</v>
      </c>
      <c r="Q176" s="9">
        <f t="shared" si="10"/>
        <v>26</v>
      </c>
      <c r="R176" s="9">
        <f t="shared" si="11"/>
        <v>6</v>
      </c>
      <c r="S176" s="14" cm="1">
        <f t="array" ref="S176">INDEX('Payer-ConceptMap-1'!$I$15:$N$270,Q176+1,R176)</f>
        <v>0</v>
      </c>
    </row>
    <row r="177" spans="16:19" x14ac:dyDescent="0.75">
      <c r="P177" s="9">
        <v>163</v>
      </c>
      <c r="Q177" s="9">
        <f t="shared" si="10"/>
        <v>27</v>
      </c>
      <c r="R177" s="9">
        <f t="shared" si="11"/>
        <v>1</v>
      </c>
      <c r="S177" s="14" cm="1">
        <f t="array" ref="S177">INDEX('Payer-ConceptMap-1'!$I$15:$N$270,Q177+1,R177)</f>
        <v>0</v>
      </c>
    </row>
    <row r="178" spans="16:19" x14ac:dyDescent="0.75">
      <c r="P178" s="9">
        <v>164</v>
      </c>
      <c r="Q178" s="9">
        <f t="shared" si="10"/>
        <v>27</v>
      </c>
      <c r="R178" s="9">
        <f t="shared" si="11"/>
        <v>2</v>
      </c>
      <c r="S178" s="14" cm="1">
        <f t="array" ref="S178">INDEX('Payer-ConceptMap-1'!$I$15:$N$270,Q178+1,R178)</f>
        <v>0</v>
      </c>
    </row>
    <row r="179" spans="16:19" x14ac:dyDescent="0.75">
      <c r="P179" s="9">
        <v>165</v>
      </c>
      <c r="Q179" s="9">
        <f t="shared" si="10"/>
        <v>27</v>
      </c>
      <c r="R179" s="9">
        <f t="shared" si="11"/>
        <v>3</v>
      </c>
      <c r="S179" s="14" cm="1">
        <f t="array" ref="S179">INDEX('Payer-ConceptMap-1'!$I$15:$N$270,Q179+1,R179)</f>
        <v>0</v>
      </c>
    </row>
    <row r="180" spans="16:19" x14ac:dyDescent="0.75">
      <c r="P180" s="9">
        <v>166</v>
      </c>
      <c r="Q180" s="9">
        <f t="shared" si="10"/>
        <v>27</v>
      </c>
      <c r="R180" s="9">
        <f t="shared" si="11"/>
        <v>4</v>
      </c>
      <c r="S180" s="14" cm="1">
        <f t="array" ref="S180">INDEX('Payer-ConceptMap-1'!$I$15:$N$270,Q180+1,R180)</f>
        <v>0</v>
      </c>
    </row>
    <row r="181" spans="16:19" x14ac:dyDescent="0.75">
      <c r="P181" s="9">
        <v>167</v>
      </c>
      <c r="Q181" s="9">
        <f t="shared" si="10"/>
        <v>27</v>
      </c>
      <c r="R181" s="9">
        <f t="shared" si="11"/>
        <v>5</v>
      </c>
      <c r="S181" s="14" cm="1">
        <f t="array" ref="S181">INDEX('Payer-ConceptMap-1'!$I$15:$N$270,Q181+1,R181)</f>
        <v>0</v>
      </c>
    </row>
    <row r="182" spans="16:19" x14ac:dyDescent="0.75">
      <c r="P182" s="9">
        <v>168</v>
      </c>
      <c r="Q182" s="9">
        <f t="shared" si="10"/>
        <v>27</v>
      </c>
      <c r="R182" s="9">
        <f t="shared" si="11"/>
        <v>6</v>
      </c>
      <c r="S182" s="14" cm="1">
        <f t="array" ref="S182">INDEX('Payer-ConceptMap-1'!$I$15:$N$270,Q182+1,R182)</f>
        <v>0</v>
      </c>
    </row>
    <row r="183" spans="16:19" x14ac:dyDescent="0.75">
      <c r="P183" s="9">
        <v>169</v>
      </c>
      <c r="Q183" s="9">
        <f t="shared" si="10"/>
        <v>28</v>
      </c>
      <c r="R183" s="9">
        <f t="shared" si="11"/>
        <v>1</v>
      </c>
      <c r="S183" s="14" cm="1">
        <f t="array" ref="S183">INDEX('Payer-ConceptMap-1'!$I$15:$N$270,Q183+1,R183)</f>
        <v>0</v>
      </c>
    </row>
    <row r="184" spans="16:19" x14ac:dyDescent="0.75">
      <c r="P184" s="9">
        <v>170</v>
      </c>
      <c r="Q184" s="9">
        <f t="shared" si="10"/>
        <v>28</v>
      </c>
      <c r="R184" s="9">
        <f t="shared" si="11"/>
        <v>2</v>
      </c>
      <c r="S184" s="14" cm="1">
        <f t="array" ref="S184">INDEX('Payer-ConceptMap-1'!$I$15:$N$270,Q184+1,R184)</f>
        <v>0</v>
      </c>
    </row>
    <row r="185" spans="16:19" x14ac:dyDescent="0.75">
      <c r="P185" s="9">
        <v>171</v>
      </c>
      <c r="Q185" s="9">
        <f t="shared" ref="Q185:Q190" si="12">IF(MOD(P185,$Q$8)=0,P185/$Q$8-1,INT(P185/$Q$8))</f>
        <v>28</v>
      </c>
      <c r="R185" s="9">
        <f t="shared" ref="R185:R190" si="13">IF(MOD(P185,$Q$8)=0,$Q$8,MOD(P185,$Q$8))</f>
        <v>3</v>
      </c>
      <c r="S185" s="14" cm="1">
        <f t="array" ref="S185">INDEX('Payer-ConceptMap-1'!$I$15:$N$270,Q185+1,R185)</f>
        <v>0</v>
      </c>
    </row>
    <row r="186" spans="16:19" x14ac:dyDescent="0.75">
      <c r="P186" s="9">
        <v>172</v>
      </c>
      <c r="Q186" s="9">
        <f t="shared" si="12"/>
        <v>28</v>
      </c>
      <c r="R186" s="9">
        <f t="shared" si="13"/>
        <v>4</v>
      </c>
      <c r="S186" s="14" cm="1">
        <f t="array" ref="S186">INDEX('Payer-ConceptMap-1'!$I$15:$N$270,Q186+1,R186)</f>
        <v>0</v>
      </c>
    </row>
    <row r="187" spans="16:19" x14ac:dyDescent="0.75">
      <c r="P187" s="9">
        <v>173</v>
      </c>
      <c r="Q187" s="9">
        <f t="shared" si="12"/>
        <v>28</v>
      </c>
      <c r="R187" s="9">
        <f t="shared" si="13"/>
        <v>5</v>
      </c>
      <c r="S187" s="14" cm="1">
        <f t="array" ref="S187">INDEX('Payer-ConceptMap-1'!$I$15:$N$270,Q187+1,R187)</f>
        <v>0</v>
      </c>
    </row>
    <row r="188" spans="16:19" x14ac:dyDescent="0.75">
      <c r="P188" s="9">
        <v>174</v>
      </c>
      <c r="Q188" s="9">
        <f t="shared" si="12"/>
        <v>28</v>
      </c>
      <c r="R188" s="9">
        <f t="shared" si="13"/>
        <v>6</v>
      </c>
      <c r="S188" s="14" cm="1">
        <f t="array" ref="S188">INDEX('Payer-ConceptMap-1'!$I$15:$N$270,Q188+1,R188)</f>
        <v>0</v>
      </c>
    </row>
    <row r="189" spans="16:19" x14ac:dyDescent="0.75">
      <c r="P189" s="9">
        <v>175</v>
      </c>
      <c r="Q189" s="9">
        <f t="shared" si="12"/>
        <v>29</v>
      </c>
      <c r="R189" s="9">
        <f t="shared" si="13"/>
        <v>1</v>
      </c>
      <c r="S189" s="14" cm="1">
        <f t="array" ref="S189">INDEX('Payer-ConceptMap-1'!$I$15:$N$270,Q189+1,R189)</f>
        <v>0</v>
      </c>
    </row>
    <row r="190" spans="16:19" x14ac:dyDescent="0.75">
      <c r="P190" s="9">
        <v>176</v>
      </c>
      <c r="Q190" s="9">
        <f t="shared" si="12"/>
        <v>29</v>
      </c>
      <c r="R190" s="9">
        <f t="shared" si="13"/>
        <v>2</v>
      </c>
      <c r="S190" s="14" cm="1">
        <f t="array" ref="S190">INDEX('Payer-ConceptMap-1'!$I$15:$N$270,Q190+1,R190)</f>
        <v>0</v>
      </c>
    </row>
  </sheetData>
  <mergeCells count="4">
    <mergeCell ref="E3:G3"/>
    <mergeCell ref="E4:G4"/>
    <mergeCell ref="E6:G6"/>
    <mergeCell ref="E7:G7"/>
  </mergeCells>
  <hyperlinks>
    <hyperlink ref="C6" r:id="rId1" xr:uid="{A8913063-A94D-4438-9561-B72E47038AB8}"/>
    <hyperlink ref="E4" r:id="rId2" xr:uid="{A9D900F2-BB74-4774-90EF-14FCD545A5A0}"/>
    <hyperlink ref="E7" r:id="rId3" xr:uid="{7E34A6F9-2371-4F65-8149-8B609BB2194F}"/>
    <hyperlink ref="E3" r:id="rId4" xr:uid="{71C2A337-5F76-4B4C-BD01-0147E052C33C}"/>
    <hyperlink ref="E6" r:id="rId5" xr:uid="{18386D48-EA50-4414-AA6C-1A6EE33138E0}"/>
  </hyperlinks>
  <pageMargins left="0.7" right="0.7" top="0.75" bottom="0.75" header="0.3" footer="0.3"/>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3AC0CC-9DD2-460B-90E5-D273AA1D8E8F}">
  <sheetPr codeName="Foglio19">
    <tabColor theme="0" tint="-0.34998626667073579"/>
  </sheetPr>
  <dimension ref="B1:G251"/>
  <sheetViews>
    <sheetView workbookViewId="0"/>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2" t="s">
        <v>37</v>
      </c>
    </row>
    <row r="2" spans="2:7" ht="16.75" thickBot="1" x14ac:dyDescent="0.9">
      <c r="B2" s="33" t="s">
        <v>661</v>
      </c>
      <c r="G2" s="56" t="s">
        <v>732</v>
      </c>
    </row>
    <row r="3" spans="2:7" x14ac:dyDescent="0.75">
      <c r="B3" s="33" t="s">
        <v>37</v>
      </c>
    </row>
    <row r="4" spans="2:7" x14ac:dyDescent="0.75">
      <c r="B4" s="77" t="str">
        <f>"Instance: "&amp;'Payer-ConceptMap-1'!C4</f>
        <v>Instance: ConceptMap-eu-payer2FHIR</v>
      </c>
    </row>
    <row r="5" spans="2:7" x14ac:dyDescent="0.75">
      <c r="B5" s="77" t="s">
        <v>662</v>
      </c>
    </row>
    <row r="6" spans="2:7" x14ac:dyDescent="0.75">
      <c r="B6" s="77" t="s">
        <v>663</v>
      </c>
    </row>
    <row r="7" spans="2:7" x14ac:dyDescent="0.75">
      <c r="B7" s="77" t="s">
        <v>677</v>
      </c>
    </row>
    <row r="8" spans="2:7" x14ac:dyDescent="0.75">
      <c r="B8" s="77" t="str">
        <f>"* name = ##34#"&amp;'Payer-ConceptMap-1'!C3&amp;"##34#"</f>
        <v>* name = ##34#Payer2Fhir##34#</v>
      </c>
    </row>
    <row r="9" spans="2:7" x14ac:dyDescent="0.75">
      <c r="B9" s="77" t="str">
        <f>"* title = ##34#"&amp;'Payer-ConceptMap-1'!C5&amp;"##34#"</f>
        <v>* title = ##34#eHN Payer to this guide Map##34#</v>
      </c>
    </row>
    <row r="10" spans="2:7" x14ac:dyDescent="0.75">
      <c r="B10" s="77" t="s">
        <v>664</v>
      </c>
    </row>
    <row r="11" spans="2:7" x14ac:dyDescent="0.75">
      <c r="B11" s="77" t="s">
        <v>665</v>
      </c>
    </row>
    <row r="12" spans="2:7" x14ac:dyDescent="0.75">
      <c r="B12" s="77" t="str">
        <f>"* description = ##34#"&amp;'Payer-ConceptMap-1'!C8&amp;"##34#"</f>
        <v>* description = ##34#eHN Payer Model to this guide Map##34#</v>
      </c>
    </row>
    <row r="13" spans="2:7" x14ac:dyDescent="0.75">
      <c r="B13" s="77" t="str">
        <f>"* purpose = ##34#"&amp;'Payer-ConceptMap-1'!C9&amp;"##34#"</f>
        <v>* purpose = ##34#It shows how the Laboratory Report Payer data set defined by the EU eHN guidelines is mapped into this guide##34#</v>
      </c>
    </row>
    <row r="14" spans="2:7" x14ac:dyDescent="0.75">
      <c r="B14" s="78" t="str">
        <f>"* sourceUri = ##34#"&amp;'Payer-ConceptMap-1'!E3&amp;"##34#"</f>
        <v>* sourceUri = ##34#http://hl7.eu/fhir/laboratory/StructureDefinition/Payer##34#</v>
      </c>
    </row>
    <row r="15" spans="2:7" x14ac:dyDescent="0.75">
      <c r="B15" s="78" t="str">
        <f>"* targetUri = ##34#"&amp;'Payer-ConceptMap-1'!E4&amp;"##34#"</f>
        <v>* targetUri = ##34#http://hl7.eu/fhir/laboratory/StructureDefinition/ServiceRequest-eu-lab##34#</v>
      </c>
    </row>
    <row r="16" spans="2:7" x14ac:dyDescent="0.75">
      <c r="B16" s="77"/>
    </row>
    <row r="17" spans="2:7" x14ac:dyDescent="0.75">
      <c r="B17" s="79" t="str">
        <f>"* group[+].source = ##34#"&amp;'Payer-ConceptMap-1'!E6&amp;"##34#"</f>
        <v>* group[+].source = ##34#http://hl7.eu/fhir/laboratory/StructureDefinition/Payer##34#</v>
      </c>
    </row>
    <row r="18" spans="2:7" x14ac:dyDescent="0.75">
      <c r="B18" s="79" t="str">
        <f>"* group[=].target = ##34#"&amp;'Payer-ConceptMap-1'!E7&amp;"##34#"</f>
        <v>* group[=].target = ##34#http://hl7.eu/fhir/laboratory/StructureDefinition/ServiceRequest-eu-lab##34#</v>
      </c>
    </row>
    <row r="19" spans="2:7" x14ac:dyDescent="0.75">
      <c r="B19" s="81"/>
    </row>
    <row r="20" spans="2:7" x14ac:dyDescent="0.75">
      <c r="B20" s="14" t="str">
        <f>IF('Payer-ConceptMap-1'!S15=0,"//---END",'Payer-ConceptMap-1'!S15)</f>
        <v>* group[=].element[+].code = #Payer.insurance</v>
      </c>
    </row>
    <row r="21" spans="2:7" x14ac:dyDescent="0.75">
      <c r="B21" s="14" t="str">
        <f>IF('Payer-ConceptMap-1'!S16=0,"//---END",'Payer-ConceptMap-1'!S16)</f>
        <v>* group[=].element[=].display = ##34#A.1.3.1 Health insurance information##34#</v>
      </c>
    </row>
    <row r="22" spans="2:7" x14ac:dyDescent="0.75">
      <c r="B22" s="14" t="str">
        <f>IF('Payer-ConceptMap-1'!S17=0,"//---END",'Payer-ConceptMap-1'!S17)</f>
        <v>* group[=].element[=].target.code = #insurance.resolve().ofType(Coverage).$this</v>
      </c>
    </row>
    <row r="23" spans="2:7" x14ac:dyDescent="0.75">
      <c r="B23" s="14" t="str">
        <f>IF('Payer-ConceptMap-1'!S18=0,"//---END",'Payer-ConceptMap-1'!S18)</f>
        <v>* group[=].element[=].target.display = ##34###34#</v>
      </c>
    </row>
    <row r="24" spans="2:7" x14ac:dyDescent="0.75">
      <c r="B24" s="14" t="str">
        <f>IF('Payer-ConceptMap-1'!S19=0,"//---END",'Payer-ConceptMap-1'!S19)</f>
        <v>* group[=].element[=].target.equivalence = #relatedto</v>
      </c>
    </row>
    <row r="25" spans="2:7" x14ac:dyDescent="0.75">
      <c r="B25" s="14" t="str">
        <f>IF('Payer-ConceptMap-1'!S20=0,"//---END",'Payer-ConceptMap-1'!S20)</f>
        <v/>
      </c>
      <c r="G25" s="10"/>
    </row>
    <row r="26" spans="2:7" x14ac:dyDescent="0.75">
      <c r="B26" s="14" t="str">
        <f>IF('Payer-ConceptMap-1'!S21=0,"//---END",'Payer-ConceptMap-1'!S21)</f>
        <v>* group[=].element[+].code = #Payer.insurance.identifier</v>
      </c>
    </row>
    <row r="27" spans="2:7" x14ac:dyDescent="0.75">
      <c r="B27" s="14" t="str">
        <f>IF('Payer-ConceptMap-1'!S22=0,"//---END",'Payer-ConceptMap-1'!S22)</f>
        <v>* group[=].element[=].display = ##34#A.1.3.1.1 Health insurance code##34#</v>
      </c>
    </row>
    <row r="28" spans="2:7" x14ac:dyDescent="0.75">
      <c r="B28" s="14" t="str">
        <f>IF('Payer-ConceptMap-1'!S23=0,"//---END",'Payer-ConceptMap-1'!S23)</f>
        <v>* group[=].element[=].target.code = #insurance.resolve().ofType(Coverage).payor.ofType(Organization).resolve().identifier</v>
      </c>
    </row>
    <row r="29" spans="2:7" x14ac:dyDescent="0.75">
      <c r="B29" s="14" t="str">
        <f>IF('Payer-ConceptMap-1'!S24=0,"//---END",'Payer-ConceptMap-1'!S24)</f>
        <v>* group[=].element[=].target.display = ##34###34#</v>
      </c>
    </row>
    <row r="30" spans="2:7" x14ac:dyDescent="0.75">
      <c r="B30" s="14" t="str">
        <f>IF('Payer-ConceptMap-1'!S25=0,"//---END",'Payer-ConceptMap-1'!S25)</f>
        <v>* group[=].element[=].target.equivalence = #equivalent</v>
      </c>
    </row>
    <row r="31" spans="2:7" x14ac:dyDescent="0.75">
      <c r="B31" s="14" t="str">
        <f>IF('Payer-ConceptMap-1'!S26=0,"//---END",'Payer-ConceptMap-1'!S26)</f>
        <v/>
      </c>
    </row>
    <row r="32" spans="2:7" x14ac:dyDescent="0.75">
      <c r="B32" s="14" t="str">
        <f>IF('Payer-ConceptMap-1'!S27=0,"//---END",'Payer-ConceptMap-1'!S27)</f>
        <v>* group[=].element[+].code = #Payer.insurance.name</v>
      </c>
    </row>
    <row r="33" spans="2:2" x14ac:dyDescent="0.75">
      <c r="B33" s="14" t="str">
        <f>IF('Payer-ConceptMap-1'!S28=0,"//---END",'Payer-ConceptMap-1'!S28)</f>
        <v>* group[=].element[=].display = ##34#A.1.3.1.2 Health insurance name##34#</v>
      </c>
    </row>
    <row r="34" spans="2:2" x14ac:dyDescent="0.75">
      <c r="B34" s="14" t="str">
        <f>IF('Payer-ConceptMap-1'!S29=0,"//---END",'Payer-ConceptMap-1'!S29)</f>
        <v>* group[=].element[=].target.code = #insurance.resolve().ofType(Coverage).payor.ofType(Organization).resolve().name</v>
      </c>
    </row>
    <row r="35" spans="2:2" x14ac:dyDescent="0.75">
      <c r="B35" s="14" t="str">
        <f>IF('Payer-ConceptMap-1'!S30=0,"//---END",'Payer-ConceptMap-1'!S30)</f>
        <v>* group[=].element[=].target.display = ##34###34#</v>
      </c>
    </row>
    <row r="36" spans="2:2" x14ac:dyDescent="0.75">
      <c r="B36" s="14" t="str">
        <f>IF('Payer-ConceptMap-1'!S31=0,"//---END",'Payer-ConceptMap-1'!S31)</f>
        <v>* group[=].element[=].target.equivalence = #equivalent</v>
      </c>
    </row>
    <row r="37" spans="2:2" x14ac:dyDescent="0.75">
      <c r="B37" s="14" t="str">
        <f>IF('Payer-ConceptMap-1'!S32=0,"//---END",'Payer-ConceptMap-1'!S32)</f>
        <v/>
      </c>
    </row>
    <row r="38" spans="2:2" x14ac:dyDescent="0.75">
      <c r="B38" s="14" t="str">
        <f>IF('Payer-ConceptMap-1'!S33=0,"//---END",'Payer-ConceptMap-1'!S33)</f>
        <v>* group[=].element[+].code = #Payer.insurance.subjectIdentifier</v>
      </c>
    </row>
    <row r="39" spans="2:2" x14ac:dyDescent="0.75">
      <c r="B39" s="14" t="str">
        <f>IF('Payer-ConceptMap-1'!S34=0,"//---END",'Payer-ConceptMap-1'!S34)</f>
        <v>* group[=].element[=].display = ##34#A.1.3.1.3 Health insurance number##34#</v>
      </c>
    </row>
    <row r="40" spans="2:2" x14ac:dyDescent="0.75">
      <c r="B40" s="14" t="str">
        <f>IF('Payer-ConceptMap-1'!S35=0,"//---END",'Payer-ConceptMap-1'!S35)</f>
        <v>* group[=].element[=].target.code = #insurance.resolve().ofType(Coverage).policyHolder.resolve().identifier</v>
      </c>
    </row>
    <row r="41" spans="2:2" x14ac:dyDescent="0.75">
      <c r="B41" s="14" t="str">
        <f>IF('Payer-ConceptMap-1'!S36=0,"//---END",'Payer-ConceptMap-1'!S36)</f>
        <v>* group[=].element[=].target.display = ##34###34#</v>
      </c>
    </row>
    <row r="42" spans="2:2" x14ac:dyDescent="0.75">
      <c r="B42" s="14" t="str">
        <f>IF('Payer-ConceptMap-1'!S37=0,"//---END",'Payer-ConceptMap-1'!S37)</f>
        <v>* group[=].element[=].target.equivalence = #equivalent</v>
      </c>
    </row>
    <row r="43" spans="2:2" x14ac:dyDescent="0.75">
      <c r="B43" s="14" t="str">
        <f>IF('Payer-ConceptMap-1'!S38=0,"//---END",'Payer-ConceptMap-1'!S38)</f>
        <v/>
      </c>
    </row>
    <row r="44" spans="2:2" x14ac:dyDescent="0.75">
      <c r="B44" s="14" t="str">
        <f>IF('Payer-ConceptMap-1'!S39=0,"//---END",'Payer-ConceptMap-1'!S39)</f>
        <v>* group[=].element[+].code = #Payer.insurance.subjectIdentifier</v>
      </c>
    </row>
    <row r="45" spans="2:2" x14ac:dyDescent="0.75">
      <c r="B45" s="14" t="str">
        <f>IF('Payer-ConceptMap-1'!S40=0,"//---END",'Payer-ConceptMap-1'!S40)</f>
        <v>* group[=].element[=].display = ##34#A.1.3.1.3 Health insurance number##34#</v>
      </c>
    </row>
    <row r="46" spans="2:2" x14ac:dyDescent="0.75">
      <c r="B46" s="14" t="str">
        <f>IF('Payer-ConceptMap-1'!S41=0,"//---END",'Payer-ConceptMap-1'!S41)</f>
        <v>* group[=].element[=].target.code = #insurance.resolve().ofType(Coverage).beneficiary.resolve().identifier</v>
      </c>
    </row>
    <row r="47" spans="2:2" x14ac:dyDescent="0.75">
      <c r="B47" s="14" t="str">
        <f>IF('Payer-ConceptMap-1'!S42=0,"//---END",'Payer-ConceptMap-1'!S42)</f>
        <v>* group[=].element[=].target.display = ##34###34#</v>
      </c>
    </row>
    <row r="48" spans="2:2" x14ac:dyDescent="0.75">
      <c r="B48" s="14" t="str">
        <f>IF('Payer-ConceptMap-1'!S43=0,"//---END",'Payer-ConceptMap-1'!S43)</f>
        <v>* group[=].element[=].target.equivalence = #equivalent</v>
      </c>
    </row>
    <row r="49" spans="2:2" x14ac:dyDescent="0.75">
      <c r="B49" s="14" t="str">
        <f>IF('Payer-ConceptMap-1'!S44=0,"//---END",'Payer-ConceptMap-1'!S44)</f>
        <v/>
      </c>
    </row>
    <row r="50" spans="2:2" x14ac:dyDescent="0.75">
      <c r="B50" s="14" t="str">
        <f>IF('Payer-ConceptMap-1'!S45=0,"//---END",'Payer-ConceptMap-1'!S45)</f>
        <v>* group[=].element[+].code = #Payer.insurance.subjectIdentifier</v>
      </c>
    </row>
    <row r="51" spans="2:2" x14ac:dyDescent="0.75">
      <c r="B51" s="14" t="str">
        <f>IF('Payer-ConceptMap-1'!S46=0,"//---END",'Payer-ConceptMap-1'!S46)</f>
        <v>* group[=].element[=].display = ##34#A.1.3.1.3 Health insurance number##34#</v>
      </c>
    </row>
    <row r="52" spans="2:2" x14ac:dyDescent="0.75">
      <c r="B52" s="14" t="str">
        <f>IF('Payer-ConceptMap-1'!S47=0,"//---END",'Payer-ConceptMap-1'!S47)</f>
        <v>* group[=].element[=].target.code = #insurance.resolve().ofType(Coverage).subscriberId</v>
      </c>
    </row>
    <row r="53" spans="2:2" x14ac:dyDescent="0.75">
      <c r="B53" s="14" t="str">
        <f>IF('Payer-ConceptMap-1'!S48=0,"//---END",'Payer-ConceptMap-1'!S48)</f>
        <v>* group[=].element[=].target.display = ##34###34#</v>
      </c>
    </row>
    <row r="54" spans="2:2" x14ac:dyDescent="0.75">
      <c r="B54" s="14" t="str">
        <f>IF('Payer-ConceptMap-1'!S49=0,"//---END",'Payer-ConceptMap-1'!S49)</f>
        <v>* group[=].element[=].target.equivalence = #equivalent</v>
      </c>
    </row>
    <row r="55" spans="2:2" x14ac:dyDescent="0.75">
      <c r="B55" s="14" t="str">
        <f>IF('Payer-ConceptMap-1'!S50=0,"//---END",'Payer-ConceptMap-1'!S50)</f>
        <v/>
      </c>
    </row>
    <row r="56" spans="2:2" x14ac:dyDescent="0.75">
      <c r="B56" s="14" t="str">
        <f>IF('Payer-ConceptMap-1'!S51=0,"//---END",'Payer-ConceptMap-1'!S51)</f>
        <v>* group[=].element[+].code = #Payer.insurance.subjectIdentifier</v>
      </c>
    </row>
    <row r="57" spans="2:2" x14ac:dyDescent="0.75">
      <c r="B57" s="14" t="str">
        <f>IF('Payer-ConceptMap-1'!S52=0,"//---END",'Payer-ConceptMap-1'!S52)</f>
        <v>* group[=].element[=].display = ##34#A.1.3.1.3 Health insurance number##34#</v>
      </c>
    </row>
    <row r="58" spans="2:2" x14ac:dyDescent="0.75">
      <c r="B58" s="14" t="str">
        <f>IF('Payer-ConceptMap-1'!S53=0,"//---END",'Payer-ConceptMap-1'!S53)</f>
        <v>* group[=].element[=].target.code = #insurance.resolve().ofType(Coverage).subscriber.resolve().identifier</v>
      </c>
    </row>
    <row r="59" spans="2:2" x14ac:dyDescent="0.75">
      <c r="B59" s="14" t="str">
        <f>IF('Payer-ConceptMap-1'!S54=0,"//---END",'Payer-ConceptMap-1'!S54)</f>
        <v>* group[=].element[=].target.display = ##34###34#</v>
      </c>
    </row>
    <row r="60" spans="2:2" x14ac:dyDescent="0.75">
      <c r="B60" s="14" t="str">
        <f>IF('Payer-ConceptMap-1'!S55=0,"//---END",'Payer-ConceptMap-1'!S55)</f>
        <v>* group[=].element[=].target.equivalence = #equivalent</v>
      </c>
    </row>
    <row r="61" spans="2:2" x14ac:dyDescent="0.75">
      <c r="B61" s="14" t="str">
        <f>IF('Payer-ConceptMap-1'!S56=0,"//---END",'Payer-ConceptMap-1'!S56)</f>
        <v/>
      </c>
    </row>
    <row r="62" spans="2:2" x14ac:dyDescent="0.75">
      <c r="B62" s="14" t="str">
        <f>IF('Payer-ConceptMap-1'!S57=0,"//---END",'Payer-ConceptMap-1'!S57)</f>
        <v>//---END</v>
      </c>
    </row>
    <row r="63" spans="2:2" x14ac:dyDescent="0.75">
      <c r="B63" s="14" t="str">
        <f>IF('Payer-ConceptMap-1'!S58=0,"//---END",'Payer-ConceptMap-1'!S58)</f>
        <v>//---END</v>
      </c>
    </row>
    <row r="64" spans="2:2" x14ac:dyDescent="0.75">
      <c r="B64" s="14" t="str">
        <f>IF('Payer-ConceptMap-1'!S59=0,"//---END",'Payer-ConceptMap-1'!S59)</f>
        <v>//---END</v>
      </c>
    </row>
    <row r="65" spans="2:4" x14ac:dyDescent="0.75">
      <c r="B65" s="14" t="str">
        <f>IF('Payer-ConceptMap-1'!S60=0,"//---END",'Payer-ConceptMap-1'!S60)</f>
        <v>//---END</v>
      </c>
    </row>
    <row r="66" spans="2:4" x14ac:dyDescent="0.75">
      <c r="B66" s="14" t="str">
        <f>IF('Payer-ConceptMap-1'!S61=0,"//---END",'Payer-ConceptMap-1'!S61)</f>
        <v>//---END</v>
      </c>
    </row>
    <row r="67" spans="2:4" x14ac:dyDescent="0.75">
      <c r="B67" s="14" t="str">
        <f>IF('Payer-ConceptMap-1'!S62=0,"//---END",'Payer-ConceptMap-1'!S62)</f>
        <v>//---END</v>
      </c>
    </row>
    <row r="68" spans="2:4" x14ac:dyDescent="0.75">
      <c r="B68" s="14" t="str">
        <f>IF('Payer-ConceptMap-1'!S63=0,"//---END",'Payer-ConceptMap-1'!S63)</f>
        <v>//---END</v>
      </c>
    </row>
    <row r="69" spans="2:4" x14ac:dyDescent="0.75">
      <c r="B69" s="14" t="str">
        <f>IF('Payer-ConceptMap-1'!S64=0,"//---END",'Payer-ConceptMap-1'!S64)</f>
        <v>//---END</v>
      </c>
    </row>
    <row r="70" spans="2:4" x14ac:dyDescent="0.75">
      <c r="B70" s="14" t="str">
        <f>IF('Payer-ConceptMap-1'!S65=0,"//---END",'Payer-ConceptMap-1'!S65)</f>
        <v>//---END</v>
      </c>
      <c r="D70" s="76"/>
    </row>
    <row r="71" spans="2:4" x14ac:dyDescent="0.75">
      <c r="B71" s="14" t="str">
        <f>IF('Payer-ConceptMap-1'!S66=0,"//---END",'Payer-ConceptMap-1'!S66)</f>
        <v>//---END</v>
      </c>
    </row>
    <row r="72" spans="2:4" x14ac:dyDescent="0.75">
      <c r="B72" s="14" t="str">
        <f>IF('Payer-ConceptMap-1'!S67=0,"//---END",'Payer-ConceptMap-1'!S67)</f>
        <v>//---END</v>
      </c>
    </row>
    <row r="73" spans="2:4" x14ac:dyDescent="0.75">
      <c r="B73" s="14" t="str">
        <f>IF('Payer-ConceptMap-1'!S68=0,"//---END",'Payer-ConceptMap-1'!S68)</f>
        <v>//---END</v>
      </c>
    </row>
    <row r="74" spans="2:4" x14ac:dyDescent="0.75">
      <c r="B74" s="14" t="str">
        <f>IF('Payer-ConceptMap-1'!S69=0,"//---END",'Payer-ConceptMap-1'!S69)</f>
        <v>//---END</v>
      </c>
    </row>
    <row r="75" spans="2:4" x14ac:dyDescent="0.75">
      <c r="B75" s="14" t="str">
        <f>IF('Payer-ConceptMap-1'!S70=0,"//---END",'Payer-ConceptMap-1'!S70)</f>
        <v>//---END</v>
      </c>
    </row>
    <row r="76" spans="2:4" x14ac:dyDescent="0.75">
      <c r="B76" s="14" t="str">
        <f>IF('Payer-ConceptMap-1'!S71=0,"//---END",'Payer-ConceptMap-1'!S71)</f>
        <v>//---END</v>
      </c>
    </row>
    <row r="77" spans="2:4" x14ac:dyDescent="0.75">
      <c r="B77" s="14" t="str">
        <f>IF('Payer-ConceptMap-1'!S72=0,"//---END",'Payer-ConceptMap-1'!S72)</f>
        <v>//---END</v>
      </c>
    </row>
    <row r="78" spans="2:4" x14ac:dyDescent="0.75">
      <c r="B78" s="14"/>
    </row>
    <row r="79" spans="2:4" x14ac:dyDescent="0.75">
      <c r="B79" s="14"/>
    </row>
    <row r="80" spans="2:4" x14ac:dyDescent="0.75">
      <c r="B80" s="14"/>
    </row>
    <row r="81" spans="2:2" x14ac:dyDescent="0.75">
      <c r="B81" s="14"/>
    </row>
    <row r="82" spans="2:2" x14ac:dyDescent="0.75">
      <c r="B82" s="14"/>
    </row>
    <row r="83" spans="2:2" x14ac:dyDescent="0.75">
      <c r="B83" s="14"/>
    </row>
    <row r="84" spans="2:2" x14ac:dyDescent="0.75">
      <c r="B84" s="14"/>
    </row>
    <row r="85" spans="2:2" x14ac:dyDescent="0.75">
      <c r="B85" s="14"/>
    </row>
    <row r="86" spans="2:2" x14ac:dyDescent="0.75">
      <c r="B86" s="14"/>
    </row>
    <row r="87" spans="2:2" x14ac:dyDescent="0.75">
      <c r="B87" s="14"/>
    </row>
    <row r="88" spans="2:2" x14ac:dyDescent="0.75">
      <c r="B88" s="14"/>
    </row>
    <row r="128" spans="2:2" x14ac:dyDescent="0.75">
      <c r="B128" s="77"/>
    </row>
    <row r="129" spans="2:2" x14ac:dyDescent="0.75">
      <c r="B129" s="79"/>
    </row>
    <row r="130" spans="2:2" x14ac:dyDescent="0.75">
      <c r="B130" s="79"/>
    </row>
    <row r="131" spans="2:2" x14ac:dyDescent="0.75">
      <c r="B131" s="81"/>
    </row>
    <row r="133" spans="2:2" x14ac:dyDescent="0.75">
      <c r="B133" s="14"/>
    </row>
    <row r="134" spans="2:2" x14ac:dyDescent="0.75">
      <c r="B134" s="14"/>
    </row>
    <row r="135" spans="2:2" x14ac:dyDescent="0.75">
      <c r="B135" s="14"/>
    </row>
    <row r="136" spans="2:2" x14ac:dyDescent="0.75">
      <c r="B136" s="14"/>
    </row>
    <row r="137" spans="2:2" x14ac:dyDescent="0.75">
      <c r="B137" s="14"/>
    </row>
    <row r="138" spans="2:2" x14ac:dyDescent="0.75">
      <c r="B138" s="14"/>
    </row>
    <row r="139" spans="2:2" x14ac:dyDescent="0.75">
      <c r="B139" s="14"/>
    </row>
    <row r="140" spans="2:2" x14ac:dyDescent="0.75">
      <c r="B140" s="14"/>
    </row>
    <row r="141" spans="2:2" x14ac:dyDescent="0.75">
      <c r="B141" s="14"/>
    </row>
    <row r="142" spans="2:2" x14ac:dyDescent="0.75">
      <c r="B142" s="14"/>
    </row>
    <row r="143" spans="2:2" x14ac:dyDescent="0.75">
      <c r="B143" s="14"/>
    </row>
    <row r="144" spans="2:2" x14ac:dyDescent="0.75">
      <c r="B144" s="14"/>
    </row>
    <row r="145" spans="2:2" x14ac:dyDescent="0.75">
      <c r="B145" s="14"/>
    </row>
    <row r="146" spans="2:2" x14ac:dyDescent="0.75">
      <c r="B146" s="14"/>
    </row>
    <row r="147" spans="2:2" x14ac:dyDescent="0.75">
      <c r="B147" s="14"/>
    </row>
    <row r="148" spans="2:2" x14ac:dyDescent="0.75">
      <c r="B148" s="14"/>
    </row>
    <row r="149" spans="2:2" x14ac:dyDescent="0.75">
      <c r="B149" s="14"/>
    </row>
    <row r="150" spans="2:2" x14ac:dyDescent="0.75">
      <c r="B150" s="14"/>
    </row>
    <row r="151" spans="2:2" x14ac:dyDescent="0.75">
      <c r="B151" s="14"/>
    </row>
    <row r="152" spans="2:2" x14ac:dyDescent="0.75">
      <c r="B152" s="14"/>
    </row>
    <row r="153" spans="2:2" x14ac:dyDescent="0.75">
      <c r="B153" s="14"/>
    </row>
    <row r="154" spans="2:2" x14ac:dyDescent="0.75">
      <c r="B154" s="14"/>
    </row>
    <row r="155" spans="2:2" x14ac:dyDescent="0.75">
      <c r="B155" s="14"/>
    </row>
    <row r="156" spans="2:2" x14ac:dyDescent="0.75">
      <c r="B156" s="14"/>
    </row>
    <row r="157" spans="2:2" x14ac:dyDescent="0.75">
      <c r="B157" s="14"/>
    </row>
    <row r="158" spans="2:2" x14ac:dyDescent="0.75">
      <c r="B158" s="14"/>
    </row>
    <row r="159" spans="2:2" x14ac:dyDescent="0.75">
      <c r="B159" s="14"/>
    </row>
    <row r="160" spans="2:2" x14ac:dyDescent="0.75">
      <c r="B160" s="14"/>
    </row>
    <row r="161" spans="2:2" x14ac:dyDescent="0.75">
      <c r="B161" s="14"/>
    </row>
    <row r="162" spans="2:2" x14ac:dyDescent="0.75">
      <c r="B162" s="14"/>
    </row>
    <row r="163" spans="2:2" x14ac:dyDescent="0.75">
      <c r="B163" s="14"/>
    </row>
    <row r="164" spans="2:2" x14ac:dyDescent="0.75">
      <c r="B164" s="14"/>
    </row>
    <row r="165" spans="2:2" x14ac:dyDescent="0.75">
      <c r="B165" s="14"/>
    </row>
    <row r="166" spans="2:2" x14ac:dyDescent="0.75">
      <c r="B166" s="14"/>
    </row>
    <row r="167" spans="2:2" x14ac:dyDescent="0.75">
      <c r="B167" s="14"/>
    </row>
    <row r="168" spans="2:2" x14ac:dyDescent="0.75">
      <c r="B168" s="14"/>
    </row>
    <row r="169" spans="2:2" x14ac:dyDescent="0.75">
      <c r="B169" s="14"/>
    </row>
    <row r="170" spans="2:2" x14ac:dyDescent="0.75">
      <c r="B170" s="14"/>
    </row>
    <row r="171" spans="2:2" x14ac:dyDescent="0.75">
      <c r="B171" s="14"/>
    </row>
    <row r="172" spans="2:2" x14ac:dyDescent="0.75">
      <c r="B172" s="14"/>
    </row>
    <row r="173" spans="2:2" x14ac:dyDescent="0.75">
      <c r="B173" s="14"/>
    </row>
    <row r="174" spans="2:2" x14ac:dyDescent="0.75">
      <c r="B174" s="14"/>
    </row>
    <row r="175" spans="2:2" x14ac:dyDescent="0.75">
      <c r="B175" s="14"/>
    </row>
    <row r="176" spans="2:2" x14ac:dyDescent="0.75">
      <c r="B176" s="14"/>
    </row>
    <row r="177" spans="2:2" x14ac:dyDescent="0.75">
      <c r="B177" s="14"/>
    </row>
    <row r="178" spans="2:2" x14ac:dyDescent="0.75">
      <c r="B178" s="14"/>
    </row>
    <row r="179" spans="2:2" x14ac:dyDescent="0.75">
      <c r="B179" s="14"/>
    </row>
    <row r="180" spans="2:2" x14ac:dyDescent="0.75">
      <c r="B180" s="14"/>
    </row>
    <row r="181" spans="2:2" x14ac:dyDescent="0.75">
      <c r="B181" s="14"/>
    </row>
    <row r="182" spans="2:2" x14ac:dyDescent="0.75">
      <c r="B182" s="14"/>
    </row>
    <row r="183" spans="2:2" x14ac:dyDescent="0.75">
      <c r="B183" s="14"/>
    </row>
    <row r="184" spans="2:2" x14ac:dyDescent="0.75">
      <c r="B184" s="14"/>
    </row>
    <row r="185" spans="2:2" x14ac:dyDescent="0.75">
      <c r="B185" s="14"/>
    </row>
    <row r="186" spans="2:2" x14ac:dyDescent="0.75">
      <c r="B186" s="14"/>
    </row>
    <row r="187" spans="2:2" x14ac:dyDescent="0.75">
      <c r="B187" s="14"/>
    </row>
    <row r="188" spans="2:2" x14ac:dyDescent="0.75">
      <c r="B188" s="14"/>
    </row>
    <row r="189" spans="2:2" x14ac:dyDescent="0.75">
      <c r="B189" s="14"/>
    </row>
    <row r="190" spans="2:2" x14ac:dyDescent="0.75">
      <c r="B190" s="14"/>
    </row>
    <row r="191" spans="2:2" x14ac:dyDescent="0.75">
      <c r="B191" s="14"/>
    </row>
    <row r="192" spans="2:2" x14ac:dyDescent="0.75">
      <c r="B192" s="14"/>
    </row>
    <row r="193" spans="2:2" x14ac:dyDescent="0.75">
      <c r="B193" s="14"/>
    </row>
    <row r="194" spans="2:2" x14ac:dyDescent="0.75">
      <c r="B194" s="14"/>
    </row>
    <row r="195" spans="2:2" x14ac:dyDescent="0.75">
      <c r="B195" s="14"/>
    </row>
    <row r="196" spans="2:2" x14ac:dyDescent="0.75">
      <c r="B196" s="14"/>
    </row>
    <row r="197" spans="2:2" x14ac:dyDescent="0.75">
      <c r="B197" s="14"/>
    </row>
    <row r="198" spans="2:2" x14ac:dyDescent="0.75">
      <c r="B198" s="14"/>
    </row>
    <row r="199" spans="2:2" x14ac:dyDescent="0.75">
      <c r="B199" s="14"/>
    </row>
    <row r="200" spans="2:2" x14ac:dyDescent="0.75">
      <c r="B200" s="14"/>
    </row>
    <row r="201" spans="2:2" x14ac:dyDescent="0.75">
      <c r="B201" s="14"/>
    </row>
    <row r="202" spans="2:2" x14ac:dyDescent="0.75">
      <c r="B202" s="14"/>
    </row>
    <row r="203" spans="2:2" x14ac:dyDescent="0.75">
      <c r="B203" s="14"/>
    </row>
    <row r="204" spans="2:2" x14ac:dyDescent="0.75">
      <c r="B204" s="14"/>
    </row>
    <row r="205" spans="2:2" x14ac:dyDescent="0.75">
      <c r="B205" s="14"/>
    </row>
    <row r="206" spans="2:2" x14ac:dyDescent="0.75">
      <c r="B206" s="14"/>
    </row>
    <row r="207" spans="2:2" x14ac:dyDescent="0.75">
      <c r="B207" s="14"/>
    </row>
    <row r="208" spans="2:2" x14ac:dyDescent="0.75">
      <c r="B208" s="14"/>
    </row>
    <row r="209" spans="2:2" x14ac:dyDescent="0.75">
      <c r="B209" s="14"/>
    </row>
    <row r="210" spans="2:2" x14ac:dyDescent="0.75">
      <c r="B210" s="14"/>
    </row>
    <row r="211" spans="2:2" x14ac:dyDescent="0.75">
      <c r="B211" s="14"/>
    </row>
    <row r="212" spans="2:2" x14ac:dyDescent="0.75">
      <c r="B212" s="14"/>
    </row>
    <row r="213" spans="2:2" x14ac:dyDescent="0.75">
      <c r="B213" s="14"/>
    </row>
    <row r="214" spans="2:2" x14ac:dyDescent="0.75">
      <c r="B214" s="14"/>
    </row>
    <row r="215" spans="2:2" x14ac:dyDescent="0.75">
      <c r="B215" s="14"/>
    </row>
    <row r="216" spans="2:2" x14ac:dyDescent="0.75">
      <c r="B216" s="14"/>
    </row>
    <row r="217" spans="2:2" x14ac:dyDescent="0.75">
      <c r="B217" s="14"/>
    </row>
    <row r="218" spans="2:2" x14ac:dyDescent="0.75">
      <c r="B218" s="14"/>
    </row>
    <row r="219" spans="2:2" x14ac:dyDescent="0.75">
      <c r="B219" s="14"/>
    </row>
    <row r="220" spans="2:2" x14ac:dyDescent="0.75">
      <c r="B220" s="14"/>
    </row>
    <row r="221" spans="2:2" x14ac:dyDescent="0.75">
      <c r="B221" s="14"/>
    </row>
    <row r="222" spans="2:2" x14ac:dyDescent="0.75">
      <c r="B222" s="14"/>
    </row>
    <row r="223" spans="2:2" x14ac:dyDescent="0.75">
      <c r="B223" s="14"/>
    </row>
    <row r="224" spans="2:2" x14ac:dyDescent="0.75">
      <c r="B224" s="14"/>
    </row>
    <row r="225" spans="2:2" x14ac:dyDescent="0.75">
      <c r="B225" s="14"/>
    </row>
    <row r="226" spans="2:2" x14ac:dyDescent="0.75">
      <c r="B226" s="14"/>
    </row>
    <row r="227" spans="2:2" x14ac:dyDescent="0.75">
      <c r="B227" s="14"/>
    </row>
    <row r="228" spans="2:2" x14ac:dyDescent="0.75">
      <c r="B228" s="14"/>
    </row>
    <row r="229" spans="2:2" x14ac:dyDescent="0.75">
      <c r="B229" s="14"/>
    </row>
    <row r="230" spans="2:2" x14ac:dyDescent="0.75">
      <c r="B230" s="14"/>
    </row>
    <row r="231" spans="2:2" x14ac:dyDescent="0.75">
      <c r="B231" s="14"/>
    </row>
    <row r="232" spans="2:2" x14ac:dyDescent="0.75">
      <c r="B232" s="14"/>
    </row>
    <row r="233" spans="2:2" x14ac:dyDescent="0.75">
      <c r="B233" s="14"/>
    </row>
    <row r="234" spans="2:2" x14ac:dyDescent="0.75">
      <c r="B234" s="14"/>
    </row>
    <row r="235" spans="2:2" x14ac:dyDescent="0.75">
      <c r="B235" s="14"/>
    </row>
    <row r="236" spans="2:2" x14ac:dyDescent="0.75">
      <c r="B236" s="14"/>
    </row>
    <row r="237" spans="2:2" x14ac:dyDescent="0.75">
      <c r="B237" s="14"/>
    </row>
    <row r="238" spans="2:2" x14ac:dyDescent="0.75">
      <c r="B238" s="14"/>
    </row>
    <row r="239" spans="2:2" x14ac:dyDescent="0.75">
      <c r="B239" s="14"/>
    </row>
    <row r="240" spans="2:2" x14ac:dyDescent="0.75">
      <c r="B240" s="14"/>
    </row>
    <row r="241" spans="2:2" x14ac:dyDescent="0.75">
      <c r="B241" s="14"/>
    </row>
    <row r="242" spans="2:2" x14ac:dyDescent="0.75">
      <c r="B242" s="14"/>
    </row>
    <row r="243" spans="2:2" x14ac:dyDescent="0.75">
      <c r="B243" s="14"/>
    </row>
    <row r="244" spans="2:2" x14ac:dyDescent="0.75">
      <c r="B244" s="14"/>
    </row>
    <row r="245" spans="2:2" x14ac:dyDescent="0.75">
      <c r="B245" s="14"/>
    </row>
    <row r="246" spans="2:2" x14ac:dyDescent="0.75">
      <c r="B246" s="14"/>
    </row>
    <row r="247" spans="2:2" x14ac:dyDescent="0.75">
      <c r="B247" s="14"/>
    </row>
    <row r="248" spans="2:2" x14ac:dyDescent="0.75">
      <c r="B248" s="14"/>
    </row>
    <row r="249" spans="2:2" x14ac:dyDescent="0.75">
      <c r="B249" s="14"/>
    </row>
    <row r="250" spans="2:2" x14ac:dyDescent="0.75">
      <c r="B250" s="14"/>
    </row>
    <row r="251" spans="2:2" x14ac:dyDescent="0.75">
      <c r="B251" s="14"/>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86369"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CC182A-CF18-4171-91D3-B1466510CC97}">
  <sheetPr codeName="Foglio30">
    <tabColor theme="7" tint="0.39997558519241921"/>
  </sheetPr>
  <dimension ref="A1:L29"/>
  <sheetViews>
    <sheetView workbookViewId="0"/>
  </sheetViews>
  <sheetFormatPr defaultRowHeight="14.75" x14ac:dyDescent="0.75"/>
  <cols>
    <col min="1" max="1" width="16.54296875" customWidth="1"/>
    <col min="2" max="2" width="59.5" customWidth="1"/>
    <col min="3" max="3" width="44.6328125" customWidth="1"/>
    <col min="4" max="4" width="71.58984375" style="1" bestFit="1" customWidth="1"/>
    <col min="5" max="5" width="10.816406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11" x14ac:dyDescent="0.75">
      <c r="I1" s="32" t="s">
        <v>37</v>
      </c>
    </row>
    <row r="2" spans="1:11" x14ac:dyDescent="0.75">
      <c r="I2" s="33" t="s">
        <v>36</v>
      </c>
    </row>
    <row r="3" spans="1:11" ht="15.5" thickBot="1" x14ac:dyDescent="0.9">
      <c r="I3" s="33" t="str">
        <f>I1</f>
        <v>// -------------------------------------------------------------------------------</v>
      </c>
    </row>
    <row r="4" spans="1:11" x14ac:dyDescent="0.75">
      <c r="A4" s="6" t="s">
        <v>14</v>
      </c>
      <c r="B4" s="17" t="s">
        <v>364</v>
      </c>
      <c r="I4" s="25" t="str">
        <f>CONCATENATE("Logical: ",B4)</f>
        <v>Logical: RecipientLabEhn</v>
      </c>
    </row>
    <row r="5" spans="1:11" x14ac:dyDescent="0.75">
      <c r="A5" s="18" t="s">
        <v>19</v>
      </c>
      <c r="B5" s="34" t="s">
        <v>400</v>
      </c>
      <c r="I5" s="25" t="str">
        <f>CONCATENATE("Id: ",B5)</f>
        <v>Id: Recipient</v>
      </c>
    </row>
    <row r="6" spans="1:11" x14ac:dyDescent="0.75">
      <c r="A6" s="18" t="s">
        <v>13</v>
      </c>
      <c r="B6" s="19" t="s">
        <v>433</v>
      </c>
      <c r="I6" s="26" t="str">
        <f>CONCATENATE("Title: ##34#",B6,"##34#")</f>
        <v>Title: ##34#Information recipient (A.1.4)##34#</v>
      </c>
    </row>
    <row r="7" spans="1:11" ht="44.25" x14ac:dyDescent="0.75">
      <c r="A7" s="46" t="s">
        <v>5</v>
      </c>
      <c r="B7" s="58" t="s">
        <v>332</v>
      </c>
      <c r="C7" s="12"/>
      <c r="D7" s="2"/>
      <c r="E7" s="57"/>
      <c r="F7" s="3" t="s">
        <v>9</v>
      </c>
      <c r="G7" s="3" t="s">
        <v>10</v>
      </c>
      <c r="I7" s="26" t="str">
        <f>CONCATENATE("Description: "," ##334#",B7,"##334#",)</f>
        <v>Description:  ##334#A.1.4 Information recipient (intended recipient or recipients of the report, additional recipients might be identified by the ordering party, e.g. GP, other specialist), if applicable##334#</v>
      </c>
    </row>
    <row r="8" spans="1:11" ht="74.5" customHeight="1" x14ac:dyDescent="0.75">
      <c r="A8" s="9">
        <v>1</v>
      </c>
      <c r="B8" s="9" t="s">
        <v>367</v>
      </c>
      <c r="C8" s="9" t="s">
        <v>365</v>
      </c>
      <c r="D8" s="14" t="s">
        <v>533</v>
      </c>
      <c r="E8" s="9">
        <v>0</v>
      </c>
      <c r="F8" s="9">
        <v>1</v>
      </c>
      <c r="G8" s="9" t="s">
        <v>0</v>
      </c>
      <c r="H8" s="23"/>
      <c r="I8" s="14" t="str">
        <f>CONCATENATE("* ",B8, " ",E8,"..",F8," ",G8," ##34#",C8,"##34# ##334#",D8,"##334#")</f>
        <v>* identifier 0..1 Identifier ##34#A.1.4.1 Recipient identifier##34# ##334#The health professional identification number.
Either an internal identifier assigned by a healthcare provider institution or (preferably) a national health professional ID such as the license or registration number.
In case when recipient is not a health professional, e.g. patient, appropriate personal identifier should be used.##334#</v>
      </c>
    </row>
    <row r="9" spans="1:11" ht="80.75" customHeight="1" x14ac:dyDescent="0.75">
      <c r="A9" s="9">
        <v>2</v>
      </c>
      <c r="B9" s="9" t="s">
        <v>368</v>
      </c>
      <c r="C9" s="9" t="s">
        <v>366</v>
      </c>
      <c r="D9" s="14" t="s">
        <v>89</v>
      </c>
      <c r="E9" s="9">
        <v>0</v>
      </c>
      <c r="F9" s="9" t="s">
        <v>11</v>
      </c>
      <c r="G9" s="9" t="s">
        <v>414</v>
      </c>
      <c r="H9" s="23"/>
      <c r="I9" s="14" t="str">
        <f t="shared" ref="I9:I14" si="0">CONCATENATE("* ",B9, " ",E9,"..",F9," ",G9," ##34#",C9,"##34# ##334#",D9,"##334#")</f>
        <v>* name 0..* HumanName ##34#A.1.4.2 Recipient name##34# ##334#Person name.##334#</v>
      </c>
    </row>
    <row r="10" spans="1:11" ht="30.25" customHeight="1" x14ac:dyDescent="0.75">
      <c r="A10" s="9">
        <v>3</v>
      </c>
      <c r="B10" s="9" t="s">
        <v>369</v>
      </c>
      <c r="C10" s="9" t="s">
        <v>530</v>
      </c>
      <c r="D10" s="14" t="s">
        <v>92</v>
      </c>
      <c r="E10" s="9">
        <v>0</v>
      </c>
      <c r="F10" s="9" t="s">
        <v>11</v>
      </c>
      <c r="G10" s="9" t="s">
        <v>370</v>
      </c>
      <c r="H10" s="23"/>
      <c r="I10" s="14" t="str">
        <f t="shared" si="0"/>
        <v>* organization 0..* Organization ##34#A.1.4.3 Recipient organization##34# ##334#The healthcare provider organization information.##334#</v>
      </c>
    </row>
    <row r="11" spans="1:11" ht="45" customHeight="1" x14ac:dyDescent="0.75">
      <c r="A11" s="59">
        <v>4</v>
      </c>
      <c r="B11" s="59"/>
      <c r="D11" s="60"/>
      <c r="E11" s="59"/>
      <c r="F11" s="59"/>
      <c r="G11" s="59"/>
      <c r="H11" s="23"/>
      <c r="I11" s="14" t="str">
        <f t="shared" si="0"/>
        <v>*  ..  ##34###34# ##334###334#</v>
      </c>
    </row>
    <row r="12" spans="1:11" x14ac:dyDescent="0.75">
      <c r="A12" s="9">
        <v>5</v>
      </c>
      <c r="B12" s="9"/>
      <c r="C12" s="9"/>
      <c r="D12" s="14"/>
      <c r="E12" s="9"/>
      <c r="F12" s="9"/>
      <c r="G12" s="9"/>
      <c r="H12" s="23"/>
      <c r="I12" s="14" t="str">
        <f t="shared" si="0"/>
        <v>*  ..  ##34###34# ##334###334#</v>
      </c>
    </row>
    <row r="13" spans="1:11" x14ac:dyDescent="0.75">
      <c r="A13" s="9">
        <v>6</v>
      </c>
      <c r="B13" s="9"/>
      <c r="C13" s="16"/>
      <c r="D13" s="14"/>
      <c r="E13" s="9"/>
      <c r="F13" s="9"/>
      <c r="G13" s="9"/>
      <c r="H13" s="23"/>
      <c r="I13" s="14" t="str">
        <f t="shared" si="0"/>
        <v>*  ..  ##34###34# ##334###334#</v>
      </c>
    </row>
    <row r="14" spans="1:11" x14ac:dyDescent="0.75">
      <c r="A14" s="9">
        <v>7</v>
      </c>
      <c r="B14" s="9"/>
      <c r="C14" s="16"/>
      <c r="D14" s="52"/>
      <c r="E14" s="9"/>
      <c r="F14" s="9"/>
      <c r="G14" s="9"/>
      <c r="H14" s="23"/>
      <c r="I14" s="14" t="str">
        <f t="shared" si="0"/>
        <v>*  ..  ##34###34# ##334###334#</v>
      </c>
    </row>
    <row r="15" spans="1:11" x14ac:dyDescent="0.75">
      <c r="A15" s="9">
        <v>8</v>
      </c>
      <c r="B15" s="9"/>
      <c r="C15" s="9"/>
      <c r="D15" s="14"/>
      <c r="E15" s="9"/>
      <c r="F15" s="9"/>
      <c r="G15" s="9"/>
      <c r="H15" s="23"/>
      <c r="I15" s="14"/>
      <c r="J15" s="16"/>
      <c r="K15" s="9"/>
    </row>
    <row r="16" spans="1:11" ht="29.5" customHeight="1" x14ac:dyDescent="0.75">
      <c r="A16" s="9">
        <v>9</v>
      </c>
      <c r="B16" s="9"/>
      <c r="C16" s="9"/>
      <c r="D16" s="14"/>
      <c r="E16" s="9"/>
      <c r="F16" s="9"/>
      <c r="G16" s="53"/>
      <c r="H16" s="9"/>
      <c r="I16" s="14"/>
    </row>
    <row r="17" spans="2:9" x14ac:dyDescent="0.75">
      <c r="I17" s="14"/>
    </row>
    <row r="18" spans="2:9" x14ac:dyDescent="0.75">
      <c r="I18" s="14"/>
    </row>
    <row r="19" spans="2:9" x14ac:dyDescent="0.75">
      <c r="I19" s="14"/>
    </row>
    <row r="20" spans="2:9" x14ac:dyDescent="0.75">
      <c r="I20" s="14"/>
    </row>
    <row r="21" spans="2:9" x14ac:dyDescent="0.75">
      <c r="B21" t="str">
        <f t="shared" ref="B21" si="1">CONCATENATE(C21," ",D21)</f>
        <v xml:space="preserve"> </v>
      </c>
      <c r="I21"/>
    </row>
    <row r="26" spans="2:9" ht="16.75" thickBot="1" x14ac:dyDescent="0.9">
      <c r="C26" s="91" t="s">
        <v>332</v>
      </c>
      <c r="D26" s="92"/>
      <c r="E26" s="92"/>
      <c r="F26" s="93"/>
    </row>
    <row r="27" spans="2:9" ht="409.6" thickBot="1" x14ac:dyDescent="0.9">
      <c r="B27" t="str">
        <f t="shared" ref="B27:B29" si="2">CONCATENATE(C27," ",D27)</f>
        <v>A.1.4.1 Recipient identifier</v>
      </c>
      <c r="C27" s="36" t="s">
        <v>84</v>
      </c>
      <c r="D27" s="37" t="s">
        <v>85</v>
      </c>
      <c r="E27" s="37" t="s">
        <v>531</v>
      </c>
      <c r="F27" s="42"/>
      <c r="I27" s="1" t="str">
        <f t="shared" ref="I27:I29" si="3">CONCATENATE(E27," - Preferred system(s): ",F27)</f>
        <v xml:space="preserve">The health professional identification number. Either an internal identifier assigned by a healthcare provider institution or (preferably) a national health professional ID such as the license or registration number. In case when recipient is not a health professional, e.g. patient, appropriate personal identifier should be used.  - Preferred system(s): </v>
      </c>
    </row>
    <row r="28" spans="2:9" ht="32.75" thickBot="1" x14ac:dyDescent="0.9">
      <c r="B28" t="str">
        <f t="shared" si="2"/>
        <v>A.1.4.2 Recipient name</v>
      </c>
      <c r="C28" s="36" t="s">
        <v>87</v>
      </c>
      <c r="D28" s="37" t="s">
        <v>88</v>
      </c>
      <c r="E28" s="37" t="s">
        <v>89</v>
      </c>
      <c r="F28" s="42"/>
      <c r="I28" s="1" t="str">
        <f t="shared" si="3"/>
        <v xml:space="preserve">Person name. - Preferred system(s): </v>
      </c>
    </row>
    <row r="29" spans="2:9" ht="112.75" thickBot="1" x14ac:dyDescent="0.9">
      <c r="B29" t="str">
        <f t="shared" si="2"/>
        <v xml:space="preserve">A.1.4.3 Recipient organization </v>
      </c>
      <c r="C29" s="36" t="s">
        <v>90</v>
      </c>
      <c r="D29" s="37" t="s">
        <v>532</v>
      </c>
      <c r="E29" s="37" t="s">
        <v>92</v>
      </c>
      <c r="F29" s="42"/>
      <c r="I29" s="1" t="str">
        <f t="shared" si="3"/>
        <v xml:space="preserve">The healthcare provider organization information. - Preferred system(s): </v>
      </c>
    </row>
  </sheetData>
  <mergeCells count="1">
    <mergeCell ref="C26:F26"/>
  </mergeCells>
  <pageMargins left="0.7" right="0.7" top="0.75" bottom="0.75" header="0.3" footer="0.3"/>
  <pageSetup paperSize="9"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2EB279-CD04-4BBF-916A-0D6769E592EE}">
  <sheetPr codeName="Foglio31"/>
  <dimension ref="A1:O32"/>
  <sheetViews>
    <sheetView workbookViewId="0"/>
  </sheetViews>
  <sheetFormatPr defaultRowHeight="14.75" x14ac:dyDescent="0.75"/>
  <cols>
    <col min="2" max="2" width="31.6796875" bestFit="1" customWidth="1"/>
    <col min="3" max="3" width="72.1328125" customWidth="1"/>
    <col min="4" max="4" width="8.04296875" customWidth="1"/>
    <col min="5" max="5" width="71.58984375" style="1" customWidth="1"/>
    <col min="6" max="6" width="10.76953125" customWidth="1"/>
    <col min="7" max="7" width="45.26953125" customWidth="1"/>
  </cols>
  <sheetData>
    <row r="1" spans="1:15" x14ac:dyDescent="0.75">
      <c r="E1" s="24" t="s">
        <v>37</v>
      </c>
      <c r="H1" s="10"/>
      <c r="I1" s="10"/>
      <c r="J1" s="10"/>
      <c r="K1" s="10"/>
      <c r="L1" s="10"/>
      <c r="M1" s="10"/>
      <c r="N1" s="10"/>
      <c r="O1" s="10"/>
    </row>
    <row r="2" spans="1:15" x14ac:dyDescent="0.75">
      <c r="E2" s="31" t="s">
        <v>38</v>
      </c>
      <c r="H2" s="10"/>
      <c r="I2" s="10"/>
      <c r="J2" s="10"/>
      <c r="K2" s="10"/>
      <c r="L2" s="10"/>
      <c r="M2" s="10"/>
      <c r="N2" s="10"/>
      <c r="O2" s="10"/>
    </row>
    <row r="3" spans="1:15" ht="15.5" thickBot="1" x14ac:dyDescent="0.9">
      <c r="E3" s="31" t="str">
        <f>E1</f>
        <v>// -------------------------------------------------------------------------------</v>
      </c>
      <c r="H3" s="10"/>
      <c r="I3" s="10"/>
      <c r="J3" s="10"/>
      <c r="K3" s="10"/>
      <c r="L3" s="10"/>
      <c r="M3" s="10"/>
      <c r="N3" s="10"/>
      <c r="O3" s="10"/>
    </row>
    <row r="4" spans="1:15" ht="15.5" thickBot="1" x14ac:dyDescent="0.9">
      <c r="B4" s="13" t="s">
        <v>34</v>
      </c>
      <c r="C4" s="7" t="s">
        <v>371</v>
      </c>
      <c r="E4" s="28" t="str">
        <f>CONCATENATE("Mapping: ",C4)</f>
        <v>Mapping: eHNLabRecipient2Fhir</v>
      </c>
      <c r="H4" s="10"/>
      <c r="I4" s="10"/>
      <c r="J4" s="10"/>
      <c r="K4" s="10"/>
      <c r="L4" s="10"/>
      <c r="M4" s="10"/>
      <c r="N4" s="10"/>
      <c r="O4" s="10"/>
    </row>
    <row r="5" spans="1:15" ht="15.5" thickBot="1" x14ac:dyDescent="0.9">
      <c r="B5" s="13" t="s">
        <v>19</v>
      </c>
      <c r="C5" s="5" t="s">
        <v>16</v>
      </c>
      <c r="E5" s="29" t="str">
        <f>CONCATENATE("Id: ",C5)</f>
        <v>Id: fhir</v>
      </c>
      <c r="G5" s="1"/>
      <c r="H5" s="10"/>
      <c r="I5" s="10"/>
      <c r="J5" s="10"/>
      <c r="K5" s="10"/>
      <c r="L5" s="10"/>
      <c r="M5" s="10"/>
      <c r="N5" s="10"/>
      <c r="O5" s="10"/>
    </row>
    <row r="6" spans="1:15" ht="15.5" thickBot="1" x14ac:dyDescent="0.9">
      <c r="B6" s="13" t="s">
        <v>13</v>
      </c>
      <c r="C6" s="22" t="s">
        <v>372</v>
      </c>
      <c r="E6" s="29" t="str">
        <f>CONCATENATE("Title: ##34#",C6,"##34#")</f>
        <v>Title: ##34#eHN Lab Recipient model to FHIR R4 Map##34#</v>
      </c>
      <c r="G6" s="1"/>
      <c r="H6" s="10"/>
      <c r="I6" s="10"/>
      <c r="J6" s="10"/>
      <c r="K6" s="10"/>
      <c r="L6" s="10"/>
      <c r="M6" s="10"/>
      <c r="N6" s="10"/>
      <c r="O6" s="10"/>
    </row>
    <row r="7" spans="1:15" ht="15.5" thickBot="1" x14ac:dyDescent="0.9">
      <c r="B7" s="13" t="s">
        <v>35</v>
      </c>
      <c r="C7" s="11" t="str">
        <f>B9</f>
        <v>Recipient</v>
      </c>
      <c r="E7" s="29" t="str">
        <f>CONCATENATE("Source: ",C7)</f>
        <v>Source: Recipient</v>
      </c>
      <c r="G7" s="1"/>
      <c r="H7" s="10"/>
      <c r="I7" s="10"/>
      <c r="J7" s="10"/>
      <c r="K7" s="10"/>
      <c r="L7" s="10"/>
      <c r="M7" s="10"/>
      <c r="N7" s="10"/>
      <c r="O7" s="10"/>
    </row>
    <row r="8" spans="1:15" ht="15.5" thickBot="1" x14ac:dyDescent="0.9">
      <c r="B8" s="27" t="s">
        <v>18</v>
      </c>
      <c r="C8" t="s">
        <v>15</v>
      </c>
      <c r="E8" s="30" t="str">
        <f>CONCATENATE("Target: ##34#",C8,"##34#")</f>
        <v>Target: ##34#hl7.org/fhir/r4##34#</v>
      </c>
      <c r="G8" s="1"/>
      <c r="H8" s="10"/>
      <c r="I8" s="10"/>
      <c r="J8" s="10"/>
      <c r="K8" s="10"/>
      <c r="L8" s="10"/>
      <c r="M8" s="10"/>
      <c r="N8" s="10"/>
      <c r="O8" s="10"/>
    </row>
    <row r="9" spans="1:15" x14ac:dyDescent="0.75">
      <c r="A9" s="9"/>
      <c r="B9" s="9" t="str">
        <f>'A1.4 Recipient'!$B$5</f>
        <v>Recipient</v>
      </c>
      <c r="C9" s="8" t="s">
        <v>370</v>
      </c>
      <c r="E9" s="4" t="str">
        <f>CONCATENATE("* -&gt; ##34#",C9,"##34#")</f>
        <v>* -&gt; ##34#Organization##34#</v>
      </c>
      <c r="H9" s="10"/>
      <c r="I9" s="10"/>
      <c r="J9" s="10"/>
      <c r="K9" s="10"/>
      <c r="L9" s="10"/>
      <c r="M9" s="10"/>
      <c r="N9" s="10"/>
      <c r="O9" s="10"/>
    </row>
    <row r="10" spans="1:15" x14ac:dyDescent="0.75">
      <c r="A10" s="9"/>
      <c r="B10" s="9" t="str">
        <f>'A1.4 Recipient'!$B$5</f>
        <v>Recipient</v>
      </c>
      <c r="C10" s="8" t="s">
        <v>572</v>
      </c>
      <c r="E10" s="4" t="str">
        <f t="shared" ref="E10:E13" si="0">CONCATENATE("* -&gt; ##34#",C10,"##34#")</f>
        <v>* -&gt; ##34#PractictionerRole##34#</v>
      </c>
      <c r="H10" s="10"/>
      <c r="I10" s="10"/>
      <c r="J10" s="10"/>
      <c r="K10" s="10"/>
      <c r="L10" s="10"/>
      <c r="M10" s="10"/>
      <c r="N10" s="10"/>
      <c r="O10" s="10"/>
    </row>
    <row r="11" spans="1:15" x14ac:dyDescent="0.75">
      <c r="A11" s="9"/>
      <c r="B11" s="9" t="str">
        <f>'A1.4 Recipient'!$B$5</f>
        <v>Recipient</v>
      </c>
      <c r="C11" s="8" t="s">
        <v>571</v>
      </c>
      <c r="E11" s="4" t="str">
        <f t="shared" si="0"/>
        <v>* -&gt; ##34#Practictioner##34#</v>
      </c>
      <c r="H11" s="10"/>
      <c r="I11" s="10"/>
      <c r="J11" s="10"/>
      <c r="K11" s="10"/>
      <c r="L11" s="10"/>
      <c r="M11" s="10"/>
      <c r="N11" s="10"/>
      <c r="O11" s="10"/>
    </row>
    <row r="12" spans="1:15" x14ac:dyDescent="0.75">
      <c r="A12" s="9"/>
      <c r="B12" s="9" t="str">
        <f>'A1.4 Recipient'!$B$5</f>
        <v>Recipient</v>
      </c>
      <c r="C12" s="8" t="s">
        <v>17</v>
      </c>
      <c r="E12" s="4" t="str">
        <f t="shared" si="0"/>
        <v>* -&gt; ##34#Patient##34#</v>
      </c>
      <c r="H12" s="10"/>
      <c r="I12" s="10"/>
      <c r="J12" s="10"/>
      <c r="K12" s="10"/>
      <c r="L12" s="10"/>
      <c r="M12" s="10"/>
      <c r="N12" s="10"/>
      <c r="O12" s="10"/>
    </row>
    <row r="13" spans="1:15" x14ac:dyDescent="0.75">
      <c r="A13" s="9"/>
      <c r="B13" s="9" t="str">
        <f>'A1.4 Recipient'!$B$5</f>
        <v>Recipient</v>
      </c>
      <c r="C13" s="8" t="s">
        <v>574</v>
      </c>
      <c r="E13" s="4" t="str">
        <f t="shared" si="0"/>
        <v>* -&gt; ##34#RelatedPerson##34#</v>
      </c>
      <c r="H13" s="10"/>
      <c r="I13" s="10"/>
      <c r="J13" s="10"/>
      <c r="K13" s="10"/>
      <c r="L13" s="10"/>
      <c r="M13" s="10"/>
      <c r="N13" s="10"/>
      <c r="O13" s="10"/>
    </row>
    <row r="14" spans="1:15" x14ac:dyDescent="0.75">
      <c r="A14" s="9"/>
      <c r="B14" s="9" t="str">
        <f>'A1.4 Recipient'!B8</f>
        <v>identifier</v>
      </c>
      <c r="C14" s="9" t="s">
        <v>573</v>
      </c>
      <c r="E14" s="14" t="str">
        <f t="shared" ref="E14:E20" si="1">IF(B14=0,"*  -&gt; ##34###34#",CONCATENATE("* ",B14," -&gt; ##34#",C14,"##34#"))</f>
        <v>* identifier -&gt; ##34#.identifier##34#</v>
      </c>
      <c r="G14" s="1"/>
      <c r="H14" s="10"/>
      <c r="I14" s="10"/>
      <c r="J14" s="10"/>
      <c r="K14" s="10"/>
      <c r="L14" s="10"/>
      <c r="M14" s="10"/>
      <c r="N14" s="10"/>
      <c r="O14" s="10"/>
    </row>
    <row r="15" spans="1:15" x14ac:dyDescent="0.75">
      <c r="A15" s="9"/>
      <c r="B15" s="9" t="str">
        <f>'A1.4 Recipient'!$B$9</f>
        <v>name</v>
      </c>
      <c r="C15" s="8" t="s">
        <v>575</v>
      </c>
      <c r="E15" s="14" t="str">
        <f t="shared" si="1"/>
        <v>* name -&gt; ##34#Organization.name##34#</v>
      </c>
      <c r="G15" s="1"/>
      <c r="H15" s="10"/>
      <c r="I15" s="10"/>
      <c r="J15" s="10"/>
      <c r="K15" s="10"/>
      <c r="L15" s="10"/>
      <c r="M15" s="10"/>
      <c r="N15" s="10"/>
      <c r="O15" s="10"/>
    </row>
    <row r="16" spans="1:15" x14ac:dyDescent="0.75">
      <c r="A16" s="9"/>
      <c r="B16" s="9" t="str">
        <f>'A1.4 Recipient'!$B$9</f>
        <v>name</v>
      </c>
      <c r="C16" s="8" t="s">
        <v>579</v>
      </c>
      <c r="E16" s="14" t="str">
        <f t="shared" si="1"/>
        <v>* name -&gt; ##34#PractictionerRole.practitioner.resolve().name##34#</v>
      </c>
      <c r="G16" s="1"/>
      <c r="H16" s="10"/>
      <c r="I16" s="10"/>
      <c r="J16" s="10"/>
      <c r="K16" s="10"/>
      <c r="L16" s="10"/>
      <c r="M16" s="10"/>
      <c r="N16" s="10"/>
      <c r="O16" s="10"/>
    </row>
    <row r="17" spans="1:15" x14ac:dyDescent="0.75">
      <c r="A17" s="9"/>
      <c r="B17" s="9" t="str">
        <f>'A1.4 Recipient'!$B$9</f>
        <v>name</v>
      </c>
      <c r="C17" s="8" t="s">
        <v>578</v>
      </c>
      <c r="E17" s="14" t="str">
        <f t="shared" si="1"/>
        <v>* name -&gt; ##34#Practictioner.name##34#</v>
      </c>
      <c r="G17" s="1"/>
      <c r="H17" s="10"/>
      <c r="I17" s="10"/>
      <c r="J17" s="10"/>
      <c r="K17" s="10"/>
      <c r="L17" s="10"/>
      <c r="M17" s="10"/>
      <c r="N17" s="10"/>
      <c r="O17" s="10"/>
    </row>
    <row r="18" spans="1:15" x14ac:dyDescent="0.75">
      <c r="A18" s="9"/>
      <c r="B18" s="9" t="str">
        <f>'A1.4 Recipient'!$B$9</f>
        <v>name</v>
      </c>
      <c r="C18" s="8" t="s">
        <v>576</v>
      </c>
      <c r="E18" s="14" t="str">
        <f t="shared" si="1"/>
        <v>* name -&gt; ##34#Patientn.name##34#</v>
      </c>
      <c r="G18" s="1"/>
      <c r="H18" s="10"/>
      <c r="I18" s="10"/>
      <c r="J18" s="10"/>
      <c r="K18" s="10"/>
      <c r="L18" s="10"/>
      <c r="M18" s="10"/>
      <c r="N18" s="10"/>
      <c r="O18" s="10"/>
    </row>
    <row r="19" spans="1:15" x14ac:dyDescent="0.75">
      <c r="A19" s="9"/>
      <c r="B19" s="9" t="str">
        <f>'A1.4 Recipient'!$B$9</f>
        <v>name</v>
      </c>
      <c r="C19" s="8" t="s">
        <v>577</v>
      </c>
      <c r="E19" s="14" t="str">
        <f t="shared" si="1"/>
        <v>* name -&gt; ##34#RelatedPerson.name##34#</v>
      </c>
      <c r="G19" s="1"/>
      <c r="H19" s="10"/>
      <c r="I19" s="10"/>
      <c r="J19" s="10"/>
      <c r="K19" s="10"/>
      <c r="L19" s="10"/>
      <c r="M19" s="10"/>
      <c r="N19" s="10"/>
      <c r="O19" s="10"/>
    </row>
    <row r="20" spans="1:15" x14ac:dyDescent="0.75">
      <c r="A20" s="9"/>
      <c r="B20" s="9" t="str">
        <f>'A1.4 Recipient'!B10</f>
        <v>organization</v>
      </c>
      <c r="C20" s="8" t="s">
        <v>580</v>
      </c>
      <c r="E20" s="14" t="str">
        <f t="shared" si="1"/>
        <v>* organization -&gt; ##34#PractictionerRole.organization.resolve()##34#</v>
      </c>
      <c r="G20" s="1"/>
      <c r="H20" s="10"/>
      <c r="I20" s="10"/>
      <c r="J20" s="10"/>
      <c r="K20" s="10"/>
      <c r="L20" s="10"/>
      <c r="M20" s="10"/>
      <c r="N20" s="10"/>
      <c r="O20" s="10"/>
    </row>
    <row r="21" spans="1:15" x14ac:dyDescent="0.75">
      <c r="A21" s="9"/>
      <c r="B21" s="9">
        <f>'A1.4 Recipient'!B11</f>
        <v>0</v>
      </c>
      <c r="C21" s="9"/>
      <c r="E21" s="14" t="str">
        <f>IF(B21=0,"*  -&gt; ##34###34#",CONCATENATE("* ",B21," -&gt; ##34#",C21,"##34#"))</f>
        <v>*  -&gt; ##34###34#</v>
      </c>
      <c r="G21" s="1"/>
      <c r="H21" s="10"/>
      <c r="I21" s="10"/>
      <c r="J21" s="10"/>
      <c r="K21" s="10"/>
      <c r="L21" s="10"/>
      <c r="M21" s="10"/>
      <c r="N21" s="10"/>
      <c r="O21" s="10"/>
    </row>
    <row r="22" spans="1:15" x14ac:dyDescent="0.75">
      <c r="A22" s="9"/>
      <c r="B22" s="9">
        <f>'A1.4 Recipient'!B12</f>
        <v>0</v>
      </c>
      <c r="C22" s="9"/>
      <c r="E22" s="14" t="str">
        <f>IF(B22=0,"*  -&gt; ##34###34#",CONCATENATE("* ",B22," -&gt; ##34#",C22,"##34#"))</f>
        <v>*  -&gt; ##34###34#</v>
      </c>
      <c r="G22" s="1"/>
      <c r="H22" s="10"/>
      <c r="I22" s="10"/>
      <c r="J22" s="10"/>
      <c r="K22" s="10"/>
      <c r="L22" s="10"/>
      <c r="M22" s="10"/>
      <c r="N22" s="10"/>
      <c r="O22" s="10"/>
    </row>
    <row r="23" spans="1:15" x14ac:dyDescent="0.75">
      <c r="A23" s="9"/>
      <c r="B23" s="9">
        <f>'A1.4 Recipient'!B13</f>
        <v>0</v>
      </c>
      <c r="C23" s="9"/>
      <c r="E23" s="14" t="str">
        <f t="shared" ref="E23:E26" si="2">IF(B23=0,"*  -&gt; ##34###34#",CONCATENATE("* ",B23," -&gt; ##34#",C23,"##34#"))</f>
        <v>*  -&gt; ##34###34#</v>
      </c>
      <c r="G23" s="1"/>
      <c r="H23" s="10"/>
      <c r="I23" s="10"/>
      <c r="J23" s="10"/>
      <c r="K23" s="10"/>
      <c r="L23" s="10"/>
      <c r="M23" s="10"/>
      <c r="N23" s="10"/>
      <c r="O23" s="10"/>
    </row>
    <row r="24" spans="1:15" x14ac:dyDescent="0.75">
      <c r="A24" s="9"/>
      <c r="B24" s="9"/>
      <c r="C24" s="9"/>
      <c r="E24" s="14" t="str">
        <f t="shared" si="2"/>
        <v>*  -&gt; ##34###34#</v>
      </c>
      <c r="G24" s="1"/>
      <c r="H24" s="10"/>
      <c r="I24" s="10"/>
      <c r="J24" s="10"/>
      <c r="K24" s="10"/>
      <c r="L24" s="10"/>
      <c r="M24" s="10"/>
      <c r="N24" s="10"/>
      <c r="O24" s="10"/>
    </row>
    <row r="25" spans="1:15" x14ac:dyDescent="0.75">
      <c r="A25" s="9"/>
      <c r="B25" s="9"/>
      <c r="C25" s="9"/>
      <c r="E25" s="14" t="str">
        <f t="shared" si="2"/>
        <v>*  -&gt; ##34###34#</v>
      </c>
      <c r="G25" s="1"/>
    </row>
    <row r="26" spans="1:15" x14ac:dyDescent="0.75">
      <c r="A26" s="9"/>
      <c r="B26" s="9"/>
      <c r="C26" s="9"/>
      <c r="E26" s="14" t="str">
        <f t="shared" si="2"/>
        <v>*  -&gt; ##34###34#</v>
      </c>
      <c r="G26" s="1"/>
    </row>
    <row r="27" spans="1:15" x14ac:dyDescent="0.75">
      <c r="A27" s="9"/>
      <c r="B27" s="9"/>
      <c r="C27" s="9"/>
      <c r="E27" s="14"/>
    </row>
    <row r="28" spans="1:15" x14ac:dyDescent="0.75">
      <c r="A28" s="9"/>
      <c r="B28" s="9"/>
      <c r="C28" s="14"/>
      <c r="E28" s="14"/>
    </row>
    <row r="29" spans="1:15" x14ac:dyDescent="0.75">
      <c r="B29" s="9"/>
      <c r="E29" s="14"/>
    </row>
    <row r="30" spans="1:15" x14ac:dyDescent="0.75">
      <c r="B30" s="9"/>
      <c r="E30" s="14"/>
    </row>
    <row r="31" spans="1:15" x14ac:dyDescent="0.75">
      <c r="E31" s="14"/>
    </row>
    <row r="32" spans="1:15" x14ac:dyDescent="0.75">
      <c r="E32" s="22"/>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28E98F-B3D5-48B3-B87F-32B29384DA97}">
  <sheetPr codeName="Foglio9">
    <tabColor theme="8" tint="-0.249977111117893"/>
  </sheetPr>
  <dimension ref="C1:G53"/>
  <sheetViews>
    <sheetView workbookViewId="0"/>
  </sheetViews>
  <sheetFormatPr defaultRowHeight="14.75" x14ac:dyDescent="0.75"/>
  <cols>
    <col min="3" max="3" width="108.2265625" style="14" customWidth="1"/>
    <col min="4" max="4" width="5.26953125" customWidth="1"/>
    <col min="5" max="5" width="4.81640625" customWidth="1"/>
    <col min="7" max="7" width="37.08984375" customWidth="1"/>
  </cols>
  <sheetData>
    <row r="1" spans="3:7" ht="15.5" thickBot="1" x14ac:dyDescent="0.9">
      <c r="C1" s="32" t="str">
        <f>'A1.4 Recipient'!I1</f>
        <v>// -------------------------------------------------------------------------------</v>
      </c>
    </row>
    <row r="2" spans="3:7" ht="16.75" thickBot="1" x14ac:dyDescent="0.9">
      <c r="C2" s="33" t="str">
        <f>'A1.4 Recipient'!I2</f>
        <v>//  Logical Model</v>
      </c>
      <c r="G2" s="56" t="s">
        <v>373</v>
      </c>
    </row>
    <row r="3" spans="3:7" x14ac:dyDescent="0.75">
      <c r="C3" s="33" t="str">
        <f>'A1.4 Recipient'!I3</f>
        <v>// -------------------------------------------------------------------------------</v>
      </c>
    </row>
    <row r="4" spans="3:7" x14ac:dyDescent="0.75">
      <c r="C4" s="25" t="str">
        <f>'A1.4 Recipient'!I4</f>
        <v>Logical: RecipientLabEhn</v>
      </c>
    </row>
    <row r="5" spans="3:7" x14ac:dyDescent="0.75">
      <c r="C5" s="25" t="str">
        <f>'A1.4 Recipient'!I5</f>
        <v>Id: Recipient</v>
      </c>
    </row>
    <row r="6" spans="3:7" x14ac:dyDescent="0.75">
      <c r="C6" s="25" t="str">
        <f>'A1.4 Recipient'!I6</f>
        <v>Title: ##34#Information recipient (A.1.4)##34#</v>
      </c>
    </row>
    <row r="7" spans="3:7" ht="29.5" x14ac:dyDescent="0.75">
      <c r="C7" s="25" t="str">
        <f>'A1.4 Recipient'!I7</f>
        <v>Description:  ##334#A.1.4 Information recipient (intended recipient or recipients of the report, additional recipients might be identified by the ordering party, e.g. GP, other specialist), if applicable##334#</v>
      </c>
    </row>
    <row r="8" spans="3:7" ht="59" x14ac:dyDescent="0.75">
      <c r="C8" s="14" t="str">
        <f>IF('A1.4 Recipient'!I8="*  ..  ##34###34# ##334###334#","//--- END",'A1.4 Recipient'!I8)</f>
        <v>* identifier 0..1 Identifier ##34#A.1.4.1 Recipient identifier##34# ##334#The health professional identification number.
Either an internal identifier assigned by a healthcare provider institution or (preferably) a national health professional ID such as the license or registration number.
In case when recipient is not a health professional, e.g. patient, appropriate personal identifier should be used.##334#</v>
      </c>
    </row>
    <row r="9" spans="3:7" x14ac:dyDescent="0.75">
      <c r="C9" s="14" t="str">
        <f>IF('A1.4 Recipient'!I9="*  ..  ##34###34# ##334###334#","//--- END",'A1.4 Recipient'!I9)</f>
        <v>* name 0..* HumanName ##34#A.1.4.2 Recipient name##34# ##334#Person name.##334#</v>
      </c>
    </row>
    <row r="10" spans="3:7" ht="29.5" x14ac:dyDescent="0.75">
      <c r="C10" s="14" t="str">
        <f>IF('A1.4 Recipient'!I10="*  ..  ##34###34# ##334###334#","//--- END",'A1.4 Recipient'!I10)</f>
        <v>* organization 0..* Organization ##34#A.1.4.3 Recipient organization##34# ##334#The healthcare provider organization information.##334#</v>
      </c>
      <c r="E10" t="s">
        <v>307</v>
      </c>
    </row>
    <row r="11" spans="3:7" x14ac:dyDescent="0.75">
      <c r="C11" s="14" t="str">
        <f>IF('A1.4 Recipient'!I11="*  ..  ##34###34# ##334###334#","//--- END",'A1.4 Recipient'!I11)</f>
        <v>//--- END</v>
      </c>
    </row>
    <row r="12" spans="3:7" x14ac:dyDescent="0.75">
      <c r="C12" s="14" t="str">
        <f>IF('A1.4 Recipient'!I12="*  ..  ##34###34# ##334###334#","//--- END",'A1.4 Recipient'!I12)</f>
        <v>//--- END</v>
      </c>
    </row>
    <row r="13" spans="3:7" x14ac:dyDescent="0.75">
      <c r="C13" s="14" t="str">
        <f>IF('A1.4 Recipient'!I13="*  ..  ##34###34# ##334###334#","//--- END",'A1.4 Recipient'!I13)</f>
        <v>//--- END</v>
      </c>
    </row>
    <row r="14" spans="3:7" x14ac:dyDescent="0.75">
      <c r="C14" s="14" t="str">
        <f>IF('A1.4 Recipient'!I14="*  ..  ##34###34# ##334###334#","//--- END",'A1.4 Recipient'!I14)</f>
        <v>//--- END</v>
      </c>
    </row>
    <row r="30" spans="3:3" x14ac:dyDescent="0.75">
      <c r="C30" s="32" t="str">
        <f>'Recipient-Map-1'!E1</f>
        <v>// -------------------------------------------------------------------------------</v>
      </c>
    </row>
    <row r="31" spans="3:3" x14ac:dyDescent="0.75">
      <c r="C31" s="33" t="str">
        <f>'Recipient-Map-1'!E2</f>
        <v>//  Map to FHIR R4</v>
      </c>
    </row>
    <row r="32" spans="3:3" x14ac:dyDescent="0.75">
      <c r="C32" s="33" t="str">
        <f>'Recipient-Map-1'!E3</f>
        <v>// -------------------------------------------------------------------------------</v>
      </c>
    </row>
    <row r="33" spans="3:7" x14ac:dyDescent="0.75">
      <c r="C33" s="14" t="str">
        <f>'Recipient-Map-1'!E4</f>
        <v>Mapping: eHNLabRecipient2Fhir</v>
      </c>
    </row>
    <row r="34" spans="3:7" x14ac:dyDescent="0.75">
      <c r="C34" s="14" t="str">
        <f>'Recipient-Map-1'!E5</f>
        <v>Id: fhir</v>
      </c>
    </row>
    <row r="35" spans="3:7" x14ac:dyDescent="0.75">
      <c r="C35" s="14" t="str">
        <f>'Recipient-Map-1'!E6</f>
        <v>Title: ##34#eHN Lab Recipient model to FHIR R4 Map##34#</v>
      </c>
    </row>
    <row r="36" spans="3:7" x14ac:dyDescent="0.75">
      <c r="C36" s="14" t="str">
        <f>'Recipient-Map-1'!E7</f>
        <v>Source: Recipient</v>
      </c>
    </row>
    <row r="37" spans="3:7" x14ac:dyDescent="0.75">
      <c r="C37" s="14" t="str">
        <f>'Recipient-Map-1'!E8</f>
        <v>Target: ##34#hl7.org/fhir/r4##34#</v>
      </c>
    </row>
    <row r="39" spans="3:7" x14ac:dyDescent="0.75">
      <c r="C39" s="14" t="str">
        <f>IF('Recipient-Map-1'!E9="*  -&gt; ##34###34#","// --END",'Recipient-Map-1'!E9)</f>
        <v>* -&gt; ##34#Organization##34#</v>
      </c>
    </row>
    <row r="40" spans="3:7" x14ac:dyDescent="0.75">
      <c r="C40" s="14" t="str">
        <f>IF('Recipient-Map-1'!E10="*  -&gt; ##34###34#","// --END",'Recipient-Map-1'!E10)</f>
        <v>* -&gt; ##34#PractictionerRole##34#</v>
      </c>
    </row>
    <row r="41" spans="3:7" x14ac:dyDescent="0.75">
      <c r="C41" s="14" t="str">
        <f>IF('Recipient-Map-1'!E11="*  -&gt; ##34###34#","// --END",'Recipient-Map-1'!E11)</f>
        <v>* -&gt; ##34#Practictioner##34#</v>
      </c>
    </row>
    <row r="42" spans="3:7" x14ac:dyDescent="0.75">
      <c r="C42" s="14" t="str">
        <f>IF('Recipient-Map-1'!E12="*  -&gt; ##34###34#","// --END",'Recipient-Map-1'!E12)</f>
        <v>* -&gt; ##34#Patient##34#</v>
      </c>
    </row>
    <row r="43" spans="3:7" x14ac:dyDescent="0.75">
      <c r="C43" s="14" t="str">
        <f>IF('Recipient-Map-1'!E13="*  -&gt; ##34###34#","// --END",'Recipient-Map-1'!E13)</f>
        <v>* -&gt; ##34#RelatedPerson##34#</v>
      </c>
    </row>
    <row r="44" spans="3:7" x14ac:dyDescent="0.75">
      <c r="C44" s="14" t="str">
        <f>IF('Recipient-Map-1'!E14="*  -&gt; ##34###34#","// --END",'Recipient-Map-1'!E14)</f>
        <v>* identifier -&gt; ##34#.identifier##34#</v>
      </c>
    </row>
    <row r="45" spans="3:7" x14ac:dyDescent="0.75">
      <c r="C45" s="14" t="str">
        <f>IF('Recipient-Map-1'!E15="*  -&gt; ##34###34#","// --END",'Recipient-Map-1'!E15)</f>
        <v>* name -&gt; ##34#Organization.name##34#</v>
      </c>
    </row>
    <row r="46" spans="3:7" x14ac:dyDescent="0.75">
      <c r="C46" s="14" t="str">
        <f>IF('Recipient-Map-1'!E16="*  -&gt; ##34###34#","// --END",'Recipient-Map-1'!E16)</f>
        <v>* name -&gt; ##34#PractictionerRole.practitioner.resolve().name##34#</v>
      </c>
    </row>
    <row r="47" spans="3:7" x14ac:dyDescent="0.75">
      <c r="C47" s="14" t="str">
        <f>IF('Recipient-Map-1'!E17="*  -&gt; ##34###34#","// --END",'Recipient-Map-1'!E17)</f>
        <v>* name -&gt; ##34#Practictioner.name##34#</v>
      </c>
    </row>
    <row r="48" spans="3:7" x14ac:dyDescent="0.75">
      <c r="C48" s="14" t="str">
        <f>IF('Recipient-Map-1'!E18="*  -&gt; ##34###34#","// --END",'Recipient-Map-1'!E18)</f>
        <v>* name -&gt; ##34#Patientn.name##34#</v>
      </c>
      <c r="G48" s="10"/>
    </row>
    <row r="49" spans="3:3" x14ac:dyDescent="0.75">
      <c r="C49" s="14" t="str">
        <f>IF('Recipient-Map-1'!E19="*  -&gt; ##34###34#","// --END",'Recipient-Map-1'!E19)</f>
        <v>* name -&gt; ##34#RelatedPerson.name##34#</v>
      </c>
    </row>
    <row r="50" spans="3:3" x14ac:dyDescent="0.75">
      <c r="C50" s="14" t="str">
        <f>IF('Recipient-Map-1'!E20="*  -&gt; ##34###34#","// --END",'Recipient-Map-1'!E20)</f>
        <v>* organization -&gt; ##34#PractictionerRole.organization.resolve()##34#</v>
      </c>
    </row>
    <row r="51" spans="3:3" x14ac:dyDescent="0.75">
      <c r="C51" s="14" t="str">
        <f>IF('Recipient-Map-1'!E21="*  -&gt; ##34###34#","// --END",'Recipient-Map-1'!E21)</f>
        <v>// --END</v>
      </c>
    </row>
    <row r="52" spans="3:3" x14ac:dyDescent="0.75">
      <c r="C52" s="14" t="str">
        <f>IF('Recipient-Map-1'!E22="*  -&gt; ##34###34#","// --END",'Recipient-Map-1'!E22)</f>
        <v>// --END</v>
      </c>
    </row>
    <row r="53" spans="3:3" x14ac:dyDescent="0.75">
      <c r="C53" s="14" t="str">
        <f>IF('Recipient-Map-1'!E23="*  -&gt; ##34###34#","// --END",'Recipient-Map-1'!E23)</f>
        <v>// --END</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0177" r:id="rId3" name="Button 1">
              <controlPr defaultSize="0" print="0" autoFill="0" autoPict="0" macro="[0]!export">
                <anchor moveWithCells="1">
                  <from>
                    <xdr:col>4</xdr:col>
                    <xdr:colOff>222250</xdr:colOff>
                    <xdr:row>0</xdr:row>
                    <xdr:rowOff>171450</xdr:rowOff>
                  </from>
                  <to>
                    <xdr:col>5</xdr:col>
                    <xdr:colOff>558800</xdr:colOff>
                    <xdr:row>2</xdr:row>
                    <xdr:rowOff>44450</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761312-9419-433B-9F2C-CCA153C87E07}">
  <sheetPr codeName="Foglio49">
    <tabColor theme="0" tint="-0.499984740745262"/>
  </sheetPr>
  <dimension ref="A2:T190"/>
  <sheetViews>
    <sheetView topLeftCell="F1" workbookViewId="0">
      <selection activeCell="K15" sqref="K15:K18"/>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73" t="s">
        <v>34</v>
      </c>
      <c r="C3" s="54" t="s">
        <v>784</v>
      </c>
      <c r="D3" s="73" t="s">
        <v>688</v>
      </c>
      <c r="E3" s="112" t="s">
        <v>739</v>
      </c>
      <c r="F3" s="111"/>
      <c r="G3" s="111"/>
    </row>
    <row r="4" spans="1:19" x14ac:dyDescent="0.75">
      <c r="B4" s="73" t="s">
        <v>19</v>
      </c>
      <c r="C4" s="54" t="s">
        <v>737</v>
      </c>
      <c r="D4" s="73" t="s">
        <v>689</v>
      </c>
      <c r="E4" s="84" t="s">
        <v>742</v>
      </c>
    </row>
    <row r="5" spans="1:19" x14ac:dyDescent="0.75">
      <c r="B5" s="73" t="s">
        <v>13</v>
      </c>
      <c r="C5" s="10" t="s">
        <v>738</v>
      </c>
      <c r="D5" s="73"/>
      <c r="E5" s="10"/>
    </row>
    <row r="6" spans="1:19" x14ac:dyDescent="0.75">
      <c r="B6" s="73" t="s">
        <v>35</v>
      </c>
      <c r="C6" s="72" t="s">
        <v>739</v>
      </c>
      <c r="D6" s="73" t="s">
        <v>685</v>
      </c>
      <c r="E6" s="112" t="s">
        <v>739</v>
      </c>
      <c r="F6" s="111"/>
      <c r="G6" s="111"/>
    </row>
    <row r="7" spans="1:19" x14ac:dyDescent="0.75">
      <c r="B7" s="73" t="s">
        <v>18</v>
      </c>
      <c r="C7" s="80" t="s">
        <v>681</v>
      </c>
      <c r="D7" s="73" t="s">
        <v>686</v>
      </c>
      <c r="E7" s="112" t="s">
        <v>742</v>
      </c>
      <c r="F7" s="111"/>
      <c r="G7" s="111"/>
    </row>
    <row r="8" spans="1:19" ht="44.25" x14ac:dyDescent="0.75">
      <c r="B8" s="73" t="s">
        <v>679</v>
      </c>
      <c r="C8" s="10" t="s">
        <v>740</v>
      </c>
      <c r="D8" s="73"/>
      <c r="E8"/>
      <c r="I8" s="14" t="s">
        <v>647</v>
      </c>
      <c r="J8" s="14" t="s">
        <v>648</v>
      </c>
      <c r="K8" s="14" t="s">
        <v>649</v>
      </c>
      <c r="L8" s="14" t="s">
        <v>650</v>
      </c>
      <c r="M8" s="9" t="s">
        <v>651</v>
      </c>
      <c r="P8" s="69" t="s">
        <v>652</v>
      </c>
      <c r="Q8" s="69">
        <v>6</v>
      </c>
    </row>
    <row r="9" spans="1:19" ht="29.5" x14ac:dyDescent="0.75">
      <c r="B9" s="73" t="s">
        <v>680</v>
      </c>
      <c r="C9" s="1" t="s">
        <v>741</v>
      </c>
      <c r="D9" s="73"/>
      <c r="E9"/>
      <c r="I9" s="14"/>
      <c r="J9" s="9"/>
      <c r="K9" s="9"/>
      <c r="L9" s="9"/>
      <c r="M9" s="9"/>
    </row>
    <row r="10" spans="1:19" x14ac:dyDescent="0.75">
      <c r="B10" s="73"/>
      <c r="D10" s="73"/>
      <c r="E10"/>
      <c r="I10" s="14"/>
      <c r="J10" s="9"/>
      <c r="K10" s="9"/>
      <c r="L10" s="9"/>
      <c r="M10" s="9"/>
    </row>
    <row r="11" spans="1:19" x14ac:dyDescent="0.75">
      <c r="E11" s="10"/>
      <c r="I11" s="25" t="s">
        <v>653</v>
      </c>
      <c r="J11" s="70" t="s">
        <v>654</v>
      </c>
      <c r="K11" s="25" t="s">
        <v>655</v>
      </c>
      <c r="L11" s="70" t="s">
        <v>656</v>
      </c>
      <c r="M11" s="71" t="s">
        <v>657</v>
      </c>
      <c r="N11" s="74" t="s">
        <v>644</v>
      </c>
    </row>
    <row r="12" spans="1:19" x14ac:dyDescent="0.75">
      <c r="E12" s="72"/>
      <c r="I12" s="14"/>
      <c r="J12" s="9"/>
      <c r="K12" s="9"/>
      <c r="L12" s="9"/>
      <c r="M12" s="9"/>
    </row>
    <row r="13" spans="1:19" x14ac:dyDescent="0.75">
      <c r="D13" s="14"/>
      <c r="E13" s="9"/>
      <c r="F13" s="71" t="s">
        <v>657</v>
      </c>
      <c r="G13" s="74" t="s">
        <v>644</v>
      </c>
      <c r="H13" s="74"/>
      <c r="I13" s="14"/>
      <c r="J13" s="9"/>
      <c r="K13" s="71"/>
      <c r="L13" s="71"/>
      <c r="M13" s="71"/>
      <c r="N13" s="74"/>
    </row>
    <row r="14" spans="1:19" ht="29.5" x14ac:dyDescent="0.75">
      <c r="A14" s="23"/>
      <c r="B14" s="8" t="str">
        <f>'A1.4 Recipient'!B5</f>
        <v>Recipient</v>
      </c>
      <c r="C14" s="9"/>
      <c r="D14" s="85" t="s">
        <v>743</v>
      </c>
      <c r="E14" s="8"/>
      <c r="F14" s="9"/>
      <c r="G14" s="9"/>
      <c r="I14" s="14"/>
      <c r="J14" s="9"/>
      <c r="K14" s="9"/>
      <c r="L14" s="9"/>
      <c r="M14" s="71"/>
      <c r="N14" s="74"/>
    </row>
    <row r="15" spans="1:19" ht="73.75" x14ac:dyDescent="0.75">
      <c r="A15" s="23"/>
      <c r="B15" s="9" t="str">
        <f>'A1.4 Recipient'!B8</f>
        <v>identifier</v>
      </c>
      <c r="C15" s="9" t="str">
        <f>'A1.4 Recipient'!C8</f>
        <v>A.1.4.1 Recipient identifier</v>
      </c>
      <c r="D15" s="14" t="s">
        <v>367</v>
      </c>
      <c r="E15" s="62"/>
      <c r="F15" s="75" t="s">
        <v>658</v>
      </c>
      <c r="G15" s="75"/>
      <c r="H15" s="76"/>
      <c r="I15" s="14" t="str">
        <f>"* group[=].element[+].code = #"&amp;$B$14&amp;"."&amp;B15</f>
        <v>* group[=].element[+].code = #Recipient.identifier</v>
      </c>
      <c r="J15" s="14" t="str">
        <f t="shared" ref="J15" si="0">"* group[=].element[=].display = ##34#"&amp;C15&amp;"##34#"</f>
        <v>* group[=].element[=].display = ##34#A.1.4.1 Recipient identifier##34#</v>
      </c>
      <c r="K15" s="14" t="str">
        <f>IF(F15="unmatched","//-- unmatched",IF(D15="","* group[=].element[=].target.code = #"&amp;$D$14,"* group[=].element[=].target.code = #"&amp;$D$14&amp;"."&amp;D15))</f>
        <v>* group[=].element[=].target.code = #http://hl7.eu/fhir/StructureDefinition/information-recipient.resolve().identifier</v>
      </c>
      <c r="L15" s="14" t="str">
        <f t="shared" ref="L15" si="1">IF(F15="unmatched","//-- unmatched","* group[=].element[=].target.display = ##34#"&amp;E15&amp;"##34#")</f>
        <v>* group[=].element[=].target.display = ##34###34#</v>
      </c>
      <c r="M15" s="14" t="str">
        <f t="shared" ref="M15" si="2">"* group[=].element[=].target.equivalence = #"&amp;F15</f>
        <v>* group[=].element[=].target.equivalence = #equivalent</v>
      </c>
      <c r="N15" s="4" t="str">
        <f t="shared" ref="N15" si="3">IF(G15&lt;&gt;"",CONCATENATE("* group[=].element[=].target.comment = ","##34#",G15,"##34#"),"")</f>
        <v/>
      </c>
      <c r="P15" s="9">
        <v>1</v>
      </c>
      <c r="Q15" s="9">
        <f>IF(MOD(P15,$Q$8)=0,P15/$Q$8-1,INT(P15/$Q$8))</f>
        <v>0</v>
      </c>
      <c r="R15" s="9">
        <f>IF(MOD(P15,$Q$8)=0,$Q$8,MOD(P15,$Q$8))</f>
        <v>1</v>
      </c>
      <c r="S15" s="14" t="str" cm="1">
        <f t="array" ref="S15">INDEX('Recipient-ConceptMap-1'!$I$15:$N$270,Q15+1,R15)</f>
        <v>* group[=].element[+].code = #Recipient.identifier</v>
      </c>
    </row>
    <row r="16" spans="1:19" ht="88.5" x14ac:dyDescent="0.75">
      <c r="A16" s="23"/>
      <c r="B16" s="9" t="str">
        <f>'A1.4 Recipient'!$B$9</f>
        <v>name</v>
      </c>
      <c r="C16" s="9" t="str">
        <f>'A1.4 Recipient'!$C$9</f>
        <v>A.1.4.2 Recipient name</v>
      </c>
      <c r="D16" s="14" t="s">
        <v>368</v>
      </c>
      <c r="E16" s="62"/>
      <c r="F16" s="75" t="s">
        <v>658</v>
      </c>
      <c r="G16" s="75"/>
      <c r="H16" s="76"/>
      <c r="I16" s="14" t="str">
        <f t="shared" ref="I16:I18" si="4">"* group[=].element[+].code = #"&amp;$B$14&amp;"."&amp;B16</f>
        <v>* group[=].element[+].code = #Recipient.name</v>
      </c>
      <c r="J16" s="14" t="str">
        <f t="shared" ref="J16:J18" si="5">"* group[=].element[=].display = ##34#"&amp;C16&amp;"##34#"</f>
        <v>* group[=].element[=].display = ##34#A.1.4.2 Recipient name##34#</v>
      </c>
      <c r="K16" s="14" t="str">
        <f t="shared" ref="K16:K18" si="6">IF(F16="unmatched","//-- unmatched",IF(D16="","* group[=].element[=].target.code = #"&amp;$D$14,"* group[=].element[=].target.code = #"&amp;$D$14&amp;"."&amp;D16))</f>
        <v>* group[=].element[=].target.code = #http://hl7.eu/fhir/StructureDefinition/information-recipient.resolve().name</v>
      </c>
      <c r="L16" s="14" t="str">
        <f t="shared" ref="L16:L18" si="7">IF(F16="unmatched","//-- unmatched","* group[=].element[=].target.display = ##34#"&amp;E16&amp;"##34#")</f>
        <v>* group[=].element[=].target.display = ##34###34#</v>
      </c>
      <c r="M16" s="14" t="str">
        <f t="shared" ref="M16:M18" si="8">"* group[=].element[=].target.equivalence = #"&amp;F16</f>
        <v>* group[=].element[=].target.equivalence = #equivalent</v>
      </c>
      <c r="N16" s="4" t="str">
        <f t="shared" ref="N16:N18" si="9">IF(G16&lt;&gt;"",CONCATENATE("* group[=].element[=].target.comment = ","##34#",G16,"##34#"),"")</f>
        <v/>
      </c>
      <c r="P16" s="9">
        <v>2</v>
      </c>
      <c r="Q16" s="9">
        <f t="shared" ref="Q16:Q55" si="10">IF(MOD(P16,$Q$8)=0,P16/$Q$8-1,INT(P16/$Q$8))</f>
        <v>0</v>
      </c>
      <c r="R16" s="9">
        <f t="shared" ref="R16:R55" si="11">IF(MOD(P16,$Q$8)=0,$Q$8,MOD(P16,$Q$8))</f>
        <v>2</v>
      </c>
      <c r="S16" s="14" t="str" cm="1">
        <f t="array" ref="S16">INDEX('Recipient-ConceptMap-1'!$I$15:$N$270,Q16+1,R16)</f>
        <v>* group[=].element[=].display = ##34#A.1.4.1 Recipient identifier##34#</v>
      </c>
    </row>
    <row r="17" spans="1:19" ht="103.25" x14ac:dyDescent="0.75">
      <c r="A17" s="23"/>
      <c r="B17" s="9" t="str">
        <f>'A1.4 Recipient'!B10</f>
        <v>organization</v>
      </c>
      <c r="C17" s="9" t="str">
        <f>'A1.4 Recipient'!C10</f>
        <v>A.1.4.3 Recipient organization</v>
      </c>
      <c r="D17" s="9" t="s">
        <v>744</v>
      </c>
      <c r="E17" s="9"/>
      <c r="F17" s="75" t="s">
        <v>658</v>
      </c>
      <c r="G17" s="75" t="s">
        <v>746</v>
      </c>
      <c r="H17" s="76"/>
      <c r="I17" s="14" t="str">
        <f t="shared" si="4"/>
        <v>* group[=].element[+].code = #Recipient.organization</v>
      </c>
      <c r="J17" s="14" t="str">
        <f t="shared" si="5"/>
        <v>* group[=].element[=].display = ##34#A.1.4.3 Recipient organization##34#</v>
      </c>
      <c r="K17" s="14" t="str">
        <f t="shared" si="6"/>
        <v>* group[=].element[=].target.code = #http://hl7.eu/fhir/StructureDefinition/information-recipient.resolve().ofType(Organization)</v>
      </c>
      <c r="L17" s="14" t="str">
        <f t="shared" si="7"/>
        <v>* group[=].element[=].target.display = ##34###34#</v>
      </c>
      <c r="M17" s="14" t="str">
        <f t="shared" si="8"/>
        <v>* group[=].element[=].target.equivalence = #equivalent</v>
      </c>
      <c r="N17" s="4" t="str">
        <f t="shared" si="9"/>
        <v>* group[=].element[=].target.comment = ##34#if the recipient is the organization##34#</v>
      </c>
      <c r="P17" s="9">
        <v>3</v>
      </c>
      <c r="Q17" s="9">
        <f t="shared" si="10"/>
        <v>0</v>
      </c>
      <c r="R17" s="9">
        <f t="shared" si="11"/>
        <v>3</v>
      </c>
      <c r="S17" s="14" t="str" cm="1">
        <f t="array" ref="S17">INDEX('Recipient-ConceptMap-1'!$I$15:$N$270,Q17+1,R17)</f>
        <v>* group[=].element[=].target.code = #http://hl7.eu/fhir/StructureDefinition/information-recipient.resolve().identifier</v>
      </c>
    </row>
    <row r="18" spans="1:19" ht="103.25" x14ac:dyDescent="0.75">
      <c r="A18" s="23"/>
      <c r="B18" s="9" t="str">
        <f>'A1.4 Recipient'!B10</f>
        <v>organization</v>
      </c>
      <c r="C18" s="9" t="str">
        <f>'A1.4 Recipient'!C10</f>
        <v>A.1.4.3 Recipient organization</v>
      </c>
      <c r="D18" s="9" t="s">
        <v>745</v>
      </c>
      <c r="E18" s="9"/>
      <c r="F18" s="75" t="s">
        <v>658</v>
      </c>
      <c r="G18" s="75" t="s">
        <v>747</v>
      </c>
      <c r="H18" s="76"/>
      <c r="I18" s="14" t="str">
        <f t="shared" si="4"/>
        <v>* group[=].element[+].code = #Recipient.organization</v>
      </c>
      <c r="J18" s="14" t="str">
        <f t="shared" si="5"/>
        <v>* group[=].element[=].display = ##34#A.1.4.3 Recipient organization##34#</v>
      </c>
      <c r="K18" s="14" t="str">
        <f t="shared" si="6"/>
        <v>* group[=].element[=].target.code = #http://hl7.eu/fhir/StructureDefinition/information-recipient.resolve().ofType(PractionerRole).,organization</v>
      </c>
      <c r="L18" s="14" t="str">
        <f t="shared" si="7"/>
        <v>* group[=].element[=].target.display = ##34###34#</v>
      </c>
      <c r="M18" s="14" t="str">
        <f t="shared" si="8"/>
        <v>* group[=].element[=].target.equivalence = #equivalent</v>
      </c>
      <c r="N18" s="4" t="str">
        <f t="shared" si="9"/>
        <v>* group[=].element[=].target.comment = ##34#If it is the organization the professional belong to##34#</v>
      </c>
      <c r="P18" s="9">
        <v>4</v>
      </c>
      <c r="Q18" s="9">
        <f t="shared" si="10"/>
        <v>0</v>
      </c>
      <c r="R18" s="9">
        <f t="shared" si="11"/>
        <v>4</v>
      </c>
      <c r="S18" s="14" t="str" cm="1">
        <f t="array" ref="S18">INDEX('Recipient-ConceptMap-1'!$I$15:$N$270,Q18+1,R18)</f>
        <v>* group[=].element[=].target.display = ##34###34#</v>
      </c>
    </row>
    <row r="19" spans="1:19" x14ac:dyDescent="0.75">
      <c r="A19" s="23"/>
      <c r="B19" s="9"/>
      <c r="C19" s="9"/>
      <c r="D19" s="9"/>
      <c r="E19" s="9"/>
      <c r="F19" s="75"/>
      <c r="G19" s="75"/>
      <c r="H19" s="76"/>
      <c r="I19" s="14"/>
      <c r="J19" s="14"/>
      <c r="K19" s="14"/>
      <c r="L19" s="14"/>
      <c r="M19" s="14"/>
      <c r="N19" s="4"/>
      <c r="P19" s="9">
        <v>5</v>
      </c>
      <c r="Q19" s="9">
        <f t="shared" si="10"/>
        <v>0</v>
      </c>
      <c r="R19" s="9">
        <f t="shared" si="11"/>
        <v>5</v>
      </c>
      <c r="S19" s="14" t="str" cm="1">
        <f t="array" ref="S19">INDEX('Recipient-ConceptMap-1'!$I$15:$N$270,Q19+1,R19)</f>
        <v>* group[=].element[=].target.equivalence = #equivalent</v>
      </c>
    </row>
    <row r="20" spans="1:19" x14ac:dyDescent="0.75">
      <c r="A20" s="23"/>
      <c r="B20" s="9"/>
      <c r="C20" s="9"/>
      <c r="D20" s="9"/>
      <c r="E20" s="9"/>
      <c r="F20" s="75"/>
      <c r="G20" s="75"/>
      <c r="H20" s="76"/>
      <c r="I20" s="14"/>
      <c r="J20" s="14"/>
      <c r="K20" s="14"/>
      <c r="L20" s="14"/>
      <c r="M20" s="14"/>
      <c r="N20" s="4"/>
      <c r="P20" s="9">
        <v>6</v>
      </c>
      <c r="Q20" s="9">
        <f t="shared" si="10"/>
        <v>0</v>
      </c>
      <c r="R20" s="9">
        <f t="shared" si="11"/>
        <v>6</v>
      </c>
      <c r="S20" s="14" t="str" cm="1">
        <f t="array" ref="S20">INDEX('Recipient-ConceptMap-1'!$I$15:$N$270,Q20+1,R20)</f>
        <v/>
      </c>
    </row>
    <row r="21" spans="1:19" x14ac:dyDescent="0.75">
      <c r="A21" s="23"/>
      <c r="B21" s="9"/>
      <c r="C21" s="9"/>
      <c r="D21" s="9"/>
      <c r="E21" s="9"/>
      <c r="F21" s="75" t="s">
        <v>658</v>
      </c>
      <c r="G21" s="75"/>
      <c r="H21" s="76"/>
      <c r="I21" s="14"/>
      <c r="J21" s="14"/>
      <c r="K21" s="14"/>
      <c r="L21" s="14"/>
      <c r="M21" s="14"/>
      <c r="N21" s="4"/>
      <c r="P21" s="9">
        <v>7</v>
      </c>
      <c r="Q21" s="9">
        <f t="shared" si="10"/>
        <v>1</v>
      </c>
      <c r="R21" s="9">
        <f t="shared" si="11"/>
        <v>1</v>
      </c>
      <c r="S21" s="14" t="str" cm="1">
        <f t="array" ref="S21">INDEX('Recipient-ConceptMap-1'!$I$15:$N$270,Q21+1,R21)</f>
        <v>* group[=].element[+].code = #Recipient.name</v>
      </c>
    </row>
    <row r="22" spans="1:19" x14ac:dyDescent="0.75">
      <c r="A22" s="23"/>
      <c r="B22" s="9"/>
      <c r="C22" s="9"/>
      <c r="D22" s="53"/>
      <c r="E22" s="9"/>
      <c r="F22" s="75"/>
      <c r="G22" s="75"/>
      <c r="H22" s="76"/>
      <c r="I22" s="14"/>
      <c r="J22" s="14"/>
      <c r="K22" s="14"/>
      <c r="L22" s="14"/>
      <c r="M22" s="14"/>
      <c r="N22" s="4"/>
      <c r="P22" s="9">
        <v>8</v>
      </c>
      <c r="Q22" s="9">
        <f t="shared" si="10"/>
        <v>1</v>
      </c>
      <c r="R22" s="9">
        <f t="shared" si="11"/>
        <v>2</v>
      </c>
      <c r="S22" s="14" t="str" cm="1">
        <f t="array" ref="S22">INDEX('Recipient-ConceptMap-1'!$I$15:$N$270,Q22+1,R22)</f>
        <v>* group[=].element[=].display = ##34#A.1.4.2 Recipient name##34#</v>
      </c>
    </row>
    <row r="23" spans="1:19" ht="29.5" x14ac:dyDescent="0.75">
      <c r="A23" s="23"/>
      <c r="B23" s="9"/>
      <c r="C23" s="9"/>
      <c r="D23" s="9"/>
      <c r="E23" s="14"/>
      <c r="F23" s="75"/>
      <c r="G23" s="75"/>
      <c r="H23" s="76"/>
      <c r="I23" s="14"/>
      <c r="J23" s="14"/>
      <c r="K23" s="14"/>
      <c r="L23" s="14"/>
      <c r="M23" s="14"/>
      <c r="N23" s="4"/>
      <c r="P23" s="9">
        <v>9</v>
      </c>
      <c r="Q23" s="9">
        <f t="shared" si="10"/>
        <v>1</v>
      </c>
      <c r="R23" s="9">
        <f t="shared" si="11"/>
        <v>3</v>
      </c>
      <c r="S23" s="14" t="str" cm="1">
        <f t="array" ref="S23">INDEX('Recipient-ConceptMap-1'!$I$15:$N$270,Q23+1,R23)</f>
        <v>* group[=].element[=].target.code = #http://hl7.eu/fhir/StructureDefinition/information-recipient.resolve().name</v>
      </c>
    </row>
    <row r="24" spans="1:19" x14ac:dyDescent="0.75">
      <c r="A24" s="23"/>
      <c r="B24" s="9"/>
      <c r="C24" s="9"/>
      <c r="D24" s="14"/>
      <c r="E24" s="14"/>
      <c r="F24" s="75"/>
      <c r="G24" s="75"/>
      <c r="H24" s="76"/>
      <c r="I24" s="14"/>
      <c r="J24" s="14"/>
      <c r="K24" s="14"/>
      <c r="L24" s="14"/>
      <c r="M24" s="14"/>
      <c r="N24" s="4"/>
      <c r="P24" s="9">
        <v>10</v>
      </c>
      <c r="Q24" s="9">
        <f t="shared" si="10"/>
        <v>1</v>
      </c>
      <c r="R24" s="9">
        <f t="shared" si="11"/>
        <v>4</v>
      </c>
      <c r="S24" s="14" t="str" cm="1">
        <f t="array" ref="S24">INDEX('Recipient-ConceptMap-1'!$I$15:$N$270,Q24+1,R24)</f>
        <v>* group[=].element[=].target.display = ##34###34#</v>
      </c>
    </row>
    <row r="25" spans="1:19" x14ac:dyDescent="0.75">
      <c r="B25" s="9"/>
      <c r="C25" s="9"/>
      <c r="D25" s="14"/>
      <c r="E25" s="14"/>
      <c r="F25" s="75"/>
      <c r="G25" s="75"/>
      <c r="H25" s="76"/>
      <c r="I25" s="14"/>
      <c r="J25" s="14"/>
      <c r="K25" s="14"/>
      <c r="L25" s="14"/>
      <c r="M25" s="14"/>
      <c r="N25" s="4"/>
      <c r="P25" s="9">
        <v>11</v>
      </c>
      <c r="Q25" s="9">
        <f t="shared" si="10"/>
        <v>1</v>
      </c>
      <c r="R25" s="9">
        <f t="shared" si="11"/>
        <v>5</v>
      </c>
      <c r="S25" s="14" t="str" cm="1">
        <f t="array" ref="S25">INDEX('Recipient-ConceptMap-1'!$I$15:$N$270,Q25+1,R25)</f>
        <v>* group[=].element[=].target.equivalence = #equivalent</v>
      </c>
    </row>
    <row r="26" spans="1:19" x14ac:dyDescent="0.75">
      <c r="B26" s="9"/>
      <c r="C26" s="9"/>
      <c r="D26" s="14"/>
      <c r="E26" s="14"/>
      <c r="F26" s="75"/>
      <c r="G26" s="75"/>
      <c r="H26" s="76"/>
      <c r="I26" s="14"/>
      <c r="J26" s="14"/>
      <c r="K26" s="14"/>
      <c r="L26" s="14"/>
      <c r="M26" s="14"/>
      <c r="N26" s="4"/>
      <c r="P26" s="9">
        <v>12</v>
      </c>
      <c r="Q26" s="9">
        <f t="shared" si="10"/>
        <v>1</v>
      </c>
      <c r="R26" s="9">
        <f t="shared" si="11"/>
        <v>6</v>
      </c>
      <c r="S26" s="14" t="str" cm="1">
        <f t="array" ref="S26">INDEX('Recipient-ConceptMap-1'!$I$15:$N$270,Q26+1,R26)</f>
        <v/>
      </c>
    </row>
    <row r="27" spans="1:19" x14ac:dyDescent="0.75">
      <c r="B27" s="9"/>
      <c r="C27" s="9"/>
      <c r="D27" s="14"/>
      <c r="E27" s="14"/>
      <c r="F27" s="75"/>
      <c r="G27" s="75"/>
      <c r="H27" s="76"/>
      <c r="I27" s="14"/>
      <c r="J27" s="14"/>
      <c r="K27" s="14"/>
      <c r="L27" s="14"/>
      <c r="M27" s="14"/>
      <c r="N27" s="4"/>
      <c r="P27" s="9">
        <v>13</v>
      </c>
      <c r="Q27" s="9">
        <f t="shared" si="10"/>
        <v>2</v>
      </c>
      <c r="R27" s="9">
        <f t="shared" si="11"/>
        <v>1</v>
      </c>
      <c r="S27" s="14" t="str" cm="1">
        <f t="array" ref="S27">INDEX('Recipient-ConceptMap-1'!$I$15:$N$270,Q27+1,R27)</f>
        <v>* group[=].element[+].code = #Recipient.organization</v>
      </c>
    </row>
    <row r="28" spans="1:19" x14ac:dyDescent="0.75">
      <c r="B28" s="9"/>
      <c r="C28" s="9"/>
      <c r="D28" s="14"/>
      <c r="E28" s="14"/>
      <c r="F28" s="75"/>
      <c r="G28" s="75"/>
      <c r="H28" s="76"/>
      <c r="I28" s="14"/>
      <c r="J28" s="14"/>
      <c r="K28" s="14"/>
      <c r="L28" s="14"/>
      <c r="M28" s="14"/>
      <c r="N28" s="4"/>
      <c r="P28" s="9">
        <v>14</v>
      </c>
      <c r="Q28" s="9">
        <f t="shared" si="10"/>
        <v>2</v>
      </c>
      <c r="R28" s="9">
        <f t="shared" si="11"/>
        <v>2</v>
      </c>
      <c r="S28" s="14" t="str" cm="1">
        <f t="array" ref="S28">INDEX('Recipient-ConceptMap-1'!$I$15:$N$270,Q28+1,R28)</f>
        <v>* group[=].element[=].display = ##34#A.1.4.3 Recipient organization##34#</v>
      </c>
    </row>
    <row r="29" spans="1:19" ht="44.25" x14ac:dyDescent="0.75">
      <c r="B29" s="9"/>
      <c r="C29" s="9"/>
      <c r="D29" s="14"/>
      <c r="E29" s="14"/>
      <c r="F29" s="75"/>
      <c r="G29" s="75"/>
      <c r="H29" s="76"/>
      <c r="I29" s="14"/>
      <c r="J29" s="14"/>
      <c r="K29" s="14"/>
      <c r="L29" s="14"/>
      <c r="M29" s="14"/>
      <c r="N29" s="4"/>
      <c r="P29" s="9">
        <v>15</v>
      </c>
      <c r="Q29" s="9">
        <f t="shared" si="10"/>
        <v>2</v>
      </c>
      <c r="R29" s="9">
        <f t="shared" si="11"/>
        <v>3</v>
      </c>
      <c r="S29" s="14" t="str" cm="1">
        <f t="array" ref="S29">INDEX('Recipient-ConceptMap-1'!$I$15:$N$270,Q29+1,R29)</f>
        <v>* group[=].element[=].target.code = #http://hl7.eu/fhir/StructureDefinition/information-recipient.resolve().ofType(Organization)</v>
      </c>
    </row>
    <row r="30" spans="1:19" x14ac:dyDescent="0.75">
      <c r="B30" s="9"/>
      <c r="C30" s="9"/>
      <c r="D30" s="14"/>
      <c r="E30" s="14"/>
      <c r="F30" s="75"/>
      <c r="G30" s="75"/>
      <c r="H30" s="76"/>
      <c r="I30" s="14"/>
      <c r="J30" s="14"/>
      <c r="K30" s="14"/>
      <c r="L30" s="14"/>
      <c r="M30" s="14"/>
      <c r="N30" s="4"/>
      <c r="P30" s="9">
        <v>16</v>
      </c>
      <c r="Q30" s="9">
        <f t="shared" si="10"/>
        <v>2</v>
      </c>
      <c r="R30" s="9">
        <f t="shared" si="11"/>
        <v>4</v>
      </c>
      <c r="S30" s="14" t="str" cm="1">
        <f t="array" ref="S30">INDEX('Recipient-ConceptMap-1'!$I$15:$N$270,Q30+1,R30)</f>
        <v>* group[=].element[=].target.display = ##34###34#</v>
      </c>
    </row>
    <row r="31" spans="1:19" x14ac:dyDescent="0.75">
      <c r="B31" s="9"/>
      <c r="C31" s="9"/>
      <c r="D31" s="14"/>
      <c r="E31" s="14"/>
      <c r="F31" s="75"/>
      <c r="G31" s="75"/>
      <c r="H31" s="76"/>
      <c r="I31" s="14"/>
      <c r="J31" s="14"/>
      <c r="K31" s="14"/>
      <c r="L31" s="14"/>
      <c r="M31" s="14"/>
      <c r="N31" s="4"/>
      <c r="P31" s="9">
        <v>17</v>
      </c>
      <c r="Q31" s="9">
        <f t="shared" si="10"/>
        <v>2</v>
      </c>
      <c r="R31" s="9">
        <f t="shared" si="11"/>
        <v>5</v>
      </c>
      <c r="S31" s="14" t="str" cm="1">
        <f t="array" ref="S31">INDEX('Recipient-ConceptMap-1'!$I$15:$N$270,Q31+1,R31)</f>
        <v>* group[=].element[=].target.equivalence = #equivalent</v>
      </c>
    </row>
    <row r="32" spans="1:19" ht="29.5" x14ac:dyDescent="0.75">
      <c r="B32" s="9"/>
      <c r="C32" s="9"/>
      <c r="D32" s="14"/>
      <c r="E32" s="14"/>
      <c r="F32" s="75"/>
      <c r="G32" s="75"/>
      <c r="H32" s="76"/>
      <c r="I32" s="14"/>
      <c r="J32" s="14"/>
      <c r="K32" s="14"/>
      <c r="L32" s="14"/>
      <c r="M32" s="14"/>
      <c r="N32" s="4"/>
      <c r="P32" s="9">
        <v>18</v>
      </c>
      <c r="Q32" s="9">
        <f t="shared" si="10"/>
        <v>2</v>
      </c>
      <c r="R32" s="9">
        <f t="shared" si="11"/>
        <v>6</v>
      </c>
      <c r="S32" s="14" t="str" cm="1">
        <f t="array" ref="S32">INDEX('Recipient-ConceptMap-1'!$I$15:$N$270,Q32+1,R32)</f>
        <v>* group[=].element[=].target.comment = ##34#if the recipient is the organization##34#</v>
      </c>
    </row>
    <row r="33" spans="1:20" x14ac:dyDescent="0.75">
      <c r="B33" s="9"/>
      <c r="C33" s="9"/>
      <c r="D33" s="14"/>
      <c r="E33" s="14"/>
      <c r="F33" s="75"/>
      <c r="G33" s="75"/>
      <c r="H33" s="76"/>
      <c r="I33" s="14"/>
      <c r="J33" s="14"/>
      <c r="K33" s="14"/>
      <c r="L33" s="14"/>
      <c r="M33" s="14"/>
      <c r="N33" s="4"/>
      <c r="P33" s="9">
        <v>19</v>
      </c>
      <c r="Q33" s="9">
        <f t="shared" si="10"/>
        <v>3</v>
      </c>
      <c r="R33" s="9">
        <f t="shared" si="11"/>
        <v>1</v>
      </c>
      <c r="S33" s="14" t="str" cm="1">
        <f t="array" ref="S33">INDEX('Recipient-ConceptMap-1'!$I$15:$N$270,Q33+1,R33)</f>
        <v>* group[=].element[+].code = #Recipient.organization</v>
      </c>
    </row>
    <row r="34" spans="1:20" x14ac:dyDescent="0.75">
      <c r="B34" s="9"/>
      <c r="C34" s="9"/>
      <c r="D34" s="14"/>
      <c r="E34" s="14"/>
      <c r="F34" s="75"/>
      <c r="G34" s="75"/>
      <c r="H34" s="76"/>
      <c r="I34" s="14"/>
      <c r="J34" s="14"/>
      <c r="K34" s="14"/>
      <c r="L34" s="14"/>
      <c r="M34" s="14"/>
      <c r="N34" s="4"/>
      <c r="P34" s="9">
        <v>20</v>
      </c>
      <c r="Q34" s="9">
        <f t="shared" si="10"/>
        <v>3</v>
      </c>
      <c r="R34" s="9">
        <f t="shared" si="11"/>
        <v>2</v>
      </c>
      <c r="S34" s="14" t="str" cm="1">
        <f t="array" ref="S34">INDEX('Recipient-ConceptMap-1'!$I$15:$N$270,Q34+1,R34)</f>
        <v>* group[=].element[=].display = ##34#A.1.4.3 Recipient organization##34#</v>
      </c>
    </row>
    <row r="35" spans="1:20" ht="44.25" x14ac:dyDescent="0.75">
      <c r="B35" s="9"/>
      <c r="C35" s="9"/>
      <c r="D35" s="14"/>
      <c r="E35" s="14"/>
      <c r="F35" s="75"/>
      <c r="G35" s="75"/>
      <c r="H35" s="76"/>
      <c r="I35" s="14"/>
      <c r="J35" s="14"/>
      <c r="K35" s="14"/>
      <c r="L35" s="14"/>
      <c r="M35" s="14"/>
      <c r="N35" s="4"/>
      <c r="P35" s="9">
        <v>21</v>
      </c>
      <c r="Q35" s="9">
        <f t="shared" si="10"/>
        <v>3</v>
      </c>
      <c r="R35" s="9">
        <f t="shared" si="11"/>
        <v>3</v>
      </c>
      <c r="S35" s="14" t="str" cm="1">
        <f t="array" ref="S35">INDEX('Recipient-ConceptMap-1'!$I$15:$N$270,Q35+1,R35)</f>
        <v>* group[=].element[=].target.code = #http://hl7.eu/fhir/StructureDefinition/information-recipient.resolve().ofType(PractionerRole).,organization</v>
      </c>
    </row>
    <row r="36" spans="1:20" x14ac:dyDescent="0.75">
      <c r="B36" s="9"/>
      <c r="C36" s="9"/>
      <c r="D36" s="14"/>
      <c r="E36" s="14"/>
      <c r="F36" s="75"/>
      <c r="G36" s="75"/>
      <c r="H36" s="76"/>
      <c r="I36" s="14"/>
      <c r="J36" s="14"/>
      <c r="K36" s="14"/>
      <c r="L36" s="14"/>
      <c r="M36" s="14"/>
      <c r="N36" s="4"/>
      <c r="P36" s="9">
        <v>22</v>
      </c>
      <c r="Q36" s="9">
        <f t="shared" si="10"/>
        <v>3</v>
      </c>
      <c r="R36" s="9">
        <f t="shared" si="11"/>
        <v>4</v>
      </c>
      <c r="S36" s="14" t="str" cm="1">
        <f t="array" ref="S36">INDEX('Recipient-ConceptMap-1'!$I$15:$N$270,Q36+1,R36)</f>
        <v>* group[=].element[=].target.display = ##34###34#</v>
      </c>
    </row>
    <row r="37" spans="1:20" s="1" customFormat="1" x14ac:dyDescent="0.75">
      <c r="A37"/>
      <c r="B37" s="9"/>
      <c r="C37" s="9"/>
      <c r="D37" s="14"/>
      <c r="E37" s="14"/>
      <c r="F37" s="75"/>
      <c r="G37" s="76"/>
      <c r="H37" s="76"/>
      <c r="I37" s="14"/>
      <c r="J37" s="14"/>
      <c r="K37" s="14"/>
      <c r="L37" s="14"/>
      <c r="M37" s="14"/>
      <c r="N37" s="4"/>
      <c r="P37" s="9">
        <v>23</v>
      </c>
      <c r="Q37" s="9">
        <f t="shared" si="10"/>
        <v>3</v>
      </c>
      <c r="R37" s="9">
        <f t="shared" si="11"/>
        <v>5</v>
      </c>
      <c r="S37" s="14" t="str" cm="1">
        <f t="array" ref="S37">INDEX('Recipient-ConceptMap-1'!$I$15:$N$270,Q37+1,R37)</f>
        <v>* group[=].element[=].target.equivalence = #equivalent</v>
      </c>
      <c r="T37"/>
    </row>
    <row r="38" spans="1:20" s="1" customFormat="1" ht="29.5" x14ac:dyDescent="0.75">
      <c r="A38"/>
      <c r="B38" s="9"/>
      <c r="C38" s="9"/>
      <c r="D38" s="60"/>
      <c r="F38" s="76"/>
      <c r="G38" s="76"/>
      <c r="H38" s="76"/>
      <c r="I38" s="14"/>
      <c r="J38" s="14"/>
      <c r="K38" s="14"/>
      <c r="L38" s="14"/>
      <c r="M38" s="14"/>
      <c r="N38" s="4"/>
      <c r="P38" s="9">
        <v>24</v>
      </c>
      <c r="Q38" s="9">
        <f t="shared" si="10"/>
        <v>3</v>
      </c>
      <c r="R38" s="9">
        <f t="shared" si="11"/>
        <v>6</v>
      </c>
      <c r="S38" s="14" t="str" cm="1">
        <f t="array" ref="S38">INDEX('Recipient-ConceptMap-1'!$I$15:$N$270,Q38+1,R38)</f>
        <v>* group[=].element[=].target.comment = ##34#If it is the organization the professional belong to##34#</v>
      </c>
      <c r="T38"/>
    </row>
    <row r="39" spans="1:20" s="1" customFormat="1" x14ac:dyDescent="0.75">
      <c r="A39"/>
      <c r="B39" s="9"/>
      <c r="C39" s="9"/>
      <c r="F39" s="76"/>
      <c r="G39" s="76"/>
      <c r="H39" s="76"/>
      <c r="I39" s="14"/>
      <c r="J39" s="14"/>
      <c r="K39" s="14"/>
      <c r="L39" s="14"/>
      <c r="M39" s="14"/>
      <c r="N39" s="4"/>
      <c r="P39" s="9">
        <v>25</v>
      </c>
      <c r="Q39" s="9">
        <f t="shared" si="10"/>
        <v>4</v>
      </c>
      <c r="R39" s="9">
        <f t="shared" si="11"/>
        <v>1</v>
      </c>
      <c r="S39" s="14" cm="1">
        <f t="array" ref="S39">INDEX('Recipient-ConceptMap-1'!$I$15:$N$270,Q39+1,R39)</f>
        <v>0</v>
      </c>
      <c r="T39"/>
    </row>
    <row r="40" spans="1:20" s="1" customFormat="1" x14ac:dyDescent="0.75">
      <c r="A40"/>
      <c r="B40" s="9"/>
      <c r="C40" s="9"/>
      <c r="F40" s="76"/>
      <c r="G40" s="76"/>
      <c r="H40" s="76"/>
      <c r="I40" s="14"/>
      <c r="J40" s="14"/>
      <c r="K40" s="14"/>
      <c r="L40" s="14"/>
      <c r="M40" s="14"/>
      <c r="N40" s="4"/>
      <c r="P40" s="9">
        <v>26</v>
      </c>
      <c r="Q40" s="9">
        <f t="shared" si="10"/>
        <v>4</v>
      </c>
      <c r="R40" s="9">
        <f t="shared" si="11"/>
        <v>2</v>
      </c>
      <c r="S40" s="14" cm="1">
        <f t="array" ref="S40">INDEX('Recipient-ConceptMap-1'!$I$15:$N$270,Q40+1,R40)</f>
        <v>0</v>
      </c>
      <c r="T40"/>
    </row>
    <row r="41" spans="1:20" s="1" customFormat="1" x14ac:dyDescent="0.75">
      <c r="A41"/>
      <c r="B41" s="9"/>
      <c r="C41" s="9"/>
      <c r="F41" s="76"/>
      <c r="G41" s="76"/>
      <c r="H41" s="76"/>
      <c r="I41" s="14"/>
      <c r="J41" s="14"/>
      <c r="K41" s="14"/>
      <c r="L41" s="14"/>
      <c r="M41" s="14"/>
      <c r="N41" s="4"/>
      <c r="P41" s="9">
        <v>27</v>
      </c>
      <c r="Q41" s="9">
        <f t="shared" si="10"/>
        <v>4</v>
      </c>
      <c r="R41" s="9">
        <f t="shared" si="11"/>
        <v>3</v>
      </c>
      <c r="S41" s="14" cm="1">
        <f t="array" ref="S41">INDEX('Recipient-ConceptMap-1'!$I$15:$N$270,Q41+1,R41)</f>
        <v>0</v>
      </c>
      <c r="T41"/>
    </row>
    <row r="42" spans="1:20" s="1" customFormat="1" x14ac:dyDescent="0.75">
      <c r="A42"/>
      <c r="B42" s="9"/>
      <c r="C42" s="9"/>
      <c r="F42" s="76"/>
      <c r="G42" s="76"/>
      <c r="H42" s="76"/>
      <c r="I42" s="14"/>
      <c r="J42" s="14"/>
      <c r="K42" s="14"/>
      <c r="L42" s="14"/>
      <c r="M42" s="14"/>
      <c r="N42" s="4"/>
      <c r="P42" s="9">
        <v>28</v>
      </c>
      <c r="Q42" s="9">
        <f t="shared" si="10"/>
        <v>4</v>
      </c>
      <c r="R42" s="9">
        <f t="shared" si="11"/>
        <v>4</v>
      </c>
      <c r="S42" s="14" cm="1">
        <f t="array" ref="S42">INDEX('Recipient-ConceptMap-1'!$I$15:$N$270,Q42+1,R42)</f>
        <v>0</v>
      </c>
      <c r="T42"/>
    </row>
    <row r="43" spans="1:20" s="1" customFormat="1" x14ac:dyDescent="0.75">
      <c r="A43"/>
      <c r="B43" s="9"/>
      <c r="C43" s="9"/>
      <c r="F43" s="76"/>
      <c r="G43" s="76"/>
      <c r="H43" s="76"/>
      <c r="I43" s="14"/>
      <c r="J43" s="14"/>
      <c r="K43" s="14"/>
      <c r="L43" s="14"/>
      <c r="M43" s="14"/>
      <c r="N43" s="4"/>
      <c r="P43" s="9">
        <v>29</v>
      </c>
      <c r="Q43" s="9">
        <f t="shared" si="10"/>
        <v>4</v>
      </c>
      <c r="R43" s="9">
        <f t="shared" si="11"/>
        <v>5</v>
      </c>
      <c r="S43" s="14" cm="1">
        <f t="array" ref="S43">INDEX('Recipient-ConceptMap-1'!$I$15:$N$270,Q43+1,R43)</f>
        <v>0</v>
      </c>
      <c r="T43"/>
    </row>
    <row r="44" spans="1:20" s="1" customFormat="1" x14ac:dyDescent="0.75">
      <c r="A44"/>
      <c r="B44" s="9"/>
      <c r="C44"/>
      <c r="F44" s="76"/>
      <c r="G44" s="76"/>
      <c r="H44" s="76"/>
      <c r="I44" s="14"/>
      <c r="J44" s="14"/>
      <c r="K44" s="14"/>
      <c r="L44" s="14"/>
      <c r="M44" s="14"/>
      <c r="N44" s="4"/>
      <c r="P44" s="9">
        <v>30</v>
      </c>
      <c r="Q44" s="9">
        <f t="shared" si="10"/>
        <v>4</v>
      </c>
      <c r="R44" s="9">
        <f t="shared" si="11"/>
        <v>6</v>
      </c>
      <c r="S44" s="14" cm="1">
        <f t="array" ref="S44">INDEX('Recipient-ConceptMap-1'!$I$15:$N$270,Q44+1,R44)</f>
        <v>0</v>
      </c>
      <c r="T44"/>
    </row>
    <row r="45" spans="1:20" s="1" customFormat="1" x14ac:dyDescent="0.75">
      <c r="A45"/>
      <c r="B45" s="9"/>
      <c r="C45"/>
      <c r="F45" s="76"/>
      <c r="G45" s="76"/>
      <c r="H45" s="76"/>
      <c r="I45" s="14"/>
      <c r="J45" s="14"/>
      <c r="K45" s="14"/>
      <c r="L45" s="14"/>
      <c r="M45" s="14"/>
      <c r="N45" s="4"/>
      <c r="P45" s="9">
        <v>31</v>
      </c>
      <c r="Q45" s="9">
        <f t="shared" si="10"/>
        <v>5</v>
      </c>
      <c r="R45" s="9">
        <f t="shared" si="11"/>
        <v>1</v>
      </c>
      <c r="S45" s="14" cm="1">
        <f t="array" ref="S45">INDEX('Recipient-ConceptMap-1'!$I$15:$N$270,Q45+1,R45)</f>
        <v>0</v>
      </c>
      <c r="T45"/>
    </row>
    <row r="46" spans="1:20" s="1" customFormat="1" x14ac:dyDescent="0.75">
      <c r="A46"/>
      <c r="B46" s="9"/>
      <c r="C46"/>
      <c r="F46" s="76"/>
      <c r="G46" s="76"/>
      <c r="H46" s="76"/>
      <c r="I46" s="14"/>
      <c r="J46" s="14"/>
      <c r="K46" s="14"/>
      <c r="L46" s="14"/>
      <c r="M46" s="14"/>
      <c r="N46" s="4"/>
      <c r="P46" s="9">
        <v>32</v>
      </c>
      <c r="Q46" s="9">
        <f t="shared" si="10"/>
        <v>5</v>
      </c>
      <c r="R46" s="9">
        <f t="shared" si="11"/>
        <v>2</v>
      </c>
      <c r="S46" s="14" cm="1">
        <f t="array" ref="S46">INDEX('Recipient-ConceptMap-1'!$I$15:$N$270,Q46+1,R46)</f>
        <v>0</v>
      </c>
      <c r="T46"/>
    </row>
    <row r="47" spans="1:20" s="1" customFormat="1" x14ac:dyDescent="0.75">
      <c r="A47"/>
      <c r="B47" s="9"/>
      <c r="C47"/>
      <c r="F47" s="76"/>
      <c r="G47" s="76"/>
      <c r="H47" s="76"/>
      <c r="I47" s="14"/>
      <c r="J47" s="14"/>
      <c r="K47" s="14"/>
      <c r="L47" s="14"/>
      <c r="M47" s="14"/>
      <c r="N47" s="4"/>
      <c r="P47" s="9">
        <v>33</v>
      </c>
      <c r="Q47" s="9">
        <f t="shared" si="10"/>
        <v>5</v>
      </c>
      <c r="R47" s="9">
        <f t="shared" si="11"/>
        <v>3</v>
      </c>
      <c r="S47" s="14" cm="1">
        <f t="array" ref="S47">INDEX('Recipient-ConceptMap-1'!$I$15:$N$270,Q47+1,R47)</f>
        <v>0</v>
      </c>
      <c r="T47"/>
    </row>
    <row r="48" spans="1:20" s="1" customFormat="1" x14ac:dyDescent="0.75">
      <c r="A48"/>
      <c r="B48" s="9"/>
      <c r="C48"/>
      <c r="F48" s="76"/>
      <c r="G48" s="76"/>
      <c r="H48" s="76"/>
      <c r="I48" s="14"/>
      <c r="J48" s="14"/>
      <c r="K48" s="14"/>
      <c r="L48" s="14"/>
      <c r="M48" s="14"/>
      <c r="N48" s="4"/>
      <c r="P48" s="9">
        <v>34</v>
      </c>
      <c r="Q48" s="9">
        <f t="shared" si="10"/>
        <v>5</v>
      </c>
      <c r="R48" s="9">
        <f t="shared" si="11"/>
        <v>4</v>
      </c>
      <c r="S48" s="14" cm="1">
        <f t="array" ref="S48">INDEX('Recipient-ConceptMap-1'!$I$15:$N$270,Q48+1,R48)</f>
        <v>0</v>
      </c>
      <c r="T48"/>
    </row>
    <row r="49" spans="5:19" x14ac:dyDescent="0.75">
      <c r="F49" s="76"/>
      <c r="G49" s="76"/>
      <c r="H49" s="76"/>
      <c r="I49" s="14"/>
      <c r="J49" s="14"/>
      <c r="K49" s="14"/>
      <c r="L49" s="14"/>
      <c r="M49" s="14"/>
      <c r="N49" s="4"/>
      <c r="P49" s="9">
        <v>35</v>
      </c>
      <c r="Q49" s="9">
        <f t="shared" si="10"/>
        <v>5</v>
      </c>
      <c r="R49" s="9">
        <f t="shared" si="11"/>
        <v>5</v>
      </c>
      <c r="S49" s="14" cm="1">
        <f t="array" ref="S49">INDEX('Recipient-ConceptMap-1'!$I$15:$N$270,Q49+1,R49)</f>
        <v>0</v>
      </c>
    </row>
    <row r="50" spans="5:19" x14ac:dyDescent="0.75">
      <c r="F50" s="76"/>
      <c r="G50" s="76"/>
      <c r="H50" s="76"/>
      <c r="I50" s="14"/>
      <c r="J50" s="14"/>
      <c r="K50" s="14"/>
      <c r="L50" s="14"/>
      <c r="M50" s="14"/>
      <c r="N50" s="4"/>
      <c r="P50" s="9">
        <v>36</v>
      </c>
      <c r="Q50" s="9">
        <f t="shared" si="10"/>
        <v>5</v>
      </c>
      <c r="R50" s="9">
        <f t="shared" si="11"/>
        <v>6</v>
      </c>
      <c r="S50" s="14" cm="1">
        <f t="array" ref="S50">INDEX('Recipient-ConceptMap-1'!$I$15:$N$270,Q50+1,R50)</f>
        <v>0</v>
      </c>
    </row>
    <row r="51" spans="5:19" x14ac:dyDescent="0.75">
      <c r="F51" s="76"/>
      <c r="G51" s="76"/>
      <c r="H51" s="76"/>
      <c r="I51" s="14"/>
      <c r="J51" s="14"/>
      <c r="K51" s="14"/>
      <c r="L51" s="14"/>
      <c r="M51" s="14"/>
      <c r="N51" s="4"/>
      <c r="P51" s="9">
        <v>37</v>
      </c>
      <c r="Q51" s="9">
        <f t="shared" si="10"/>
        <v>6</v>
      </c>
      <c r="R51" s="9">
        <f t="shared" si="11"/>
        <v>1</v>
      </c>
      <c r="S51" s="14" cm="1">
        <f t="array" ref="S51">INDEX('Recipient-ConceptMap-1'!$I$15:$N$270,Q51+1,R51)</f>
        <v>0</v>
      </c>
    </row>
    <row r="52" spans="5:19" x14ac:dyDescent="0.75">
      <c r="F52" s="76"/>
      <c r="G52" s="76"/>
      <c r="H52" s="76"/>
      <c r="I52" s="14"/>
      <c r="J52" s="14"/>
      <c r="K52" s="14"/>
      <c r="L52" s="14"/>
      <c r="M52" s="14"/>
      <c r="N52" s="4"/>
      <c r="P52" s="9">
        <v>38</v>
      </c>
      <c r="Q52" s="9">
        <f t="shared" si="10"/>
        <v>6</v>
      </c>
      <c r="R52" s="9">
        <f t="shared" si="11"/>
        <v>2</v>
      </c>
      <c r="S52" s="14" cm="1">
        <f t="array" ref="S52">INDEX('Recipient-ConceptMap-1'!$I$15:$N$270,Q52+1,R52)</f>
        <v>0</v>
      </c>
    </row>
    <row r="53" spans="5:19" x14ac:dyDescent="0.75">
      <c r="E53"/>
      <c r="I53" s="14"/>
      <c r="J53" s="14"/>
      <c r="K53" s="14"/>
      <c r="L53" s="14"/>
      <c r="M53" s="14"/>
      <c r="N53" s="4"/>
      <c r="P53" s="9">
        <v>39</v>
      </c>
      <c r="Q53" s="9">
        <f t="shared" si="10"/>
        <v>6</v>
      </c>
      <c r="R53" s="9">
        <f t="shared" si="11"/>
        <v>3</v>
      </c>
      <c r="S53" s="14" cm="1">
        <f t="array" ref="S53">INDEX('Recipient-ConceptMap-1'!$I$15:$N$270,Q53+1,R53)</f>
        <v>0</v>
      </c>
    </row>
    <row r="54" spans="5:19" x14ac:dyDescent="0.75">
      <c r="P54" s="9">
        <v>40</v>
      </c>
      <c r="Q54" s="9">
        <f t="shared" si="10"/>
        <v>6</v>
      </c>
      <c r="R54" s="9">
        <f t="shared" si="11"/>
        <v>4</v>
      </c>
      <c r="S54" s="14" cm="1">
        <f t="array" ref="S54">INDEX('Recipient-ConceptMap-1'!$I$15:$N$270,Q54+1,R54)</f>
        <v>0</v>
      </c>
    </row>
    <row r="55" spans="5:19" x14ac:dyDescent="0.75">
      <c r="P55" s="9">
        <v>41</v>
      </c>
      <c r="Q55" s="9">
        <f t="shared" si="10"/>
        <v>6</v>
      </c>
      <c r="R55" s="9">
        <f t="shared" si="11"/>
        <v>5</v>
      </c>
      <c r="S55" s="14" cm="1">
        <f t="array" ref="S55">INDEX('Recipient-ConceptMap-1'!$I$15:$N$270,Q55+1,R55)</f>
        <v>0</v>
      </c>
    </row>
    <row r="56" spans="5:19" x14ac:dyDescent="0.75">
      <c r="P56" s="9">
        <v>42</v>
      </c>
      <c r="Q56" s="9">
        <f t="shared" ref="Q56:Q79" si="12">IF(MOD(P56,$Q$8)=0,P56/$Q$8-1,INT(P56/$Q$8))</f>
        <v>6</v>
      </c>
      <c r="R56" s="9">
        <f t="shared" ref="R56:R79" si="13">IF(MOD(P56,$Q$8)=0,$Q$8,MOD(P56,$Q$8))</f>
        <v>6</v>
      </c>
      <c r="S56" s="14" cm="1">
        <f t="array" ref="S56">INDEX('Recipient-ConceptMap-1'!$I$15:$N$270,Q56+1,R56)</f>
        <v>0</v>
      </c>
    </row>
    <row r="57" spans="5:19" x14ac:dyDescent="0.75">
      <c r="P57" s="9">
        <v>43</v>
      </c>
      <c r="Q57" s="9">
        <f t="shared" si="12"/>
        <v>7</v>
      </c>
      <c r="R57" s="9">
        <f t="shared" si="13"/>
        <v>1</v>
      </c>
      <c r="S57" s="14" cm="1">
        <f t="array" ref="S57">INDEX('Recipient-ConceptMap-1'!$I$15:$N$270,Q57+1,R57)</f>
        <v>0</v>
      </c>
    </row>
    <row r="58" spans="5:19" x14ac:dyDescent="0.75">
      <c r="P58" s="9">
        <v>44</v>
      </c>
      <c r="Q58" s="9">
        <f t="shared" si="12"/>
        <v>7</v>
      </c>
      <c r="R58" s="9">
        <f t="shared" si="13"/>
        <v>2</v>
      </c>
      <c r="S58" s="14" cm="1">
        <f t="array" ref="S58">INDEX('Recipient-ConceptMap-1'!$I$15:$N$270,Q58+1,R58)</f>
        <v>0</v>
      </c>
    </row>
    <row r="59" spans="5:19" x14ac:dyDescent="0.75">
      <c r="P59" s="9">
        <v>45</v>
      </c>
      <c r="Q59" s="9">
        <f t="shared" si="12"/>
        <v>7</v>
      </c>
      <c r="R59" s="9">
        <f t="shared" si="13"/>
        <v>3</v>
      </c>
      <c r="S59" s="14" cm="1">
        <f t="array" ref="S59">INDEX('Recipient-ConceptMap-1'!$I$15:$N$270,Q59+1,R59)</f>
        <v>0</v>
      </c>
    </row>
    <row r="60" spans="5:19" x14ac:dyDescent="0.75">
      <c r="P60" s="9">
        <v>46</v>
      </c>
      <c r="Q60" s="9">
        <f t="shared" si="12"/>
        <v>7</v>
      </c>
      <c r="R60" s="9">
        <f t="shared" si="13"/>
        <v>4</v>
      </c>
      <c r="S60" s="14" cm="1">
        <f t="array" ref="S60">INDEX('Recipient-ConceptMap-1'!$I$15:$N$270,Q60+1,R60)</f>
        <v>0</v>
      </c>
    </row>
    <row r="61" spans="5:19" x14ac:dyDescent="0.75">
      <c r="P61" s="9">
        <v>47</v>
      </c>
      <c r="Q61" s="9">
        <f t="shared" si="12"/>
        <v>7</v>
      </c>
      <c r="R61" s="9">
        <f t="shared" si="13"/>
        <v>5</v>
      </c>
      <c r="S61" s="14" cm="1">
        <f t="array" ref="S61">INDEX('Recipient-ConceptMap-1'!$I$15:$N$270,Q61+1,R61)</f>
        <v>0</v>
      </c>
    </row>
    <row r="62" spans="5:19" x14ac:dyDescent="0.75">
      <c r="P62" s="9">
        <v>48</v>
      </c>
      <c r="Q62" s="9">
        <f t="shared" si="12"/>
        <v>7</v>
      </c>
      <c r="R62" s="9">
        <f t="shared" si="13"/>
        <v>6</v>
      </c>
      <c r="S62" s="14" cm="1">
        <f t="array" ref="S62">INDEX('Recipient-ConceptMap-1'!$I$15:$N$270,Q62+1,R62)</f>
        <v>0</v>
      </c>
    </row>
    <row r="63" spans="5:19" x14ac:dyDescent="0.75">
      <c r="P63" s="9">
        <v>49</v>
      </c>
      <c r="Q63" s="9">
        <f t="shared" si="12"/>
        <v>8</v>
      </c>
      <c r="R63" s="9">
        <f t="shared" si="13"/>
        <v>1</v>
      </c>
      <c r="S63" s="14" cm="1">
        <f t="array" ref="S63">INDEX('Recipient-ConceptMap-1'!$I$15:$N$270,Q63+1,R63)</f>
        <v>0</v>
      </c>
    </row>
    <row r="64" spans="5:19" x14ac:dyDescent="0.75">
      <c r="P64" s="9">
        <v>50</v>
      </c>
      <c r="Q64" s="9">
        <f t="shared" si="12"/>
        <v>8</v>
      </c>
      <c r="R64" s="9">
        <f t="shared" si="13"/>
        <v>2</v>
      </c>
      <c r="S64" s="14" cm="1">
        <f t="array" ref="S64">INDEX('Recipient-ConceptMap-1'!$I$15:$N$270,Q64+1,R64)</f>
        <v>0</v>
      </c>
    </row>
    <row r="65" spans="16:19" x14ac:dyDescent="0.75">
      <c r="P65" s="9">
        <v>51</v>
      </c>
      <c r="Q65" s="9">
        <f t="shared" si="12"/>
        <v>8</v>
      </c>
      <c r="R65" s="9">
        <f t="shared" si="13"/>
        <v>3</v>
      </c>
      <c r="S65" s="14" cm="1">
        <f t="array" ref="S65">INDEX('Recipient-ConceptMap-1'!$I$15:$N$270,Q65+1,R65)</f>
        <v>0</v>
      </c>
    </row>
    <row r="66" spans="16:19" x14ac:dyDescent="0.75">
      <c r="P66" s="9">
        <v>52</v>
      </c>
      <c r="Q66" s="9">
        <f t="shared" si="12"/>
        <v>8</v>
      </c>
      <c r="R66" s="9">
        <f t="shared" si="13"/>
        <v>4</v>
      </c>
      <c r="S66" s="14" cm="1">
        <f t="array" ref="S66">INDEX('Recipient-ConceptMap-1'!$I$15:$N$270,Q66+1,R66)</f>
        <v>0</v>
      </c>
    </row>
    <row r="67" spans="16:19" x14ac:dyDescent="0.75">
      <c r="P67" s="9">
        <v>53</v>
      </c>
      <c r="Q67" s="9">
        <f t="shared" si="12"/>
        <v>8</v>
      </c>
      <c r="R67" s="9">
        <f t="shared" si="13"/>
        <v>5</v>
      </c>
      <c r="S67" s="14" cm="1">
        <f t="array" ref="S67">INDEX('Recipient-ConceptMap-1'!$I$15:$N$270,Q67+1,R67)</f>
        <v>0</v>
      </c>
    </row>
    <row r="68" spans="16:19" x14ac:dyDescent="0.75">
      <c r="P68" s="9">
        <v>54</v>
      </c>
      <c r="Q68" s="9">
        <f t="shared" si="12"/>
        <v>8</v>
      </c>
      <c r="R68" s="9">
        <f t="shared" si="13"/>
        <v>6</v>
      </c>
      <c r="S68" s="14" cm="1">
        <f t="array" ref="S68">INDEX('Recipient-ConceptMap-1'!$I$15:$N$270,Q68+1,R68)</f>
        <v>0</v>
      </c>
    </row>
    <row r="69" spans="16:19" x14ac:dyDescent="0.75">
      <c r="P69" s="9">
        <v>55</v>
      </c>
      <c r="Q69" s="9">
        <f t="shared" si="12"/>
        <v>9</v>
      </c>
      <c r="R69" s="9">
        <f t="shared" si="13"/>
        <v>1</v>
      </c>
      <c r="S69" s="14" cm="1">
        <f t="array" ref="S69">INDEX('Recipient-ConceptMap-1'!$I$15:$N$270,Q69+1,R69)</f>
        <v>0</v>
      </c>
    </row>
    <row r="70" spans="16:19" x14ac:dyDescent="0.75">
      <c r="P70" s="9">
        <v>56</v>
      </c>
      <c r="Q70" s="9">
        <f t="shared" si="12"/>
        <v>9</v>
      </c>
      <c r="R70" s="9">
        <f t="shared" si="13"/>
        <v>2</v>
      </c>
      <c r="S70" s="14" cm="1">
        <f t="array" ref="S70">INDEX('Recipient-ConceptMap-1'!$I$15:$N$270,Q70+1,R70)</f>
        <v>0</v>
      </c>
    </row>
    <row r="71" spans="16:19" x14ac:dyDescent="0.75">
      <c r="P71" s="9">
        <v>57</v>
      </c>
      <c r="Q71" s="9">
        <f t="shared" si="12"/>
        <v>9</v>
      </c>
      <c r="R71" s="9">
        <f t="shared" si="13"/>
        <v>3</v>
      </c>
      <c r="S71" s="14" cm="1">
        <f t="array" ref="S71">INDEX('Recipient-ConceptMap-1'!$I$15:$N$270,Q71+1,R71)</f>
        <v>0</v>
      </c>
    </row>
    <row r="72" spans="16:19" x14ac:dyDescent="0.75">
      <c r="P72" s="9">
        <v>58</v>
      </c>
      <c r="Q72" s="9">
        <f t="shared" si="12"/>
        <v>9</v>
      </c>
      <c r="R72" s="9">
        <f t="shared" si="13"/>
        <v>4</v>
      </c>
      <c r="S72" s="14" cm="1">
        <f t="array" ref="S72">INDEX('Recipient-ConceptMap-1'!$I$15:$N$270,Q72+1,R72)</f>
        <v>0</v>
      </c>
    </row>
    <row r="73" spans="16:19" x14ac:dyDescent="0.75">
      <c r="P73" s="9">
        <v>59</v>
      </c>
      <c r="Q73" s="9">
        <f t="shared" si="12"/>
        <v>9</v>
      </c>
      <c r="R73" s="9">
        <f t="shared" si="13"/>
        <v>5</v>
      </c>
      <c r="S73" s="14" cm="1">
        <f t="array" ref="S73">INDEX('Recipient-ConceptMap-1'!$I$15:$N$270,Q73+1,R73)</f>
        <v>0</v>
      </c>
    </row>
    <row r="74" spans="16:19" x14ac:dyDescent="0.75">
      <c r="P74" s="9">
        <v>60</v>
      </c>
      <c r="Q74" s="9">
        <f t="shared" si="12"/>
        <v>9</v>
      </c>
      <c r="R74" s="9">
        <f t="shared" si="13"/>
        <v>6</v>
      </c>
      <c r="S74" s="14" cm="1">
        <f t="array" ref="S74">INDEX('Recipient-ConceptMap-1'!$I$15:$N$270,Q74+1,R74)</f>
        <v>0</v>
      </c>
    </row>
    <row r="75" spans="16:19" x14ac:dyDescent="0.75">
      <c r="P75" s="9">
        <v>61</v>
      </c>
      <c r="Q75" s="9">
        <f t="shared" si="12"/>
        <v>10</v>
      </c>
      <c r="R75" s="9">
        <f t="shared" si="13"/>
        <v>1</v>
      </c>
      <c r="S75" s="14" cm="1">
        <f t="array" ref="S75">INDEX('Recipient-ConceptMap-1'!$I$15:$N$270,Q75+1,R75)</f>
        <v>0</v>
      </c>
    </row>
    <row r="76" spans="16:19" x14ac:dyDescent="0.75">
      <c r="P76" s="9">
        <v>62</v>
      </c>
      <c r="Q76" s="9">
        <f t="shared" si="12"/>
        <v>10</v>
      </c>
      <c r="R76" s="9">
        <f t="shared" si="13"/>
        <v>2</v>
      </c>
      <c r="S76" s="14" cm="1">
        <f t="array" ref="S76">INDEX('Recipient-ConceptMap-1'!$I$15:$N$270,Q76+1,R76)</f>
        <v>0</v>
      </c>
    </row>
    <row r="77" spans="16:19" x14ac:dyDescent="0.75">
      <c r="P77" s="9">
        <v>63</v>
      </c>
      <c r="Q77" s="9">
        <f t="shared" si="12"/>
        <v>10</v>
      </c>
      <c r="R77" s="9">
        <f t="shared" si="13"/>
        <v>3</v>
      </c>
      <c r="S77" s="14" cm="1">
        <f t="array" ref="S77">INDEX('Recipient-ConceptMap-1'!$I$15:$N$270,Q77+1,R77)</f>
        <v>0</v>
      </c>
    </row>
    <row r="78" spans="16:19" x14ac:dyDescent="0.75">
      <c r="P78" s="9">
        <v>64</v>
      </c>
      <c r="Q78" s="9">
        <f t="shared" si="12"/>
        <v>10</v>
      </c>
      <c r="R78" s="9">
        <f t="shared" si="13"/>
        <v>4</v>
      </c>
      <c r="S78" s="14" cm="1">
        <f t="array" ref="S78">INDEX('Recipient-ConceptMap-1'!$I$15:$N$270,Q78+1,R78)</f>
        <v>0</v>
      </c>
    </row>
    <row r="79" spans="16:19" x14ac:dyDescent="0.75">
      <c r="P79" s="9">
        <v>65</v>
      </c>
      <c r="Q79" s="9">
        <f t="shared" si="12"/>
        <v>10</v>
      </c>
      <c r="R79" s="9">
        <f t="shared" si="13"/>
        <v>5</v>
      </c>
      <c r="S79" s="14" cm="1">
        <f t="array" ref="S79">INDEX('Recipient-ConceptMap-1'!$I$15:$N$270,Q79+1,R79)</f>
        <v>0</v>
      </c>
    </row>
    <row r="80" spans="16:19" x14ac:dyDescent="0.75">
      <c r="P80" s="9">
        <v>66</v>
      </c>
      <c r="Q80" s="9">
        <f t="shared" ref="Q80" si="14">IF(MOD(P80,$Q$8)=0,P80/$Q$8-1,INT(P80/$Q$8))</f>
        <v>10</v>
      </c>
      <c r="R80" s="9">
        <f t="shared" ref="R80" si="15">IF(MOD(P80,$Q$8)=0,$Q$8,MOD(P80,$Q$8))</f>
        <v>6</v>
      </c>
      <c r="S80" s="14" cm="1">
        <f t="array" ref="S80">INDEX('Recipient-ConceptMap-1'!$I$15:$N$270,Q80+1,R80)</f>
        <v>0</v>
      </c>
    </row>
    <row r="81" spans="16:19" x14ac:dyDescent="0.75">
      <c r="P81" s="9"/>
      <c r="Q81" s="9"/>
      <c r="R81" s="9"/>
      <c r="S81" s="14"/>
    </row>
    <row r="82" spans="16:19" x14ac:dyDescent="0.75">
      <c r="P82" s="9"/>
      <c r="Q82" s="9"/>
      <c r="R82" s="9"/>
      <c r="S82" s="14"/>
    </row>
    <row r="83" spans="16:19" x14ac:dyDescent="0.75">
      <c r="P83" s="9"/>
      <c r="Q83" s="9"/>
      <c r="R83" s="9"/>
      <c r="S83" s="14"/>
    </row>
    <row r="84" spans="16:19" x14ac:dyDescent="0.75">
      <c r="P84" s="9"/>
      <c r="Q84" s="9"/>
      <c r="R84" s="9"/>
      <c r="S84" s="14"/>
    </row>
    <row r="85" spans="16:19" x14ac:dyDescent="0.75">
      <c r="P85" s="9"/>
      <c r="Q85" s="9"/>
      <c r="R85" s="9"/>
      <c r="S85" s="14"/>
    </row>
    <row r="86" spans="16:19" x14ac:dyDescent="0.75">
      <c r="P86" s="9"/>
      <c r="Q86" s="9"/>
      <c r="R86" s="9"/>
      <c r="S86" s="14"/>
    </row>
    <row r="87" spans="16:19" x14ac:dyDescent="0.75">
      <c r="P87" s="9"/>
      <c r="Q87" s="9"/>
      <c r="R87" s="9"/>
      <c r="S87" s="14"/>
    </row>
    <row r="88" spans="16:19" x14ac:dyDescent="0.75">
      <c r="P88" s="9"/>
      <c r="Q88" s="9"/>
      <c r="R88" s="9"/>
      <c r="S88" s="14"/>
    </row>
    <row r="89" spans="16:19" x14ac:dyDescent="0.75">
      <c r="P89" s="9"/>
      <c r="Q89" s="9"/>
      <c r="R89" s="9"/>
      <c r="S89" s="14"/>
    </row>
    <row r="90" spans="16:19" x14ac:dyDescent="0.75">
      <c r="P90" s="9"/>
      <c r="Q90" s="9"/>
      <c r="R90" s="9"/>
      <c r="S90" s="14"/>
    </row>
    <row r="91" spans="16:19" x14ac:dyDescent="0.75">
      <c r="P91" s="9"/>
      <c r="Q91" s="9"/>
      <c r="R91" s="9"/>
      <c r="S91" s="14"/>
    </row>
    <row r="92" spans="16:19" x14ac:dyDescent="0.75">
      <c r="P92" s="9"/>
      <c r="Q92" s="9"/>
      <c r="R92" s="9"/>
      <c r="S92" s="14"/>
    </row>
    <row r="93" spans="16:19" x14ac:dyDescent="0.75">
      <c r="P93" s="9"/>
      <c r="Q93" s="9"/>
      <c r="R93" s="9"/>
      <c r="S93" s="14"/>
    </row>
    <row r="94" spans="16:19" x14ac:dyDescent="0.75">
      <c r="P94" s="9"/>
      <c r="Q94" s="9"/>
      <c r="R94" s="9"/>
      <c r="S94" s="14"/>
    </row>
    <row r="95" spans="16:19" x14ac:dyDescent="0.75">
      <c r="P95" s="9"/>
      <c r="Q95" s="9"/>
      <c r="R95" s="9"/>
      <c r="S95" s="14"/>
    </row>
    <row r="96" spans="16:19" x14ac:dyDescent="0.75">
      <c r="P96" s="9"/>
      <c r="Q96" s="9"/>
      <c r="R96" s="9"/>
      <c r="S96" s="14"/>
    </row>
    <row r="97" spans="16:19" x14ac:dyDescent="0.75">
      <c r="P97" s="9"/>
      <c r="Q97" s="9"/>
      <c r="R97" s="9"/>
      <c r="S97" s="14"/>
    </row>
    <row r="98" spans="16:19" x14ac:dyDescent="0.75">
      <c r="P98" s="9"/>
      <c r="Q98" s="9"/>
      <c r="R98" s="9"/>
      <c r="S98" s="14"/>
    </row>
    <row r="99" spans="16:19" x14ac:dyDescent="0.75">
      <c r="P99" s="9"/>
      <c r="Q99" s="9"/>
      <c r="R99" s="9"/>
      <c r="S99" s="14"/>
    </row>
    <row r="100" spans="16:19" x14ac:dyDescent="0.75">
      <c r="P100" s="9"/>
      <c r="Q100" s="9"/>
      <c r="R100" s="9"/>
      <c r="S100" s="14"/>
    </row>
    <row r="101" spans="16:19" x14ac:dyDescent="0.75">
      <c r="P101" s="9"/>
      <c r="Q101" s="9"/>
      <c r="R101" s="9"/>
      <c r="S101" s="14"/>
    </row>
    <row r="102" spans="16:19" x14ac:dyDescent="0.75">
      <c r="P102" s="9"/>
      <c r="Q102" s="9"/>
      <c r="R102" s="9"/>
      <c r="S102" s="14"/>
    </row>
    <row r="103" spans="16:19" x14ac:dyDescent="0.75">
      <c r="P103" s="9"/>
      <c r="Q103" s="9"/>
      <c r="R103" s="9"/>
      <c r="S103" s="14"/>
    </row>
    <row r="104" spans="16:19" x14ac:dyDescent="0.75">
      <c r="P104" s="9"/>
      <c r="Q104" s="9"/>
      <c r="R104" s="9"/>
      <c r="S104" s="14"/>
    </row>
    <row r="105" spans="16:19" x14ac:dyDescent="0.75">
      <c r="P105" s="9"/>
      <c r="Q105" s="9"/>
      <c r="R105" s="9"/>
      <c r="S105" s="14"/>
    </row>
    <row r="106" spans="16:19" x14ac:dyDescent="0.75">
      <c r="P106" s="9"/>
      <c r="Q106" s="9"/>
      <c r="R106" s="9"/>
      <c r="S106" s="14"/>
    </row>
    <row r="107" spans="16:19" x14ac:dyDescent="0.75">
      <c r="P107" s="9"/>
      <c r="Q107" s="9"/>
      <c r="R107" s="9"/>
      <c r="S107" s="14"/>
    </row>
    <row r="108" spans="16:19" x14ac:dyDescent="0.75">
      <c r="P108" s="9"/>
      <c r="Q108" s="9"/>
      <c r="R108" s="9"/>
      <c r="S108" s="14"/>
    </row>
    <row r="109" spans="16:19" x14ac:dyDescent="0.75">
      <c r="P109" s="9"/>
      <c r="Q109" s="9"/>
      <c r="R109" s="9"/>
      <c r="S109" s="14"/>
    </row>
    <row r="110" spans="16:19" x14ac:dyDescent="0.75">
      <c r="P110" s="9"/>
      <c r="Q110" s="9"/>
      <c r="R110" s="9"/>
      <c r="S110" s="14"/>
    </row>
    <row r="111" spans="16:19" x14ac:dyDescent="0.75">
      <c r="P111" s="9"/>
      <c r="Q111" s="9"/>
      <c r="R111" s="9"/>
      <c r="S111" s="14"/>
    </row>
    <row r="112" spans="16:19" x14ac:dyDescent="0.75">
      <c r="P112" s="9"/>
      <c r="Q112" s="9"/>
      <c r="R112" s="9"/>
      <c r="S112" s="14"/>
    </row>
    <row r="113" spans="16:19" x14ac:dyDescent="0.75">
      <c r="P113" s="9"/>
      <c r="Q113" s="9"/>
      <c r="R113" s="9"/>
      <c r="S113" s="14"/>
    </row>
    <row r="114" spans="16:19" x14ac:dyDescent="0.75">
      <c r="P114" s="9"/>
      <c r="Q114" s="9"/>
      <c r="R114" s="9"/>
      <c r="S114" s="14"/>
    </row>
    <row r="115" spans="16:19" x14ac:dyDescent="0.75">
      <c r="P115" s="9"/>
      <c r="Q115" s="9"/>
      <c r="R115" s="9"/>
      <c r="S115" s="14"/>
    </row>
    <row r="116" spans="16:19" x14ac:dyDescent="0.75">
      <c r="P116" s="9"/>
      <c r="Q116" s="9"/>
      <c r="R116" s="9"/>
      <c r="S116" s="14"/>
    </row>
    <row r="117" spans="16:19" x14ac:dyDescent="0.75">
      <c r="P117" s="9"/>
      <c r="Q117" s="9"/>
      <c r="R117" s="9"/>
      <c r="S117" s="14"/>
    </row>
    <row r="118" spans="16:19" x14ac:dyDescent="0.75">
      <c r="P118" s="9"/>
      <c r="Q118" s="9"/>
      <c r="R118" s="9"/>
      <c r="S118" s="14"/>
    </row>
    <row r="119" spans="16:19" x14ac:dyDescent="0.75">
      <c r="P119" s="9"/>
      <c r="Q119" s="9"/>
      <c r="R119" s="9"/>
      <c r="S119" s="14"/>
    </row>
    <row r="120" spans="16:19" x14ac:dyDescent="0.75">
      <c r="P120" s="9"/>
      <c r="Q120" s="9"/>
      <c r="R120" s="9"/>
      <c r="S120" s="14"/>
    </row>
    <row r="121" spans="16:19" x14ac:dyDescent="0.75">
      <c r="P121" s="9">
        <v>107</v>
      </c>
      <c r="Q121" s="9">
        <f t="shared" ref="Q121:Q184" si="16">IF(MOD(P121,$Q$8)=0,P121/$Q$8-1,INT(P121/$Q$8))</f>
        <v>17</v>
      </c>
      <c r="R121" s="9">
        <f t="shared" ref="R121:R184" si="17">IF(MOD(P121,$Q$8)=0,$Q$8,MOD(P121,$Q$8))</f>
        <v>5</v>
      </c>
      <c r="S121" s="14" cm="1">
        <f t="array" ref="S121">INDEX('Recipient-ConceptMap-1'!$I$15:$N$270,Q121+1,R121)</f>
        <v>0</v>
      </c>
    </row>
    <row r="122" spans="16:19" x14ac:dyDescent="0.75">
      <c r="P122" s="9">
        <v>108</v>
      </c>
      <c r="Q122" s="9">
        <f t="shared" si="16"/>
        <v>17</v>
      </c>
      <c r="R122" s="9">
        <f t="shared" si="17"/>
        <v>6</v>
      </c>
      <c r="S122" s="14" cm="1">
        <f t="array" ref="S122">INDEX('Recipient-ConceptMap-1'!$I$15:$N$270,Q122+1,R122)</f>
        <v>0</v>
      </c>
    </row>
    <row r="123" spans="16:19" x14ac:dyDescent="0.75">
      <c r="P123" s="9">
        <v>109</v>
      </c>
      <c r="Q123" s="9">
        <f t="shared" si="16"/>
        <v>18</v>
      </c>
      <c r="R123" s="9">
        <f t="shared" si="17"/>
        <v>1</v>
      </c>
      <c r="S123" s="14" cm="1">
        <f t="array" ref="S123">INDEX('Recipient-ConceptMap-1'!$I$15:$N$270,Q123+1,R123)</f>
        <v>0</v>
      </c>
    </row>
    <row r="124" spans="16:19" x14ac:dyDescent="0.75">
      <c r="P124" s="9">
        <v>110</v>
      </c>
      <c r="Q124" s="9">
        <f t="shared" si="16"/>
        <v>18</v>
      </c>
      <c r="R124" s="9">
        <f t="shared" si="17"/>
        <v>2</v>
      </c>
      <c r="S124" s="14" cm="1">
        <f t="array" ref="S124">INDEX('Recipient-ConceptMap-1'!$I$15:$N$270,Q124+1,R124)</f>
        <v>0</v>
      </c>
    </row>
    <row r="125" spans="16:19" x14ac:dyDescent="0.75">
      <c r="P125" s="9">
        <v>111</v>
      </c>
      <c r="Q125" s="9">
        <f t="shared" si="16"/>
        <v>18</v>
      </c>
      <c r="R125" s="9">
        <f t="shared" si="17"/>
        <v>3</v>
      </c>
      <c r="S125" s="14" cm="1">
        <f t="array" ref="S125">INDEX('Recipient-ConceptMap-1'!$I$15:$N$270,Q125+1,R125)</f>
        <v>0</v>
      </c>
    </row>
    <row r="126" spans="16:19" x14ac:dyDescent="0.75">
      <c r="P126" s="9">
        <v>112</v>
      </c>
      <c r="Q126" s="9">
        <f t="shared" si="16"/>
        <v>18</v>
      </c>
      <c r="R126" s="9">
        <f t="shared" si="17"/>
        <v>4</v>
      </c>
      <c r="S126" s="14" cm="1">
        <f t="array" ref="S126">INDEX('Recipient-ConceptMap-1'!$I$15:$N$270,Q126+1,R126)</f>
        <v>0</v>
      </c>
    </row>
    <row r="127" spans="16:19" x14ac:dyDescent="0.75">
      <c r="P127" s="9">
        <v>113</v>
      </c>
      <c r="Q127" s="9">
        <f t="shared" si="16"/>
        <v>18</v>
      </c>
      <c r="R127" s="9">
        <f t="shared" si="17"/>
        <v>5</v>
      </c>
      <c r="S127" s="14" cm="1">
        <f t="array" ref="S127">INDEX('Recipient-ConceptMap-1'!$I$15:$N$270,Q127+1,R127)</f>
        <v>0</v>
      </c>
    </row>
    <row r="128" spans="16:19" x14ac:dyDescent="0.75">
      <c r="P128" s="9">
        <v>114</v>
      </c>
      <c r="Q128" s="9">
        <f t="shared" si="16"/>
        <v>18</v>
      </c>
      <c r="R128" s="9">
        <f t="shared" si="17"/>
        <v>6</v>
      </c>
      <c r="S128" s="14" cm="1">
        <f t="array" ref="S128">INDEX('Recipient-ConceptMap-1'!$I$15:$N$270,Q128+1,R128)</f>
        <v>0</v>
      </c>
    </row>
    <row r="129" spans="16:19" x14ac:dyDescent="0.75">
      <c r="P129" s="9">
        <v>115</v>
      </c>
      <c r="Q129" s="9">
        <f t="shared" si="16"/>
        <v>19</v>
      </c>
      <c r="R129" s="9">
        <f t="shared" si="17"/>
        <v>1</v>
      </c>
      <c r="S129" s="14" cm="1">
        <f t="array" ref="S129">INDEX('Recipient-ConceptMap-1'!$I$15:$N$270,Q129+1,R129)</f>
        <v>0</v>
      </c>
    </row>
    <row r="130" spans="16:19" x14ac:dyDescent="0.75">
      <c r="P130" s="9">
        <v>116</v>
      </c>
      <c r="Q130" s="9">
        <f t="shared" si="16"/>
        <v>19</v>
      </c>
      <c r="R130" s="9">
        <f t="shared" si="17"/>
        <v>2</v>
      </c>
      <c r="S130" s="14" cm="1">
        <f t="array" ref="S130">INDEX('Recipient-ConceptMap-1'!$I$15:$N$270,Q130+1,R130)</f>
        <v>0</v>
      </c>
    </row>
    <row r="131" spans="16:19" x14ac:dyDescent="0.75">
      <c r="P131" s="9">
        <v>117</v>
      </c>
      <c r="Q131" s="9">
        <f t="shared" si="16"/>
        <v>19</v>
      </c>
      <c r="R131" s="9">
        <f t="shared" si="17"/>
        <v>3</v>
      </c>
      <c r="S131" s="14" cm="1">
        <f t="array" ref="S131">INDEX('Recipient-ConceptMap-1'!$I$15:$N$270,Q131+1,R131)</f>
        <v>0</v>
      </c>
    </row>
    <row r="132" spans="16:19" x14ac:dyDescent="0.75">
      <c r="P132" s="9">
        <v>118</v>
      </c>
      <c r="Q132" s="9">
        <f t="shared" si="16"/>
        <v>19</v>
      </c>
      <c r="R132" s="9">
        <f t="shared" si="17"/>
        <v>4</v>
      </c>
      <c r="S132" s="14" cm="1">
        <f t="array" ref="S132">INDEX('Recipient-ConceptMap-1'!$I$15:$N$270,Q132+1,R132)</f>
        <v>0</v>
      </c>
    </row>
    <row r="133" spans="16:19" x14ac:dyDescent="0.75">
      <c r="P133" s="9">
        <v>119</v>
      </c>
      <c r="Q133" s="9">
        <f t="shared" si="16"/>
        <v>19</v>
      </c>
      <c r="R133" s="9">
        <f t="shared" si="17"/>
        <v>5</v>
      </c>
      <c r="S133" s="14" cm="1">
        <f t="array" ref="S133">INDEX('Recipient-ConceptMap-1'!$I$15:$N$270,Q133+1,R133)</f>
        <v>0</v>
      </c>
    </row>
    <row r="134" spans="16:19" x14ac:dyDescent="0.75">
      <c r="P134" s="9">
        <v>120</v>
      </c>
      <c r="Q134" s="9">
        <f t="shared" si="16"/>
        <v>19</v>
      </c>
      <c r="R134" s="9">
        <f t="shared" si="17"/>
        <v>6</v>
      </c>
      <c r="S134" s="14" cm="1">
        <f t="array" ref="S134">INDEX('Recipient-ConceptMap-1'!$I$15:$N$270,Q134+1,R134)</f>
        <v>0</v>
      </c>
    </row>
    <row r="135" spans="16:19" x14ac:dyDescent="0.75">
      <c r="P135" s="9">
        <v>121</v>
      </c>
      <c r="Q135" s="9">
        <f t="shared" si="16"/>
        <v>20</v>
      </c>
      <c r="R135" s="9">
        <f t="shared" si="17"/>
        <v>1</v>
      </c>
      <c r="S135" s="14" cm="1">
        <f t="array" ref="S135">INDEX('Recipient-ConceptMap-1'!$I$15:$N$270,Q135+1,R135)</f>
        <v>0</v>
      </c>
    </row>
    <row r="136" spans="16:19" x14ac:dyDescent="0.75">
      <c r="P136" s="9">
        <v>122</v>
      </c>
      <c r="Q136" s="9">
        <f t="shared" si="16"/>
        <v>20</v>
      </c>
      <c r="R136" s="9">
        <f t="shared" si="17"/>
        <v>2</v>
      </c>
      <c r="S136" s="14" cm="1">
        <f t="array" ref="S136">INDEX('Recipient-ConceptMap-1'!$I$15:$N$270,Q136+1,R136)</f>
        <v>0</v>
      </c>
    </row>
    <row r="137" spans="16:19" x14ac:dyDescent="0.75">
      <c r="P137" s="9">
        <v>123</v>
      </c>
      <c r="Q137" s="9">
        <f t="shared" si="16"/>
        <v>20</v>
      </c>
      <c r="R137" s="9">
        <f t="shared" si="17"/>
        <v>3</v>
      </c>
      <c r="S137" s="14" cm="1">
        <f t="array" ref="S137">INDEX('Recipient-ConceptMap-1'!$I$15:$N$270,Q137+1,R137)</f>
        <v>0</v>
      </c>
    </row>
    <row r="138" spans="16:19" x14ac:dyDescent="0.75">
      <c r="P138" s="9">
        <v>124</v>
      </c>
      <c r="Q138" s="9">
        <f t="shared" si="16"/>
        <v>20</v>
      </c>
      <c r="R138" s="9">
        <f t="shared" si="17"/>
        <v>4</v>
      </c>
      <c r="S138" s="14" cm="1">
        <f t="array" ref="S138">INDEX('Recipient-ConceptMap-1'!$I$15:$N$270,Q138+1,R138)</f>
        <v>0</v>
      </c>
    </row>
    <row r="139" spans="16:19" x14ac:dyDescent="0.75">
      <c r="P139" s="9">
        <v>125</v>
      </c>
      <c r="Q139" s="9">
        <f t="shared" si="16"/>
        <v>20</v>
      </c>
      <c r="R139" s="9">
        <f t="shared" si="17"/>
        <v>5</v>
      </c>
      <c r="S139" s="14" cm="1">
        <f t="array" ref="S139">INDEX('Recipient-ConceptMap-1'!$I$15:$N$270,Q139+1,R139)</f>
        <v>0</v>
      </c>
    </row>
    <row r="140" spans="16:19" x14ac:dyDescent="0.75">
      <c r="P140" s="9">
        <v>126</v>
      </c>
      <c r="Q140" s="9">
        <f t="shared" si="16"/>
        <v>20</v>
      </c>
      <c r="R140" s="9">
        <f t="shared" si="17"/>
        <v>6</v>
      </c>
      <c r="S140" s="14" cm="1">
        <f t="array" ref="S140">INDEX('Recipient-ConceptMap-1'!$I$15:$N$270,Q140+1,R140)</f>
        <v>0</v>
      </c>
    </row>
    <row r="141" spans="16:19" x14ac:dyDescent="0.75">
      <c r="P141" s="9">
        <v>127</v>
      </c>
      <c r="Q141" s="9">
        <f t="shared" si="16"/>
        <v>21</v>
      </c>
      <c r="R141" s="9">
        <f t="shared" si="17"/>
        <v>1</v>
      </c>
      <c r="S141" s="14" cm="1">
        <f t="array" ref="S141">INDEX('Recipient-ConceptMap-1'!$I$15:$N$270,Q141+1,R141)</f>
        <v>0</v>
      </c>
    </row>
    <row r="142" spans="16:19" x14ac:dyDescent="0.75">
      <c r="P142" s="9">
        <v>128</v>
      </c>
      <c r="Q142" s="9">
        <f t="shared" si="16"/>
        <v>21</v>
      </c>
      <c r="R142" s="9">
        <f t="shared" si="17"/>
        <v>2</v>
      </c>
      <c r="S142" s="14" cm="1">
        <f t="array" ref="S142">INDEX('Recipient-ConceptMap-1'!$I$15:$N$270,Q142+1,R142)</f>
        <v>0</v>
      </c>
    </row>
    <row r="143" spans="16:19" x14ac:dyDescent="0.75">
      <c r="P143" s="9">
        <v>129</v>
      </c>
      <c r="Q143" s="9">
        <f t="shared" si="16"/>
        <v>21</v>
      </c>
      <c r="R143" s="9">
        <f t="shared" si="17"/>
        <v>3</v>
      </c>
      <c r="S143" s="14" cm="1">
        <f t="array" ref="S143">INDEX('Recipient-ConceptMap-1'!$I$15:$N$270,Q143+1,R143)</f>
        <v>0</v>
      </c>
    </row>
    <row r="144" spans="16:19" x14ac:dyDescent="0.75">
      <c r="P144" s="9">
        <v>130</v>
      </c>
      <c r="Q144" s="9">
        <f t="shared" si="16"/>
        <v>21</v>
      </c>
      <c r="R144" s="9">
        <f t="shared" si="17"/>
        <v>4</v>
      </c>
      <c r="S144" s="14" cm="1">
        <f t="array" ref="S144">INDEX('Recipient-ConceptMap-1'!$I$15:$N$270,Q144+1,R144)</f>
        <v>0</v>
      </c>
    </row>
    <row r="145" spans="16:19" x14ac:dyDescent="0.75">
      <c r="P145" s="9">
        <v>131</v>
      </c>
      <c r="Q145" s="9">
        <f t="shared" si="16"/>
        <v>21</v>
      </c>
      <c r="R145" s="9">
        <f t="shared" si="17"/>
        <v>5</v>
      </c>
      <c r="S145" s="14" cm="1">
        <f t="array" ref="S145">INDEX('Recipient-ConceptMap-1'!$I$15:$N$270,Q145+1,R145)</f>
        <v>0</v>
      </c>
    </row>
    <row r="146" spans="16:19" x14ac:dyDescent="0.75">
      <c r="P146" s="9">
        <v>132</v>
      </c>
      <c r="Q146" s="9">
        <f t="shared" si="16"/>
        <v>21</v>
      </c>
      <c r="R146" s="9">
        <f t="shared" si="17"/>
        <v>6</v>
      </c>
      <c r="S146" s="14" cm="1">
        <f t="array" ref="S146">INDEX('Recipient-ConceptMap-1'!$I$15:$N$270,Q146+1,R146)</f>
        <v>0</v>
      </c>
    </row>
    <row r="147" spans="16:19" x14ac:dyDescent="0.75">
      <c r="P147" s="9">
        <v>133</v>
      </c>
      <c r="Q147" s="9">
        <f t="shared" si="16"/>
        <v>22</v>
      </c>
      <c r="R147" s="9">
        <f t="shared" si="17"/>
        <v>1</v>
      </c>
      <c r="S147" s="14" cm="1">
        <f t="array" ref="S147">INDEX('Recipient-ConceptMap-1'!$I$15:$N$270,Q147+1,R147)</f>
        <v>0</v>
      </c>
    </row>
    <row r="148" spans="16:19" x14ac:dyDescent="0.75">
      <c r="P148" s="9">
        <v>134</v>
      </c>
      <c r="Q148" s="9">
        <f t="shared" si="16"/>
        <v>22</v>
      </c>
      <c r="R148" s="9">
        <f t="shared" si="17"/>
        <v>2</v>
      </c>
      <c r="S148" s="14" cm="1">
        <f t="array" ref="S148">INDEX('Recipient-ConceptMap-1'!$I$15:$N$270,Q148+1,R148)</f>
        <v>0</v>
      </c>
    </row>
    <row r="149" spans="16:19" x14ac:dyDescent="0.75">
      <c r="P149" s="9">
        <v>135</v>
      </c>
      <c r="Q149" s="9">
        <f t="shared" si="16"/>
        <v>22</v>
      </c>
      <c r="R149" s="9">
        <f t="shared" si="17"/>
        <v>3</v>
      </c>
      <c r="S149" s="14" cm="1">
        <f t="array" ref="S149">INDEX('Recipient-ConceptMap-1'!$I$15:$N$270,Q149+1,R149)</f>
        <v>0</v>
      </c>
    </row>
    <row r="150" spans="16:19" x14ac:dyDescent="0.75">
      <c r="P150" s="9">
        <v>136</v>
      </c>
      <c r="Q150" s="9">
        <f t="shared" si="16"/>
        <v>22</v>
      </c>
      <c r="R150" s="9">
        <f t="shared" si="17"/>
        <v>4</v>
      </c>
      <c r="S150" s="14" cm="1">
        <f t="array" ref="S150">INDEX('Recipient-ConceptMap-1'!$I$15:$N$270,Q150+1,R150)</f>
        <v>0</v>
      </c>
    </row>
    <row r="151" spans="16:19" x14ac:dyDescent="0.75">
      <c r="P151" s="9">
        <v>137</v>
      </c>
      <c r="Q151" s="9">
        <f t="shared" si="16"/>
        <v>22</v>
      </c>
      <c r="R151" s="9">
        <f t="shared" si="17"/>
        <v>5</v>
      </c>
      <c r="S151" s="14" cm="1">
        <f t="array" ref="S151">INDEX('Recipient-ConceptMap-1'!$I$15:$N$270,Q151+1,R151)</f>
        <v>0</v>
      </c>
    </row>
    <row r="152" spans="16:19" x14ac:dyDescent="0.75">
      <c r="P152" s="9">
        <v>138</v>
      </c>
      <c r="Q152" s="9">
        <f t="shared" si="16"/>
        <v>22</v>
      </c>
      <c r="R152" s="9">
        <f t="shared" si="17"/>
        <v>6</v>
      </c>
      <c r="S152" s="14" cm="1">
        <f t="array" ref="S152">INDEX('Recipient-ConceptMap-1'!$I$15:$N$270,Q152+1,R152)</f>
        <v>0</v>
      </c>
    </row>
    <row r="153" spans="16:19" x14ac:dyDescent="0.75">
      <c r="P153" s="9">
        <v>139</v>
      </c>
      <c r="Q153" s="9">
        <f t="shared" si="16"/>
        <v>23</v>
      </c>
      <c r="R153" s="9">
        <f t="shared" si="17"/>
        <v>1</v>
      </c>
      <c r="S153" s="14" cm="1">
        <f t="array" ref="S153">INDEX('Recipient-ConceptMap-1'!$I$15:$N$270,Q153+1,R153)</f>
        <v>0</v>
      </c>
    </row>
    <row r="154" spans="16:19" x14ac:dyDescent="0.75">
      <c r="P154" s="9">
        <v>140</v>
      </c>
      <c r="Q154" s="9">
        <f t="shared" si="16"/>
        <v>23</v>
      </c>
      <c r="R154" s="9">
        <f t="shared" si="17"/>
        <v>2</v>
      </c>
      <c r="S154" s="14" cm="1">
        <f t="array" ref="S154">INDEX('Recipient-ConceptMap-1'!$I$15:$N$270,Q154+1,R154)</f>
        <v>0</v>
      </c>
    </row>
    <row r="155" spans="16:19" x14ac:dyDescent="0.75">
      <c r="P155" s="9">
        <v>141</v>
      </c>
      <c r="Q155" s="9">
        <f t="shared" si="16"/>
        <v>23</v>
      </c>
      <c r="R155" s="9">
        <f t="shared" si="17"/>
        <v>3</v>
      </c>
      <c r="S155" s="14" cm="1">
        <f t="array" ref="S155">INDEX('Recipient-ConceptMap-1'!$I$15:$N$270,Q155+1,R155)</f>
        <v>0</v>
      </c>
    </row>
    <row r="156" spans="16:19" x14ac:dyDescent="0.75">
      <c r="P156" s="9">
        <v>142</v>
      </c>
      <c r="Q156" s="9">
        <f t="shared" si="16"/>
        <v>23</v>
      </c>
      <c r="R156" s="9">
        <f t="shared" si="17"/>
        <v>4</v>
      </c>
      <c r="S156" s="14" cm="1">
        <f t="array" ref="S156">INDEX('Recipient-ConceptMap-1'!$I$15:$N$270,Q156+1,R156)</f>
        <v>0</v>
      </c>
    </row>
    <row r="157" spans="16:19" x14ac:dyDescent="0.75">
      <c r="P157" s="9">
        <v>143</v>
      </c>
      <c r="Q157" s="9">
        <f t="shared" si="16"/>
        <v>23</v>
      </c>
      <c r="R157" s="9">
        <f t="shared" si="17"/>
        <v>5</v>
      </c>
      <c r="S157" s="14" cm="1">
        <f t="array" ref="S157">INDEX('Recipient-ConceptMap-1'!$I$15:$N$270,Q157+1,R157)</f>
        <v>0</v>
      </c>
    </row>
    <row r="158" spans="16:19" x14ac:dyDescent="0.75">
      <c r="P158" s="9">
        <v>144</v>
      </c>
      <c r="Q158" s="9">
        <f t="shared" si="16"/>
        <v>23</v>
      </c>
      <c r="R158" s="9">
        <f t="shared" si="17"/>
        <v>6</v>
      </c>
      <c r="S158" s="14" cm="1">
        <f t="array" ref="S158">INDEX('Recipient-ConceptMap-1'!$I$15:$N$270,Q158+1,R158)</f>
        <v>0</v>
      </c>
    </row>
    <row r="159" spans="16:19" x14ac:dyDescent="0.75">
      <c r="P159" s="9">
        <v>145</v>
      </c>
      <c r="Q159" s="9">
        <f t="shared" si="16"/>
        <v>24</v>
      </c>
      <c r="R159" s="9">
        <f t="shared" si="17"/>
        <v>1</v>
      </c>
      <c r="S159" s="14" cm="1">
        <f t="array" ref="S159">INDEX('Recipient-ConceptMap-1'!$I$15:$N$270,Q159+1,R159)</f>
        <v>0</v>
      </c>
    </row>
    <row r="160" spans="16:19" x14ac:dyDescent="0.75">
      <c r="P160" s="9">
        <v>146</v>
      </c>
      <c r="Q160" s="9">
        <f t="shared" si="16"/>
        <v>24</v>
      </c>
      <c r="R160" s="9">
        <f t="shared" si="17"/>
        <v>2</v>
      </c>
      <c r="S160" s="14" cm="1">
        <f t="array" ref="S160">INDEX('Recipient-ConceptMap-1'!$I$15:$N$270,Q160+1,R160)</f>
        <v>0</v>
      </c>
    </row>
    <row r="161" spans="16:19" x14ac:dyDescent="0.75">
      <c r="P161" s="9">
        <v>147</v>
      </c>
      <c r="Q161" s="9">
        <f t="shared" si="16"/>
        <v>24</v>
      </c>
      <c r="R161" s="9">
        <f t="shared" si="17"/>
        <v>3</v>
      </c>
      <c r="S161" s="14" cm="1">
        <f t="array" ref="S161">INDEX('Recipient-ConceptMap-1'!$I$15:$N$270,Q161+1,R161)</f>
        <v>0</v>
      </c>
    </row>
    <row r="162" spans="16:19" x14ac:dyDescent="0.75">
      <c r="P162" s="9">
        <v>148</v>
      </c>
      <c r="Q162" s="9">
        <f t="shared" si="16"/>
        <v>24</v>
      </c>
      <c r="R162" s="9">
        <f t="shared" si="17"/>
        <v>4</v>
      </c>
      <c r="S162" s="14" cm="1">
        <f t="array" ref="S162">INDEX('Recipient-ConceptMap-1'!$I$15:$N$270,Q162+1,R162)</f>
        <v>0</v>
      </c>
    </row>
    <row r="163" spans="16:19" x14ac:dyDescent="0.75">
      <c r="P163" s="9">
        <v>149</v>
      </c>
      <c r="Q163" s="9">
        <f t="shared" si="16"/>
        <v>24</v>
      </c>
      <c r="R163" s="9">
        <f t="shared" si="17"/>
        <v>5</v>
      </c>
      <c r="S163" s="14" cm="1">
        <f t="array" ref="S163">INDEX('Recipient-ConceptMap-1'!$I$15:$N$270,Q163+1,R163)</f>
        <v>0</v>
      </c>
    </row>
    <row r="164" spans="16:19" x14ac:dyDescent="0.75">
      <c r="P164" s="9">
        <v>150</v>
      </c>
      <c r="Q164" s="9">
        <f t="shared" si="16"/>
        <v>24</v>
      </c>
      <c r="R164" s="9">
        <f t="shared" si="17"/>
        <v>6</v>
      </c>
      <c r="S164" s="14" cm="1">
        <f t="array" ref="S164">INDEX('Recipient-ConceptMap-1'!$I$15:$N$270,Q164+1,R164)</f>
        <v>0</v>
      </c>
    </row>
    <row r="165" spans="16:19" x14ac:dyDescent="0.75">
      <c r="P165" s="9">
        <v>151</v>
      </c>
      <c r="Q165" s="9">
        <f t="shared" si="16"/>
        <v>25</v>
      </c>
      <c r="R165" s="9">
        <f t="shared" si="17"/>
        <v>1</v>
      </c>
      <c r="S165" s="14" cm="1">
        <f t="array" ref="S165">INDEX('Recipient-ConceptMap-1'!$I$15:$N$270,Q165+1,R165)</f>
        <v>0</v>
      </c>
    </row>
    <row r="166" spans="16:19" x14ac:dyDescent="0.75">
      <c r="P166" s="9">
        <v>152</v>
      </c>
      <c r="Q166" s="9">
        <f t="shared" si="16"/>
        <v>25</v>
      </c>
      <c r="R166" s="9">
        <f t="shared" si="17"/>
        <v>2</v>
      </c>
      <c r="S166" s="14" cm="1">
        <f t="array" ref="S166">INDEX('Recipient-ConceptMap-1'!$I$15:$N$270,Q166+1,R166)</f>
        <v>0</v>
      </c>
    </row>
    <row r="167" spans="16:19" x14ac:dyDescent="0.75">
      <c r="P167" s="9">
        <v>153</v>
      </c>
      <c r="Q167" s="9">
        <f t="shared" si="16"/>
        <v>25</v>
      </c>
      <c r="R167" s="9">
        <f t="shared" si="17"/>
        <v>3</v>
      </c>
      <c r="S167" s="14" cm="1">
        <f t="array" ref="S167">INDEX('Recipient-ConceptMap-1'!$I$15:$N$270,Q167+1,R167)</f>
        <v>0</v>
      </c>
    </row>
    <row r="168" spans="16:19" x14ac:dyDescent="0.75">
      <c r="P168" s="9">
        <v>154</v>
      </c>
      <c r="Q168" s="9">
        <f t="shared" si="16"/>
        <v>25</v>
      </c>
      <c r="R168" s="9">
        <f t="shared" si="17"/>
        <v>4</v>
      </c>
      <c r="S168" s="14" cm="1">
        <f t="array" ref="S168">INDEX('Recipient-ConceptMap-1'!$I$15:$N$270,Q168+1,R168)</f>
        <v>0</v>
      </c>
    </row>
    <row r="169" spans="16:19" x14ac:dyDescent="0.75">
      <c r="P169" s="9">
        <v>155</v>
      </c>
      <c r="Q169" s="9">
        <f t="shared" si="16"/>
        <v>25</v>
      </c>
      <c r="R169" s="9">
        <f t="shared" si="17"/>
        <v>5</v>
      </c>
      <c r="S169" s="14" cm="1">
        <f t="array" ref="S169">INDEX('Recipient-ConceptMap-1'!$I$15:$N$270,Q169+1,R169)</f>
        <v>0</v>
      </c>
    </row>
    <row r="170" spans="16:19" x14ac:dyDescent="0.75">
      <c r="P170" s="9">
        <v>156</v>
      </c>
      <c r="Q170" s="9">
        <f t="shared" si="16"/>
        <v>25</v>
      </c>
      <c r="R170" s="9">
        <f t="shared" si="17"/>
        <v>6</v>
      </c>
      <c r="S170" s="14" cm="1">
        <f t="array" ref="S170">INDEX('Recipient-ConceptMap-1'!$I$15:$N$270,Q170+1,R170)</f>
        <v>0</v>
      </c>
    </row>
    <row r="171" spans="16:19" x14ac:dyDescent="0.75">
      <c r="P171" s="9">
        <v>157</v>
      </c>
      <c r="Q171" s="9">
        <f t="shared" si="16"/>
        <v>26</v>
      </c>
      <c r="R171" s="9">
        <f t="shared" si="17"/>
        <v>1</v>
      </c>
      <c r="S171" s="14" cm="1">
        <f t="array" ref="S171">INDEX('Recipient-ConceptMap-1'!$I$15:$N$270,Q171+1,R171)</f>
        <v>0</v>
      </c>
    </row>
    <row r="172" spans="16:19" x14ac:dyDescent="0.75">
      <c r="P172" s="9">
        <v>158</v>
      </c>
      <c r="Q172" s="9">
        <f t="shared" si="16"/>
        <v>26</v>
      </c>
      <c r="R172" s="9">
        <f t="shared" si="17"/>
        <v>2</v>
      </c>
      <c r="S172" s="14" cm="1">
        <f t="array" ref="S172">INDEX('Recipient-ConceptMap-1'!$I$15:$N$270,Q172+1,R172)</f>
        <v>0</v>
      </c>
    </row>
    <row r="173" spans="16:19" x14ac:dyDescent="0.75">
      <c r="P173" s="9">
        <v>159</v>
      </c>
      <c r="Q173" s="9">
        <f t="shared" si="16"/>
        <v>26</v>
      </c>
      <c r="R173" s="9">
        <f t="shared" si="17"/>
        <v>3</v>
      </c>
      <c r="S173" s="14" cm="1">
        <f t="array" ref="S173">INDEX('Recipient-ConceptMap-1'!$I$15:$N$270,Q173+1,R173)</f>
        <v>0</v>
      </c>
    </row>
    <row r="174" spans="16:19" x14ac:dyDescent="0.75">
      <c r="P174" s="9">
        <v>160</v>
      </c>
      <c r="Q174" s="9">
        <f t="shared" si="16"/>
        <v>26</v>
      </c>
      <c r="R174" s="9">
        <f t="shared" si="17"/>
        <v>4</v>
      </c>
      <c r="S174" s="14" cm="1">
        <f t="array" ref="S174">INDEX('Recipient-ConceptMap-1'!$I$15:$N$270,Q174+1,R174)</f>
        <v>0</v>
      </c>
    </row>
    <row r="175" spans="16:19" x14ac:dyDescent="0.75">
      <c r="P175" s="9">
        <v>161</v>
      </c>
      <c r="Q175" s="9">
        <f t="shared" si="16"/>
        <v>26</v>
      </c>
      <c r="R175" s="9">
        <f t="shared" si="17"/>
        <v>5</v>
      </c>
      <c r="S175" s="14" cm="1">
        <f t="array" ref="S175">INDEX('Recipient-ConceptMap-1'!$I$15:$N$270,Q175+1,R175)</f>
        <v>0</v>
      </c>
    </row>
    <row r="176" spans="16:19" x14ac:dyDescent="0.75">
      <c r="P176" s="9">
        <v>162</v>
      </c>
      <c r="Q176" s="9">
        <f t="shared" si="16"/>
        <v>26</v>
      </c>
      <c r="R176" s="9">
        <f t="shared" si="17"/>
        <v>6</v>
      </c>
      <c r="S176" s="14" cm="1">
        <f t="array" ref="S176">INDEX('Recipient-ConceptMap-1'!$I$15:$N$270,Q176+1,R176)</f>
        <v>0</v>
      </c>
    </row>
    <row r="177" spans="16:19" x14ac:dyDescent="0.75">
      <c r="P177" s="9">
        <v>163</v>
      </c>
      <c r="Q177" s="9">
        <f t="shared" si="16"/>
        <v>27</v>
      </c>
      <c r="R177" s="9">
        <f t="shared" si="17"/>
        <v>1</v>
      </c>
      <c r="S177" s="14" cm="1">
        <f t="array" ref="S177">INDEX('Recipient-ConceptMap-1'!$I$15:$N$270,Q177+1,R177)</f>
        <v>0</v>
      </c>
    </row>
    <row r="178" spans="16:19" x14ac:dyDescent="0.75">
      <c r="P178" s="9">
        <v>164</v>
      </c>
      <c r="Q178" s="9">
        <f t="shared" si="16"/>
        <v>27</v>
      </c>
      <c r="R178" s="9">
        <f t="shared" si="17"/>
        <v>2</v>
      </c>
      <c r="S178" s="14" cm="1">
        <f t="array" ref="S178">INDEX('Recipient-ConceptMap-1'!$I$15:$N$270,Q178+1,R178)</f>
        <v>0</v>
      </c>
    </row>
    <row r="179" spans="16:19" x14ac:dyDescent="0.75">
      <c r="P179" s="9">
        <v>165</v>
      </c>
      <c r="Q179" s="9">
        <f t="shared" si="16"/>
        <v>27</v>
      </c>
      <c r="R179" s="9">
        <f t="shared" si="17"/>
        <v>3</v>
      </c>
      <c r="S179" s="14" cm="1">
        <f t="array" ref="S179">INDEX('Recipient-ConceptMap-1'!$I$15:$N$270,Q179+1,R179)</f>
        <v>0</v>
      </c>
    </row>
    <row r="180" spans="16:19" x14ac:dyDescent="0.75">
      <c r="P180" s="9">
        <v>166</v>
      </c>
      <c r="Q180" s="9">
        <f t="shared" si="16"/>
        <v>27</v>
      </c>
      <c r="R180" s="9">
        <f t="shared" si="17"/>
        <v>4</v>
      </c>
      <c r="S180" s="14" cm="1">
        <f t="array" ref="S180">INDEX('Recipient-ConceptMap-1'!$I$15:$N$270,Q180+1,R180)</f>
        <v>0</v>
      </c>
    </row>
    <row r="181" spans="16:19" x14ac:dyDescent="0.75">
      <c r="P181" s="9">
        <v>167</v>
      </c>
      <c r="Q181" s="9">
        <f t="shared" si="16"/>
        <v>27</v>
      </c>
      <c r="R181" s="9">
        <f t="shared" si="17"/>
        <v>5</v>
      </c>
      <c r="S181" s="14" cm="1">
        <f t="array" ref="S181">INDEX('Recipient-ConceptMap-1'!$I$15:$N$270,Q181+1,R181)</f>
        <v>0</v>
      </c>
    </row>
    <row r="182" spans="16:19" x14ac:dyDescent="0.75">
      <c r="P182" s="9">
        <v>168</v>
      </c>
      <c r="Q182" s="9">
        <f t="shared" si="16"/>
        <v>27</v>
      </c>
      <c r="R182" s="9">
        <f t="shared" si="17"/>
        <v>6</v>
      </c>
      <c r="S182" s="14" cm="1">
        <f t="array" ref="S182">INDEX('Recipient-ConceptMap-1'!$I$15:$N$270,Q182+1,R182)</f>
        <v>0</v>
      </c>
    </row>
    <row r="183" spans="16:19" x14ac:dyDescent="0.75">
      <c r="P183" s="9">
        <v>169</v>
      </c>
      <c r="Q183" s="9">
        <f t="shared" si="16"/>
        <v>28</v>
      </c>
      <c r="R183" s="9">
        <f t="shared" si="17"/>
        <v>1</v>
      </c>
      <c r="S183" s="14" cm="1">
        <f t="array" ref="S183">INDEX('Recipient-ConceptMap-1'!$I$15:$N$270,Q183+1,R183)</f>
        <v>0</v>
      </c>
    </row>
    <row r="184" spans="16:19" x14ac:dyDescent="0.75">
      <c r="P184" s="9">
        <v>170</v>
      </c>
      <c r="Q184" s="9">
        <f t="shared" si="16"/>
        <v>28</v>
      </c>
      <c r="R184" s="9">
        <f t="shared" si="17"/>
        <v>2</v>
      </c>
      <c r="S184" s="14" cm="1">
        <f t="array" ref="S184">INDEX('Recipient-ConceptMap-1'!$I$15:$N$270,Q184+1,R184)</f>
        <v>0</v>
      </c>
    </row>
    <row r="185" spans="16:19" x14ac:dyDescent="0.75">
      <c r="P185" s="9">
        <v>171</v>
      </c>
      <c r="Q185" s="9">
        <f t="shared" ref="Q185:Q190" si="18">IF(MOD(P185,$Q$8)=0,P185/$Q$8-1,INT(P185/$Q$8))</f>
        <v>28</v>
      </c>
      <c r="R185" s="9">
        <f t="shared" ref="R185:R190" si="19">IF(MOD(P185,$Q$8)=0,$Q$8,MOD(P185,$Q$8))</f>
        <v>3</v>
      </c>
      <c r="S185" s="14" cm="1">
        <f t="array" ref="S185">INDEX('Recipient-ConceptMap-1'!$I$15:$N$270,Q185+1,R185)</f>
        <v>0</v>
      </c>
    </row>
    <row r="186" spans="16:19" x14ac:dyDescent="0.75">
      <c r="P186" s="9">
        <v>172</v>
      </c>
      <c r="Q186" s="9">
        <f t="shared" si="18"/>
        <v>28</v>
      </c>
      <c r="R186" s="9">
        <f t="shared" si="19"/>
        <v>4</v>
      </c>
      <c r="S186" s="14" cm="1">
        <f t="array" ref="S186">INDEX('Recipient-ConceptMap-1'!$I$15:$N$270,Q186+1,R186)</f>
        <v>0</v>
      </c>
    </row>
    <row r="187" spans="16:19" x14ac:dyDescent="0.75">
      <c r="P187" s="9">
        <v>173</v>
      </c>
      <c r="Q187" s="9">
        <f t="shared" si="18"/>
        <v>28</v>
      </c>
      <c r="R187" s="9">
        <f t="shared" si="19"/>
        <v>5</v>
      </c>
      <c r="S187" s="14" cm="1">
        <f t="array" ref="S187">INDEX('Recipient-ConceptMap-1'!$I$15:$N$270,Q187+1,R187)</f>
        <v>0</v>
      </c>
    </row>
    <row r="188" spans="16:19" x14ac:dyDescent="0.75">
      <c r="P188" s="9">
        <v>174</v>
      </c>
      <c r="Q188" s="9">
        <f t="shared" si="18"/>
        <v>28</v>
      </c>
      <c r="R188" s="9">
        <f t="shared" si="19"/>
        <v>6</v>
      </c>
      <c r="S188" s="14" cm="1">
        <f t="array" ref="S188">INDEX('Recipient-ConceptMap-1'!$I$15:$N$270,Q188+1,R188)</f>
        <v>0</v>
      </c>
    </row>
    <row r="189" spans="16:19" x14ac:dyDescent="0.75">
      <c r="P189" s="9">
        <v>175</v>
      </c>
      <c r="Q189" s="9">
        <f t="shared" si="18"/>
        <v>29</v>
      </c>
      <c r="R189" s="9">
        <f t="shared" si="19"/>
        <v>1</v>
      </c>
      <c r="S189" s="14" cm="1">
        <f t="array" ref="S189">INDEX('Recipient-ConceptMap-1'!$I$15:$N$270,Q189+1,R189)</f>
        <v>0</v>
      </c>
    </row>
    <row r="190" spans="16:19" x14ac:dyDescent="0.75">
      <c r="P190" s="9">
        <v>176</v>
      </c>
      <c r="Q190" s="9">
        <f t="shared" si="18"/>
        <v>29</v>
      </c>
      <c r="R190" s="9">
        <f t="shared" si="19"/>
        <v>2</v>
      </c>
      <c r="S190" s="14" cm="1">
        <f t="array" ref="S190">INDEX('Recipient-ConceptMap-1'!$I$15:$N$270,Q190+1,R190)</f>
        <v>0</v>
      </c>
    </row>
  </sheetData>
  <mergeCells count="3">
    <mergeCell ref="E3:G3"/>
    <mergeCell ref="E6:G6"/>
    <mergeCell ref="E7:G7"/>
  </mergeCells>
  <hyperlinks>
    <hyperlink ref="C6" r:id="rId1" xr:uid="{BFF8DA4C-9A64-4AC9-A78A-3031EC8AC5AD}"/>
    <hyperlink ref="E4" r:id="rId2" xr:uid="{8E15F598-C820-4478-AA67-F0F1C56F39A8}"/>
    <hyperlink ref="E3" r:id="rId3" xr:uid="{661AB3BA-CB4C-4C2B-BCE0-F7753D4633DD}"/>
    <hyperlink ref="E6" r:id="rId4" xr:uid="{8E9FC80B-42A6-44A7-A757-DEA284527278}"/>
    <hyperlink ref="E7" r:id="rId5" xr:uid="{EF9D982A-D3A7-42FB-9AE1-2AC7663C6AFC}"/>
    <hyperlink ref="D14" r:id="rId6" xr:uid="{0DD0D4AC-EF50-4D50-BB29-E685D894F159}"/>
  </hyperlinks>
  <pageMargins left="0.7" right="0.7" top="0.75" bottom="0.75" header="0.3" footer="0.3"/>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0BFE85-3C65-41AB-8280-504081079B52}">
  <sheetPr codeName="Foglio20">
    <tabColor theme="0" tint="-0.34998626667073579"/>
  </sheetPr>
  <dimension ref="B1:G251"/>
  <sheetViews>
    <sheetView workbookViewId="0"/>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2" t="s">
        <v>37</v>
      </c>
    </row>
    <row r="2" spans="2:7" ht="16.75" thickBot="1" x14ac:dyDescent="0.9">
      <c r="B2" s="33" t="s">
        <v>661</v>
      </c>
      <c r="G2" s="56" t="s">
        <v>748</v>
      </c>
    </row>
    <row r="3" spans="2:7" x14ac:dyDescent="0.75">
      <c r="B3" s="33" t="s">
        <v>37</v>
      </c>
    </row>
    <row r="4" spans="2:7" x14ac:dyDescent="0.75">
      <c r="B4" s="77" t="str">
        <f>"Instance: "&amp;'Recipient-ConceptMap-1'!C4</f>
        <v>Instance: ConceptMap-eu-recipient2FHIR</v>
      </c>
    </row>
    <row r="5" spans="2:7" x14ac:dyDescent="0.75">
      <c r="B5" s="77" t="s">
        <v>662</v>
      </c>
    </row>
    <row r="6" spans="2:7" x14ac:dyDescent="0.75">
      <c r="B6" s="77" t="s">
        <v>663</v>
      </c>
    </row>
    <row r="7" spans="2:7" x14ac:dyDescent="0.75">
      <c r="B7" s="77" t="s">
        <v>677</v>
      </c>
    </row>
    <row r="8" spans="2:7" x14ac:dyDescent="0.75">
      <c r="B8" s="77" t="str">
        <f>"* name = ##34#"&amp;'Recipient-ConceptMap-1'!C3&amp;"##34#"</f>
        <v>* name = ##34#Recipient2FHIR##34#</v>
      </c>
    </row>
    <row r="9" spans="2:7" x14ac:dyDescent="0.75">
      <c r="B9" s="77" t="str">
        <f>"* title = ##34#"&amp;'Recipient-ConceptMap-1'!C5&amp;"##34#"</f>
        <v>* title = ##34#eHN Recipient to this guide Map##34#</v>
      </c>
    </row>
    <row r="10" spans="2:7" x14ac:dyDescent="0.75">
      <c r="B10" s="77" t="s">
        <v>664</v>
      </c>
    </row>
    <row r="11" spans="2:7" x14ac:dyDescent="0.75">
      <c r="B11" s="77" t="s">
        <v>665</v>
      </c>
    </row>
    <row r="12" spans="2:7" x14ac:dyDescent="0.75">
      <c r="B12" s="77" t="str">
        <f>"* description = ##34#"&amp;'Recipient-ConceptMap-1'!C8&amp;"##34#"</f>
        <v>* description = ##34#eHN Recipient Model to this guide Map##34#</v>
      </c>
    </row>
    <row r="13" spans="2:7" x14ac:dyDescent="0.75">
      <c r="B13" s="77" t="str">
        <f>"* purpose = ##34#"&amp;'Recipient-ConceptMap-1'!C9&amp;"##34#"</f>
        <v>* purpose = ##34#It shows how the Laboratory Report Recipient data set defined by the EU eHN guidelines is mapped into this guide##34#</v>
      </c>
    </row>
    <row r="14" spans="2:7" x14ac:dyDescent="0.75">
      <c r="B14" s="78" t="str">
        <f>"* sourceUri = ##34#"&amp;'Recipient-ConceptMap-1'!E3&amp;"##34#"</f>
        <v>* sourceUri = ##34#http://hl7.eu/fhir/laboratory/StructureDefinition/Recipient##34#</v>
      </c>
    </row>
    <row r="15" spans="2:7" x14ac:dyDescent="0.75">
      <c r="B15" s="78" t="str">
        <f>"* targetUri = ##34#"&amp;'Recipient-ConceptMap-1'!E4&amp;"##34#"</f>
        <v>* targetUri = ##34#http://hl7.eu/fhir/StructureDefinition/information-recipient##34#</v>
      </c>
    </row>
    <row r="16" spans="2:7" x14ac:dyDescent="0.75">
      <c r="B16" s="77"/>
    </row>
    <row r="17" spans="2:7" x14ac:dyDescent="0.75">
      <c r="B17" s="79" t="str">
        <f>"* group[+].source = ##34#"&amp;'Recipient-ConceptMap-1'!E6&amp;"##34#"</f>
        <v>* group[+].source = ##34#http://hl7.eu/fhir/laboratory/StructureDefinition/Recipient##34#</v>
      </c>
    </row>
    <row r="18" spans="2:7" x14ac:dyDescent="0.75">
      <c r="B18" s="79" t="str">
        <f>"* group[=].target = ##34#"&amp;'Recipient-ConceptMap-1'!E7&amp;"##34#"</f>
        <v>* group[=].target = ##34#http://hl7.eu/fhir/StructureDefinition/information-recipient##34#</v>
      </c>
    </row>
    <row r="19" spans="2:7" x14ac:dyDescent="0.75">
      <c r="B19" s="81"/>
    </row>
    <row r="20" spans="2:7" x14ac:dyDescent="0.75">
      <c r="B20" s="14" t="str">
        <f>IF('Recipient-ConceptMap-1'!S15=0,"//---END",'Recipient-ConceptMap-1'!S15)</f>
        <v>* group[=].element[+].code = #Recipient.identifier</v>
      </c>
    </row>
    <row r="21" spans="2:7" x14ac:dyDescent="0.75">
      <c r="B21" s="14" t="str">
        <f>IF('Recipient-ConceptMap-1'!S16=0,"//---END",'Recipient-ConceptMap-1'!S16)</f>
        <v>* group[=].element[=].display = ##34#A.1.4.1 Recipient identifier##34#</v>
      </c>
    </row>
    <row r="22" spans="2:7" x14ac:dyDescent="0.75">
      <c r="B22" s="14" t="str">
        <f>IF('Recipient-ConceptMap-1'!S17=0,"//---END",'Recipient-ConceptMap-1'!S17)</f>
        <v>* group[=].element[=].target.code = #http://hl7.eu/fhir/StructureDefinition/information-recipient.resolve().identifier</v>
      </c>
    </row>
    <row r="23" spans="2:7" x14ac:dyDescent="0.75">
      <c r="B23" s="14" t="str">
        <f>IF('Recipient-ConceptMap-1'!S18=0,"//---END",'Recipient-ConceptMap-1'!S18)</f>
        <v>* group[=].element[=].target.display = ##34###34#</v>
      </c>
    </row>
    <row r="24" spans="2:7" x14ac:dyDescent="0.75">
      <c r="B24" s="14" t="str">
        <f>IF('Recipient-ConceptMap-1'!S19=0,"//---END",'Recipient-ConceptMap-1'!S19)</f>
        <v>* group[=].element[=].target.equivalence = #equivalent</v>
      </c>
    </row>
    <row r="25" spans="2:7" x14ac:dyDescent="0.75">
      <c r="B25" s="14" t="str">
        <f>IF('Recipient-ConceptMap-1'!S20=0,"//---END",'Recipient-ConceptMap-1'!S20)</f>
        <v/>
      </c>
      <c r="G25" s="10"/>
    </row>
    <row r="26" spans="2:7" x14ac:dyDescent="0.75">
      <c r="B26" s="14" t="str">
        <f>IF('Recipient-ConceptMap-1'!S21=0,"//---END",'Recipient-ConceptMap-1'!S21)</f>
        <v>* group[=].element[+].code = #Recipient.name</v>
      </c>
    </row>
    <row r="27" spans="2:7" x14ac:dyDescent="0.75">
      <c r="B27" s="14" t="str">
        <f>IF('Recipient-ConceptMap-1'!S22=0,"//---END",'Recipient-ConceptMap-1'!S22)</f>
        <v>* group[=].element[=].display = ##34#A.1.4.2 Recipient name##34#</v>
      </c>
    </row>
    <row r="28" spans="2:7" x14ac:dyDescent="0.75">
      <c r="B28" s="14" t="str">
        <f>IF('Recipient-ConceptMap-1'!S23=0,"//---END",'Recipient-ConceptMap-1'!S23)</f>
        <v>* group[=].element[=].target.code = #http://hl7.eu/fhir/StructureDefinition/information-recipient.resolve().name</v>
      </c>
    </row>
    <row r="29" spans="2:7" x14ac:dyDescent="0.75">
      <c r="B29" s="14" t="str">
        <f>IF('Recipient-ConceptMap-1'!S24=0,"//---END",'Recipient-ConceptMap-1'!S24)</f>
        <v>* group[=].element[=].target.display = ##34###34#</v>
      </c>
    </row>
    <row r="30" spans="2:7" x14ac:dyDescent="0.75">
      <c r="B30" s="14" t="str">
        <f>IF('Recipient-ConceptMap-1'!S25=0,"//---END",'Recipient-ConceptMap-1'!S25)</f>
        <v>* group[=].element[=].target.equivalence = #equivalent</v>
      </c>
    </row>
    <row r="31" spans="2:7" x14ac:dyDescent="0.75">
      <c r="B31" s="14" t="str">
        <f>IF('Recipient-ConceptMap-1'!S26=0,"//---END",'Recipient-ConceptMap-1'!S26)</f>
        <v/>
      </c>
    </row>
    <row r="32" spans="2:7" x14ac:dyDescent="0.75">
      <c r="B32" s="14" t="str">
        <f>IF('Recipient-ConceptMap-1'!S27=0,"//---END",'Recipient-ConceptMap-1'!S27)</f>
        <v>* group[=].element[+].code = #Recipient.organization</v>
      </c>
    </row>
    <row r="33" spans="2:2" x14ac:dyDescent="0.75">
      <c r="B33" s="14" t="str">
        <f>IF('Recipient-ConceptMap-1'!S28=0,"//---END",'Recipient-ConceptMap-1'!S28)</f>
        <v>* group[=].element[=].display = ##34#A.1.4.3 Recipient organization##34#</v>
      </c>
    </row>
    <row r="34" spans="2:2" x14ac:dyDescent="0.75">
      <c r="B34" s="14" t="str">
        <f>IF('Recipient-ConceptMap-1'!S29=0,"//---END",'Recipient-ConceptMap-1'!S29)</f>
        <v>* group[=].element[=].target.code = #http://hl7.eu/fhir/StructureDefinition/information-recipient.resolve().ofType(Organization)</v>
      </c>
    </row>
    <row r="35" spans="2:2" x14ac:dyDescent="0.75">
      <c r="B35" s="14" t="str">
        <f>IF('Recipient-ConceptMap-1'!S30=0,"//---END",'Recipient-ConceptMap-1'!S30)</f>
        <v>* group[=].element[=].target.display = ##34###34#</v>
      </c>
    </row>
    <row r="36" spans="2:2" x14ac:dyDescent="0.75">
      <c r="B36" s="14" t="str">
        <f>IF('Recipient-ConceptMap-1'!S31=0,"//---END",'Recipient-ConceptMap-1'!S31)</f>
        <v>* group[=].element[=].target.equivalence = #equivalent</v>
      </c>
    </row>
    <row r="37" spans="2:2" x14ac:dyDescent="0.75">
      <c r="B37" s="14" t="str">
        <f>IF('Recipient-ConceptMap-1'!S32=0,"//---END",'Recipient-ConceptMap-1'!S32)</f>
        <v>* group[=].element[=].target.comment = ##34#if the recipient is the organization##34#</v>
      </c>
    </row>
    <row r="38" spans="2:2" x14ac:dyDescent="0.75">
      <c r="B38" s="14" t="str">
        <f>IF('Recipient-ConceptMap-1'!S33=0,"//---END",'Recipient-ConceptMap-1'!S33)</f>
        <v>* group[=].element[+].code = #Recipient.organization</v>
      </c>
    </row>
    <row r="39" spans="2:2" x14ac:dyDescent="0.75">
      <c r="B39" s="14" t="str">
        <f>IF('Recipient-ConceptMap-1'!S34=0,"//---END",'Recipient-ConceptMap-1'!S34)</f>
        <v>* group[=].element[=].display = ##34#A.1.4.3 Recipient organization##34#</v>
      </c>
    </row>
    <row r="40" spans="2:2" x14ac:dyDescent="0.75">
      <c r="B40" s="14" t="str">
        <f>IF('Recipient-ConceptMap-1'!S35=0,"//---END",'Recipient-ConceptMap-1'!S35)</f>
        <v>* group[=].element[=].target.code = #http://hl7.eu/fhir/StructureDefinition/information-recipient.resolve().ofType(PractionerRole).,organization</v>
      </c>
    </row>
    <row r="41" spans="2:2" x14ac:dyDescent="0.75">
      <c r="B41" s="14" t="str">
        <f>IF('Recipient-ConceptMap-1'!S36=0,"//---END",'Recipient-ConceptMap-1'!S36)</f>
        <v>* group[=].element[=].target.display = ##34###34#</v>
      </c>
    </row>
    <row r="42" spans="2:2" x14ac:dyDescent="0.75">
      <c r="B42" s="14" t="str">
        <f>IF('Recipient-ConceptMap-1'!S37=0,"//---END",'Recipient-ConceptMap-1'!S37)</f>
        <v>* group[=].element[=].target.equivalence = #equivalent</v>
      </c>
    </row>
    <row r="43" spans="2:2" x14ac:dyDescent="0.75">
      <c r="B43" s="14" t="str">
        <f>IF('Recipient-ConceptMap-1'!S38=0,"//---END",'Recipient-ConceptMap-1'!S38)</f>
        <v>* group[=].element[=].target.comment = ##34#If it is the organization the professional belong to##34#</v>
      </c>
    </row>
    <row r="44" spans="2:2" x14ac:dyDescent="0.75">
      <c r="B44" s="14" t="str">
        <f>IF('Recipient-ConceptMap-1'!S39=0,"//---END",'Recipient-ConceptMap-1'!S39)</f>
        <v>//---END</v>
      </c>
    </row>
    <row r="45" spans="2:2" x14ac:dyDescent="0.75">
      <c r="B45" s="14" t="str">
        <f>IF('Recipient-ConceptMap-1'!S40=0,"//---END",'Recipient-ConceptMap-1'!S40)</f>
        <v>//---END</v>
      </c>
    </row>
    <row r="46" spans="2:2" x14ac:dyDescent="0.75">
      <c r="B46" s="14" t="str">
        <f>IF('Recipient-ConceptMap-1'!S41=0,"//---END",'Recipient-ConceptMap-1'!S41)</f>
        <v>//---END</v>
      </c>
    </row>
    <row r="47" spans="2:2" x14ac:dyDescent="0.75">
      <c r="B47" s="14" t="str">
        <f>IF('Recipient-ConceptMap-1'!S42=0,"//---END",'Recipient-ConceptMap-1'!S42)</f>
        <v>//---END</v>
      </c>
    </row>
    <row r="48" spans="2:2" x14ac:dyDescent="0.75">
      <c r="B48" s="14" t="str">
        <f>IF('Recipient-ConceptMap-1'!S43=0,"//---END",'Recipient-ConceptMap-1'!S43)</f>
        <v>//---END</v>
      </c>
    </row>
    <row r="49" spans="2:2" x14ac:dyDescent="0.75">
      <c r="B49" s="14" t="str">
        <f>IF('Recipient-ConceptMap-1'!S44=0,"//---END",'Recipient-ConceptMap-1'!S44)</f>
        <v>//---END</v>
      </c>
    </row>
    <row r="50" spans="2:2" x14ac:dyDescent="0.75">
      <c r="B50" s="14" t="str">
        <f>IF('Recipient-ConceptMap-1'!S45=0,"//---END",'Recipient-ConceptMap-1'!S45)</f>
        <v>//---END</v>
      </c>
    </row>
    <row r="51" spans="2:2" x14ac:dyDescent="0.75">
      <c r="B51" s="14" t="str">
        <f>IF('Recipient-ConceptMap-1'!S46=0,"//---END",'Recipient-ConceptMap-1'!S46)</f>
        <v>//---END</v>
      </c>
    </row>
    <row r="52" spans="2:2" x14ac:dyDescent="0.75">
      <c r="B52" s="14" t="str">
        <f>IF('Recipient-ConceptMap-1'!S47=0,"//---END",'Recipient-ConceptMap-1'!S47)</f>
        <v>//---END</v>
      </c>
    </row>
    <row r="53" spans="2:2" x14ac:dyDescent="0.75">
      <c r="B53" s="14" t="str">
        <f>IF('Recipient-ConceptMap-1'!S48=0,"//---END",'Recipient-ConceptMap-1'!S48)</f>
        <v>//---END</v>
      </c>
    </row>
    <row r="54" spans="2:2" x14ac:dyDescent="0.75">
      <c r="B54" s="14" t="str">
        <f>IF('Recipient-ConceptMap-1'!S49=0,"//---END",'Recipient-ConceptMap-1'!S49)</f>
        <v>//---END</v>
      </c>
    </row>
    <row r="55" spans="2:2" x14ac:dyDescent="0.75">
      <c r="B55" s="14" t="str">
        <f>IF('Recipient-ConceptMap-1'!S50=0,"//---END",'Recipient-ConceptMap-1'!S50)</f>
        <v>//---END</v>
      </c>
    </row>
    <row r="56" spans="2:2" x14ac:dyDescent="0.75">
      <c r="B56" s="14" t="str">
        <f>IF('Recipient-ConceptMap-1'!S51=0,"//---END",'Recipient-ConceptMap-1'!S51)</f>
        <v>//---END</v>
      </c>
    </row>
    <row r="57" spans="2:2" x14ac:dyDescent="0.75">
      <c r="B57" s="14" t="str">
        <f>IF('Recipient-ConceptMap-1'!S52=0,"//---END",'Recipient-ConceptMap-1'!S52)</f>
        <v>//---END</v>
      </c>
    </row>
    <row r="58" spans="2:2" x14ac:dyDescent="0.75">
      <c r="B58" s="14" t="str">
        <f>IF('Recipient-ConceptMap-1'!S53=0,"//---END",'Recipient-ConceptMap-1'!S53)</f>
        <v>//---END</v>
      </c>
    </row>
    <row r="59" spans="2:2" x14ac:dyDescent="0.75">
      <c r="B59" s="14" t="str">
        <f>IF('Recipient-ConceptMap-1'!S54=0,"//---END",'Recipient-ConceptMap-1'!S54)</f>
        <v>//---END</v>
      </c>
    </row>
    <row r="60" spans="2:2" x14ac:dyDescent="0.75">
      <c r="B60" s="14" t="str">
        <f>IF('Recipient-ConceptMap-1'!S55=0,"//---END",'Recipient-ConceptMap-1'!S55)</f>
        <v>//---END</v>
      </c>
    </row>
    <row r="61" spans="2:2" x14ac:dyDescent="0.75">
      <c r="B61" s="14" t="str">
        <f>IF('Recipient-ConceptMap-1'!S56=0,"//---END",'Recipient-ConceptMap-1'!S56)</f>
        <v>//---END</v>
      </c>
    </row>
    <row r="62" spans="2:2" x14ac:dyDescent="0.75">
      <c r="B62" s="14" t="str">
        <f>IF('Recipient-ConceptMap-1'!S57=0,"//---END",'Recipient-ConceptMap-1'!S57)</f>
        <v>//---END</v>
      </c>
    </row>
    <row r="63" spans="2:2" x14ac:dyDescent="0.75">
      <c r="B63" s="14" t="str">
        <f>IF('Recipient-ConceptMap-1'!S58=0,"//---END",'Recipient-ConceptMap-1'!S58)</f>
        <v>//---END</v>
      </c>
    </row>
    <row r="64" spans="2:2" x14ac:dyDescent="0.75">
      <c r="B64" s="14" t="str">
        <f>IF('Recipient-ConceptMap-1'!S59=0,"//---END",'Recipient-ConceptMap-1'!S59)</f>
        <v>//---END</v>
      </c>
    </row>
    <row r="65" spans="2:4" x14ac:dyDescent="0.75">
      <c r="B65" s="14" t="str">
        <f>IF('Recipient-ConceptMap-1'!S60=0,"//---END",'Recipient-ConceptMap-1'!S60)</f>
        <v>//---END</v>
      </c>
    </row>
    <row r="66" spans="2:4" x14ac:dyDescent="0.75">
      <c r="B66" s="14" t="str">
        <f>IF('Recipient-ConceptMap-1'!S61=0,"//---END",'Recipient-ConceptMap-1'!S61)</f>
        <v>//---END</v>
      </c>
    </row>
    <row r="67" spans="2:4" x14ac:dyDescent="0.75">
      <c r="B67" s="14" t="str">
        <f>IF('Recipient-ConceptMap-1'!S62=0,"//---END",'Recipient-ConceptMap-1'!S62)</f>
        <v>//---END</v>
      </c>
    </row>
    <row r="68" spans="2:4" x14ac:dyDescent="0.75">
      <c r="B68" s="14" t="str">
        <f>IF('Recipient-ConceptMap-1'!S63=0,"//---END",'Recipient-ConceptMap-1'!S63)</f>
        <v>//---END</v>
      </c>
    </row>
    <row r="69" spans="2:4" x14ac:dyDescent="0.75">
      <c r="B69" s="14" t="str">
        <f>IF('Recipient-ConceptMap-1'!S64=0,"//---END",'Recipient-ConceptMap-1'!S64)</f>
        <v>//---END</v>
      </c>
    </row>
    <row r="70" spans="2:4" x14ac:dyDescent="0.75">
      <c r="B70" s="14" t="str">
        <f>IF('Recipient-ConceptMap-1'!S65=0,"//---END",'Recipient-ConceptMap-1'!S65)</f>
        <v>//---END</v>
      </c>
      <c r="D70" s="76"/>
    </row>
    <row r="71" spans="2:4" x14ac:dyDescent="0.75">
      <c r="B71" s="14" t="str">
        <f>IF('Recipient-ConceptMap-1'!S66=0,"//---END",'Recipient-ConceptMap-1'!S66)</f>
        <v>//---END</v>
      </c>
    </row>
    <row r="72" spans="2:4" x14ac:dyDescent="0.75">
      <c r="B72" s="14" t="str">
        <f>IF('Recipient-ConceptMap-1'!S67=0,"//---END",'Recipient-ConceptMap-1'!S67)</f>
        <v>//---END</v>
      </c>
    </row>
    <row r="73" spans="2:4" x14ac:dyDescent="0.75">
      <c r="B73" s="14" t="str">
        <f>IF('Recipient-ConceptMap-1'!S68=0,"//---END",'Recipient-ConceptMap-1'!S68)</f>
        <v>//---END</v>
      </c>
    </row>
    <row r="74" spans="2:4" x14ac:dyDescent="0.75">
      <c r="B74" s="14" t="str">
        <f>IF('Recipient-ConceptMap-1'!S69=0,"//---END",'Recipient-ConceptMap-1'!S69)</f>
        <v>//---END</v>
      </c>
    </row>
    <row r="75" spans="2:4" x14ac:dyDescent="0.75">
      <c r="B75" s="14" t="str">
        <f>IF('Recipient-ConceptMap-1'!S70=0,"//---END",'Recipient-ConceptMap-1'!S70)</f>
        <v>//---END</v>
      </c>
    </row>
    <row r="76" spans="2:4" x14ac:dyDescent="0.75">
      <c r="B76" s="14" t="str">
        <f>IF('Recipient-ConceptMap-1'!S71=0,"//---END",'Recipient-ConceptMap-1'!S71)</f>
        <v>//---END</v>
      </c>
    </row>
    <row r="77" spans="2:4" x14ac:dyDescent="0.75">
      <c r="B77" s="14" t="str">
        <f>IF('Recipient-ConceptMap-1'!S72=0,"//---END",'Recipient-ConceptMap-1'!S72)</f>
        <v>//---END</v>
      </c>
    </row>
    <row r="78" spans="2:4" x14ac:dyDescent="0.75">
      <c r="B78" s="14"/>
    </row>
    <row r="79" spans="2:4" x14ac:dyDescent="0.75">
      <c r="B79" s="14"/>
    </row>
    <row r="80" spans="2:4" x14ac:dyDescent="0.75">
      <c r="B80" s="14"/>
    </row>
    <row r="81" spans="2:2" x14ac:dyDescent="0.75">
      <c r="B81" s="14"/>
    </row>
    <row r="82" spans="2:2" x14ac:dyDescent="0.75">
      <c r="B82" s="14"/>
    </row>
    <row r="83" spans="2:2" x14ac:dyDescent="0.75">
      <c r="B83" s="14"/>
    </row>
    <row r="84" spans="2:2" x14ac:dyDescent="0.75">
      <c r="B84" s="14"/>
    </row>
    <row r="85" spans="2:2" x14ac:dyDescent="0.75">
      <c r="B85" s="14"/>
    </row>
    <row r="86" spans="2:2" x14ac:dyDescent="0.75">
      <c r="B86" s="14"/>
    </row>
    <row r="87" spans="2:2" x14ac:dyDescent="0.75">
      <c r="B87" s="14"/>
    </row>
    <row r="88" spans="2:2" x14ac:dyDescent="0.75">
      <c r="B88" s="14"/>
    </row>
    <row r="128" spans="2:2" x14ac:dyDescent="0.75">
      <c r="B128" s="77"/>
    </row>
    <row r="129" spans="2:2" x14ac:dyDescent="0.75">
      <c r="B129" s="79"/>
    </row>
    <row r="130" spans="2:2" x14ac:dyDescent="0.75">
      <c r="B130" s="79"/>
    </row>
    <row r="131" spans="2:2" x14ac:dyDescent="0.75">
      <c r="B131" s="81"/>
    </row>
    <row r="133" spans="2:2" x14ac:dyDescent="0.75">
      <c r="B133" s="14"/>
    </row>
    <row r="134" spans="2:2" x14ac:dyDescent="0.75">
      <c r="B134" s="14"/>
    </row>
    <row r="135" spans="2:2" x14ac:dyDescent="0.75">
      <c r="B135" s="14"/>
    </row>
    <row r="136" spans="2:2" x14ac:dyDescent="0.75">
      <c r="B136" s="14"/>
    </row>
    <row r="137" spans="2:2" x14ac:dyDescent="0.75">
      <c r="B137" s="14"/>
    </row>
    <row r="138" spans="2:2" x14ac:dyDescent="0.75">
      <c r="B138" s="14"/>
    </row>
    <row r="139" spans="2:2" x14ac:dyDescent="0.75">
      <c r="B139" s="14"/>
    </row>
    <row r="140" spans="2:2" x14ac:dyDescent="0.75">
      <c r="B140" s="14"/>
    </row>
    <row r="141" spans="2:2" x14ac:dyDescent="0.75">
      <c r="B141" s="14"/>
    </row>
    <row r="142" spans="2:2" x14ac:dyDescent="0.75">
      <c r="B142" s="14"/>
    </row>
    <row r="143" spans="2:2" x14ac:dyDescent="0.75">
      <c r="B143" s="14"/>
    </row>
    <row r="144" spans="2:2" x14ac:dyDescent="0.75">
      <c r="B144" s="14"/>
    </row>
    <row r="145" spans="2:2" x14ac:dyDescent="0.75">
      <c r="B145" s="14"/>
    </row>
    <row r="146" spans="2:2" x14ac:dyDescent="0.75">
      <c r="B146" s="14"/>
    </row>
    <row r="147" spans="2:2" x14ac:dyDescent="0.75">
      <c r="B147" s="14"/>
    </row>
    <row r="148" spans="2:2" x14ac:dyDescent="0.75">
      <c r="B148" s="14"/>
    </row>
    <row r="149" spans="2:2" x14ac:dyDescent="0.75">
      <c r="B149" s="14"/>
    </row>
    <row r="150" spans="2:2" x14ac:dyDescent="0.75">
      <c r="B150" s="14"/>
    </row>
    <row r="151" spans="2:2" x14ac:dyDescent="0.75">
      <c r="B151" s="14"/>
    </row>
    <row r="152" spans="2:2" x14ac:dyDescent="0.75">
      <c r="B152" s="14"/>
    </row>
    <row r="153" spans="2:2" x14ac:dyDescent="0.75">
      <c r="B153" s="14"/>
    </row>
    <row r="154" spans="2:2" x14ac:dyDescent="0.75">
      <c r="B154" s="14"/>
    </row>
    <row r="155" spans="2:2" x14ac:dyDescent="0.75">
      <c r="B155" s="14"/>
    </row>
    <row r="156" spans="2:2" x14ac:dyDescent="0.75">
      <c r="B156" s="14"/>
    </row>
    <row r="157" spans="2:2" x14ac:dyDescent="0.75">
      <c r="B157" s="14"/>
    </row>
    <row r="158" spans="2:2" x14ac:dyDescent="0.75">
      <c r="B158" s="14"/>
    </row>
    <row r="159" spans="2:2" x14ac:dyDescent="0.75">
      <c r="B159" s="14"/>
    </row>
    <row r="160" spans="2:2" x14ac:dyDescent="0.75">
      <c r="B160" s="14"/>
    </row>
    <row r="161" spans="2:2" x14ac:dyDescent="0.75">
      <c r="B161" s="14"/>
    </row>
    <row r="162" spans="2:2" x14ac:dyDescent="0.75">
      <c r="B162" s="14"/>
    </row>
    <row r="163" spans="2:2" x14ac:dyDescent="0.75">
      <c r="B163" s="14"/>
    </row>
    <row r="164" spans="2:2" x14ac:dyDescent="0.75">
      <c r="B164" s="14"/>
    </row>
    <row r="165" spans="2:2" x14ac:dyDescent="0.75">
      <c r="B165" s="14"/>
    </row>
    <row r="166" spans="2:2" x14ac:dyDescent="0.75">
      <c r="B166" s="14"/>
    </row>
    <row r="167" spans="2:2" x14ac:dyDescent="0.75">
      <c r="B167" s="14"/>
    </row>
    <row r="168" spans="2:2" x14ac:dyDescent="0.75">
      <c r="B168" s="14"/>
    </row>
    <row r="169" spans="2:2" x14ac:dyDescent="0.75">
      <c r="B169" s="14"/>
    </row>
    <row r="170" spans="2:2" x14ac:dyDescent="0.75">
      <c r="B170" s="14"/>
    </row>
    <row r="171" spans="2:2" x14ac:dyDescent="0.75">
      <c r="B171" s="14"/>
    </row>
    <row r="172" spans="2:2" x14ac:dyDescent="0.75">
      <c r="B172" s="14"/>
    </row>
    <row r="173" spans="2:2" x14ac:dyDescent="0.75">
      <c r="B173" s="14"/>
    </row>
    <row r="174" spans="2:2" x14ac:dyDescent="0.75">
      <c r="B174" s="14"/>
    </row>
    <row r="175" spans="2:2" x14ac:dyDescent="0.75">
      <c r="B175" s="14"/>
    </row>
    <row r="176" spans="2:2" x14ac:dyDescent="0.75">
      <c r="B176" s="14"/>
    </row>
    <row r="177" spans="2:2" x14ac:dyDescent="0.75">
      <c r="B177" s="14"/>
    </row>
    <row r="178" spans="2:2" x14ac:dyDescent="0.75">
      <c r="B178" s="14"/>
    </row>
    <row r="179" spans="2:2" x14ac:dyDescent="0.75">
      <c r="B179" s="14"/>
    </row>
    <row r="180" spans="2:2" x14ac:dyDescent="0.75">
      <c r="B180" s="14"/>
    </row>
    <row r="181" spans="2:2" x14ac:dyDescent="0.75">
      <c r="B181" s="14"/>
    </row>
    <row r="182" spans="2:2" x14ac:dyDescent="0.75">
      <c r="B182" s="14"/>
    </row>
    <row r="183" spans="2:2" x14ac:dyDescent="0.75">
      <c r="B183" s="14"/>
    </row>
    <row r="184" spans="2:2" x14ac:dyDescent="0.75">
      <c r="B184" s="14"/>
    </row>
    <row r="185" spans="2:2" x14ac:dyDescent="0.75">
      <c r="B185" s="14"/>
    </row>
    <row r="186" spans="2:2" x14ac:dyDescent="0.75">
      <c r="B186" s="14"/>
    </row>
    <row r="187" spans="2:2" x14ac:dyDescent="0.75">
      <c r="B187" s="14"/>
    </row>
    <row r="188" spans="2:2" x14ac:dyDescent="0.75">
      <c r="B188" s="14"/>
    </row>
    <row r="189" spans="2:2" x14ac:dyDescent="0.75">
      <c r="B189" s="14"/>
    </row>
    <row r="190" spans="2:2" x14ac:dyDescent="0.75">
      <c r="B190" s="14"/>
    </row>
    <row r="191" spans="2:2" x14ac:dyDescent="0.75">
      <c r="B191" s="14"/>
    </row>
    <row r="192" spans="2:2" x14ac:dyDescent="0.75">
      <c r="B192" s="14"/>
    </row>
    <row r="193" spans="2:2" x14ac:dyDescent="0.75">
      <c r="B193" s="14"/>
    </row>
    <row r="194" spans="2:2" x14ac:dyDescent="0.75">
      <c r="B194" s="14"/>
    </row>
    <row r="195" spans="2:2" x14ac:dyDescent="0.75">
      <c r="B195" s="14"/>
    </row>
    <row r="196" spans="2:2" x14ac:dyDescent="0.75">
      <c r="B196" s="14"/>
    </row>
    <row r="197" spans="2:2" x14ac:dyDescent="0.75">
      <c r="B197" s="14"/>
    </row>
    <row r="198" spans="2:2" x14ac:dyDescent="0.75">
      <c r="B198" s="14"/>
    </row>
    <row r="199" spans="2:2" x14ac:dyDescent="0.75">
      <c r="B199" s="14"/>
    </row>
    <row r="200" spans="2:2" x14ac:dyDescent="0.75">
      <c r="B200" s="14"/>
    </row>
    <row r="201" spans="2:2" x14ac:dyDescent="0.75">
      <c r="B201" s="14"/>
    </row>
    <row r="202" spans="2:2" x14ac:dyDescent="0.75">
      <c r="B202" s="14"/>
    </row>
    <row r="203" spans="2:2" x14ac:dyDescent="0.75">
      <c r="B203" s="14"/>
    </row>
    <row r="204" spans="2:2" x14ac:dyDescent="0.75">
      <c r="B204" s="14"/>
    </row>
    <row r="205" spans="2:2" x14ac:dyDescent="0.75">
      <c r="B205" s="14"/>
    </row>
    <row r="206" spans="2:2" x14ac:dyDescent="0.75">
      <c r="B206" s="14"/>
    </row>
    <row r="207" spans="2:2" x14ac:dyDescent="0.75">
      <c r="B207" s="14"/>
    </row>
    <row r="208" spans="2:2" x14ac:dyDescent="0.75">
      <c r="B208" s="14"/>
    </row>
    <row r="209" spans="2:2" x14ac:dyDescent="0.75">
      <c r="B209" s="14"/>
    </row>
    <row r="210" spans="2:2" x14ac:dyDescent="0.75">
      <c r="B210" s="14"/>
    </row>
    <row r="211" spans="2:2" x14ac:dyDescent="0.75">
      <c r="B211" s="14"/>
    </row>
    <row r="212" spans="2:2" x14ac:dyDescent="0.75">
      <c r="B212" s="14"/>
    </row>
    <row r="213" spans="2:2" x14ac:dyDescent="0.75">
      <c r="B213" s="14"/>
    </row>
    <row r="214" spans="2:2" x14ac:dyDescent="0.75">
      <c r="B214" s="14"/>
    </row>
    <row r="215" spans="2:2" x14ac:dyDescent="0.75">
      <c r="B215" s="14"/>
    </row>
    <row r="216" spans="2:2" x14ac:dyDescent="0.75">
      <c r="B216" s="14"/>
    </row>
    <row r="217" spans="2:2" x14ac:dyDescent="0.75">
      <c r="B217" s="14"/>
    </row>
    <row r="218" spans="2:2" x14ac:dyDescent="0.75">
      <c r="B218" s="14"/>
    </row>
    <row r="219" spans="2:2" x14ac:dyDescent="0.75">
      <c r="B219" s="14"/>
    </row>
    <row r="220" spans="2:2" x14ac:dyDescent="0.75">
      <c r="B220" s="14"/>
    </row>
    <row r="221" spans="2:2" x14ac:dyDescent="0.75">
      <c r="B221" s="14"/>
    </row>
    <row r="222" spans="2:2" x14ac:dyDescent="0.75">
      <c r="B222" s="14"/>
    </row>
    <row r="223" spans="2:2" x14ac:dyDescent="0.75">
      <c r="B223" s="14"/>
    </row>
    <row r="224" spans="2:2" x14ac:dyDescent="0.75">
      <c r="B224" s="14"/>
    </row>
    <row r="225" spans="2:2" x14ac:dyDescent="0.75">
      <c r="B225" s="14"/>
    </row>
    <row r="226" spans="2:2" x14ac:dyDescent="0.75">
      <c r="B226" s="14"/>
    </row>
    <row r="227" spans="2:2" x14ac:dyDescent="0.75">
      <c r="B227" s="14"/>
    </row>
    <row r="228" spans="2:2" x14ac:dyDescent="0.75">
      <c r="B228" s="14"/>
    </row>
    <row r="229" spans="2:2" x14ac:dyDescent="0.75">
      <c r="B229" s="14"/>
    </row>
    <row r="230" spans="2:2" x14ac:dyDescent="0.75">
      <c r="B230" s="14"/>
    </row>
    <row r="231" spans="2:2" x14ac:dyDescent="0.75">
      <c r="B231" s="14"/>
    </row>
    <row r="232" spans="2:2" x14ac:dyDescent="0.75">
      <c r="B232" s="14"/>
    </row>
    <row r="233" spans="2:2" x14ac:dyDescent="0.75">
      <c r="B233" s="14"/>
    </row>
    <row r="234" spans="2:2" x14ac:dyDescent="0.75">
      <c r="B234" s="14"/>
    </row>
    <row r="235" spans="2:2" x14ac:dyDescent="0.75">
      <c r="B235" s="14"/>
    </row>
    <row r="236" spans="2:2" x14ac:dyDescent="0.75">
      <c r="B236" s="14"/>
    </row>
    <row r="237" spans="2:2" x14ac:dyDescent="0.75">
      <c r="B237" s="14"/>
    </row>
    <row r="238" spans="2:2" x14ac:dyDescent="0.75">
      <c r="B238" s="14"/>
    </row>
    <row r="239" spans="2:2" x14ac:dyDescent="0.75">
      <c r="B239" s="14"/>
    </row>
    <row r="240" spans="2:2" x14ac:dyDescent="0.75">
      <c r="B240" s="14"/>
    </row>
    <row r="241" spans="2:2" x14ac:dyDescent="0.75">
      <c r="B241" s="14"/>
    </row>
    <row r="242" spans="2:2" x14ac:dyDescent="0.75">
      <c r="B242" s="14"/>
    </row>
    <row r="243" spans="2:2" x14ac:dyDescent="0.75">
      <c r="B243" s="14"/>
    </row>
    <row r="244" spans="2:2" x14ac:dyDescent="0.75">
      <c r="B244" s="14"/>
    </row>
    <row r="245" spans="2:2" x14ac:dyDescent="0.75">
      <c r="B245" s="14"/>
    </row>
    <row r="246" spans="2:2" x14ac:dyDescent="0.75">
      <c r="B246" s="14"/>
    </row>
    <row r="247" spans="2:2" x14ac:dyDescent="0.75">
      <c r="B247" s="14"/>
    </row>
    <row r="248" spans="2:2" x14ac:dyDescent="0.75">
      <c r="B248" s="14"/>
    </row>
    <row r="249" spans="2:2" x14ac:dyDescent="0.75">
      <c r="B249" s="14"/>
    </row>
    <row r="250" spans="2:2" x14ac:dyDescent="0.75">
      <c r="B250" s="14"/>
    </row>
    <row r="251" spans="2:2" x14ac:dyDescent="0.75">
      <c r="B251" s="14"/>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95585"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CDD654-6228-4634-B11A-A018FBC56A4C}">
  <sheetPr codeName="Foglio36">
    <tabColor theme="7" tint="0.39997558519241921"/>
  </sheetPr>
  <dimension ref="A1:L29"/>
  <sheetViews>
    <sheetView workbookViewId="0"/>
  </sheetViews>
  <sheetFormatPr defaultRowHeight="14.75" x14ac:dyDescent="0.75"/>
  <cols>
    <col min="1" max="1" width="16.54296875" customWidth="1"/>
    <col min="2" max="2" width="59.5" customWidth="1"/>
    <col min="3" max="3" width="44.6328125" customWidth="1"/>
    <col min="4" max="4" width="71.58984375" style="1" bestFit="1" customWidth="1"/>
    <col min="5" max="5" width="10.816406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11" x14ac:dyDescent="0.75">
      <c r="I1" s="32" t="s">
        <v>37</v>
      </c>
    </row>
    <row r="2" spans="1:11" x14ac:dyDescent="0.75">
      <c r="I2" s="33" t="s">
        <v>36</v>
      </c>
    </row>
    <row r="3" spans="1:11" ht="15.5" thickBot="1" x14ac:dyDescent="0.9">
      <c r="I3" s="33" t="str">
        <f>I1</f>
        <v>// -------------------------------------------------------------------------------</v>
      </c>
    </row>
    <row r="4" spans="1:11" x14ac:dyDescent="0.75">
      <c r="A4" s="6" t="s">
        <v>14</v>
      </c>
      <c r="B4" s="17" t="s">
        <v>410</v>
      </c>
      <c r="I4" s="25" t="str">
        <f>CONCATENATE("Logical: ",B4)</f>
        <v>Logical: AuthorLabEhn</v>
      </c>
    </row>
    <row r="5" spans="1:11" x14ac:dyDescent="0.75">
      <c r="A5" s="18" t="s">
        <v>19</v>
      </c>
      <c r="B5" s="34" t="s">
        <v>411</v>
      </c>
      <c r="I5" s="25" t="str">
        <f>CONCATENATE("Id: ",B5)</f>
        <v>Id: Author</v>
      </c>
    </row>
    <row r="6" spans="1:11" x14ac:dyDescent="0.75">
      <c r="A6" s="18" t="s">
        <v>13</v>
      </c>
      <c r="B6" s="19" t="s">
        <v>434</v>
      </c>
      <c r="I6" s="26" t="str">
        <f>CONCATENATE("Title: ##34#",B6,"##34#")</f>
        <v>Title: ##34#Author (A.1.5)##34#</v>
      </c>
    </row>
    <row r="7" spans="1:11" ht="45" customHeight="1" x14ac:dyDescent="0.75">
      <c r="A7" s="46" t="s">
        <v>5</v>
      </c>
      <c r="B7" s="58" t="s">
        <v>93</v>
      </c>
      <c r="C7" s="12"/>
      <c r="D7" s="2"/>
      <c r="E7" s="57"/>
      <c r="F7" s="3" t="s">
        <v>9</v>
      </c>
      <c r="G7" s="3" t="s">
        <v>10</v>
      </c>
      <c r="I7" s="26" t="str">
        <f>CONCATENATE("Description: "," ##334#",B7,"##334#",)</f>
        <v>Description:  ##334#A.1.5 Author (by whom the Laboratory result report or a subset of its results was authored)##334#</v>
      </c>
    </row>
    <row r="8" spans="1:11" ht="74.5" customHeight="1" x14ac:dyDescent="0.75">
      <c r="A8" s="9">
        <v>1</v>
      </c>
      <c r="B8" s="9" t="s">
        <v>367</v>
      </c>
      <c r="C8" s="9" t="s">
        <v>403</v>
      </c>
      <c r="D8" s="14" t="s">
        <v>535</v>
      </c>
      <c r="E8" s="9">
        <v>0</v>
      </c>
      <c r="F8" s="9">
        <v>1</v>
      </c>
      <c r="G8" s="9" t="s">
        <v>0</v>
      </c>
      <c r="H8" s="23"/>
      <c r="I8" s="14" t="str">
        <f>CONCATENATE("* ",B8, " ",E8,"..",F8," ",G8," ##34#",C8,"##34# ##334#",D8,"##334#")</f>
        <v>* identifier 0..1 Identifier ##34#A.1.5.1 Author identifier##34# ##334#The health professional or authoring device identification number. Either an internal identifier assigned by a healthcare provider institution or (preferably) a national health professional ID such as the license or registration number.  - Preferred system(s): ##334#</v>
      </c>
    </row>
    <row r="9" spans="1:11" ht="80.75" customHeight="1" x14ac:dyDescent="0.75">
      <c r="A9" s="9">
        <v>2</v>
      </c>
      <c r="B9" s="9" t="s">
        <v>368</v>
      </c>
      <c r="C9" s="9" t="s">
        <v>404</v>
      </c>
      <c r="D9" s="14" t="s">
        <v>405</v>
      </c>
      <c r="E9" s="9">
        <v>0</v>
      </c>
      <c r="F9" s="9" t="s">
        <v>11</v>
      </c>
      <c r="G9" s="9" t="s">
        <v>414</v>
      </c>
      <c r="H9" s="23"/>
      <c r="I9" s="14" t="str">
        <f t="shared" ref="I9:I14" si="0">CONCATENATE("* ",B9, " ",E9,"..",F9," ",G9," ##34#",C9,"##34# ##334#",D9,"##334#")</f>
        <v>* name 0..* HumanName ##34#A.1.5.2 Author name##34# ##334#Person or device name. - Preferred system(s): ##334#</v>
      </c>
    </row>
    <row r="10" spans="1:11" ht="30.25" customHeight="1" x14ac:dyDescent="0.75">
      <c r="A10" s="9">
        <v>3</v>
      </c>
      <c r="B10" s="9" t="s">
        <v>369</v>
      </c>
      <c r="C10" s="9" t="s">
        <v>534</v>
      </c>
      <c r="D10" s="14" t="s">
        <v>386</v>
      </c>
      <c r="E10" s="9">
        <v>0</v>
      </c>
      <c r="F10" s="9" t="s">
        <v>11</v>
      </c>
      <c r="G10" s="9" t="s">
        <v>370</v>
      </c>
      <c r="H10" s="23"/>
      <c r="I10" s="14" t="str">
        <f t="shared" si="0"/>
        <v>* organization 0..* Organization ##34#A.1.5.3 Author organization##34# ##334#The healthcare provider organization information. - Preferred system(s): ##334#</v>
      </c>
    </row>
    <row r="11" spans="1:11" ht="45" customHeight="1" x14ac:dyDescent="0.75">
      <c r="A11" s="59">
        <v>4</v>
      </c>
      <c r="B11" s="59"/>
      <c r="D11" s="60"/>
      <c r="E11" s="59"/>
      <c r="F11" s="59"/>
      <c r="G11" s="59"/>
      <c r="H11" s="23"/>
      <c r="I11" s="14" t="str">
        <f t="shared" si="0"/>
        <v>*  ..  ##34###34# ##334###334#</v>
      </c>
    </row>
    <row r="12" spans="1:11" x14ac:dyDescent="0.75">
      <c r="A12" s="9">
        <v>5</v>
      </c>
      <c r="B12" s="9"/>
      <c r="C12" s="9"/>
      <c r="D12" s="14"/>
      <c r="E12" s="9"/>
      <c r="F12" s="9"/>
      <c r="G12" s="9"/>
      <c r="H12" s="23"/>
      <c r="I12" s="14" t="str">
        <f t="shared" si="0"/>
        <v>*  ..  ##34###34# ##334###334#</v>
      </c>
    </row>
    <row r="13" spans="1:11" x14ac:dyDescent="0.75">
      <c r="A13" s="9">
        <v>6</v>
      </c>
      <c r="B13" s="9"/>
      <c r="C13" s="16"/>
      <c r="D13" s="14"/>
      <c r="E13" s="9"/>
      <c r="F13" s="9"/>
      <c r="G13" s="9"/>
      <c r="H13" s="23"/>
      <c r="I13" s="14" t="str">
        <f t="shared" si="0"/>
        <v>*  ..  ##34###34# ##334###334#</v>
      </c>
    </row>
    <row r="14" spans="1:11" x14ac:dyDescent="0.75">
      <c r="A14" s="9">
        <v>7</v>
      </c>
      <c r="B14" s="9"/>
      <c r="C14" s="16"/>
      <c r="D14" s="52"/>
      <c r="E14" s="9"/>
      <c r="F14" s="9"/>
      <c r="G14" s="9"/>
      <c r="H14" s="23"/>
      <c r="I14" s="14" t="str">
        <f t="shared" si="0"/>
        <v>*  ..  ##34###34# ##334###334#</v>
      </c>
    </row>
    <row r="15" spans="1:11" x14ac:dyDescent="0.75">
      <c r="A15" s="9">
        <v>8</v>
      </c>
      <c r="B15" s="9"/>
      <c r="C15" s="9"/>
      <c r="D15" s="14"/>
      <c r="E15" s="9"/>
      <c r="F15" s="9"/>
      <c r="G15" s="9"/>
      <c r="H15" s="23"/>
      <c r="I15" s="14"/>
      <c r="J15" s="16"/>
      <c r="K15" s="9"/>
    </row>
    <row r="16" spans="1:11" ht="29.5" customHeight="1" x14ac:dyDescent="0.75">
      <c r="A16" s="9">
        <v>9</v>
      </c>
      <c r="B16" s="9"/>
      <c r="C16" s="9"/>
      <c r="D16" s="14"/>
      <c r="E16" s="9"/>
      <c r="F16" s="9"/>
      <c r="G16" s="53"/>
      <c r="H16" s="9"/>
      <c r="I16" s="14"/>
    </row>
    <row r="17" spans="2:9" x14ac:dyDescent="0.75">
      <c r="I17" s="14"/>
    </row>
    <row r="18" spans="2:9" x14ac:dyDescent="0.75">
      <c r="I18" s="14"/>
    </row>
    <row r="19" spans="2:9" x14ac:dyDescent="0.75">
      <c r="I19" s="14"/>
    </row>
    <row r="20" spans="2:9" x14ac:dyDescent="0.75">
      <c r="I20" s="14"/>
    </row>
    <row r="21" spans="2:9" x14ac:dyDescent="0.75">
      <c r="B21" t="str">
        <f t="shared" ref="B21" si="1">CONCATENATE(C21," ",D21)</f>
        <v xml:space="preserve"> </v>
      </c>
      <c r="I21"/>
    </row>
    <row r="25" spans="2:9" ht="15.5" thickBot="1" x14ac:dyDescent="0.9"/>
    <row r="26" spans="2:9" ht="16.75" customHeight="1" thickBot="1" x14ac:dyDescent="0.9">
      <c r="C26" s="91" t="s">
        <v>93</v>
      </c>
      <c r="D26" s="92"/>
      <c r="E26" s="92"/>
      <c r="F26" s="93"/>
    </row>
    <row r="27" spans="2:9" ht="409.6" thickBot="1" x14ac:dyDescent="0.9">
      <c r="B27" t="str">
        <f t="shared" ref="B27:B29" si="2">CONCATENATE(C27," ",D27)</f>
        <v>A.1.5.1 Author identifier</v>
      </c>
      <c r="C27" s="36" t="s">
        <v>94</v>
      </c>
      <c r="D27" s="37" t="s">
        <v>95</v>
      </c>
      <c r="E27" s="37" t="s">
        <v>536</v>
      </c>
      <c r="F27" s="42"/>
      <c r="I27" s="1" t="str">
        <f t="shared" ref="I27:I29" si="3">CONCATENATE(E27," - Preferred system(s): ",F27)</f>
        <v xml:space="preserve">The health professional or authoring device identification number. Either an internal identifier assigned by a healthcare provider institution or (preferably) a national health professional ID such as the license or registration number.  - Preferred system(s): </v>
      </c>
    </row>
    <row r="28" spans="2:9" ht="48.75" thickBot="1" x14ac:dyDescent="0.9">
      <c r="B28" t="str">
        <f t="shared" si="2"/>
        <v>A.1.5.2 Author name</v>
      </c>
      <c r="C28" s="36" t="s">
        <v>97</v>
      </c>
      <c r="D28" s="37" t="s">
        <v>98</v>
      </c>
      <c r="E28" s="37" t="s">
        <v>99</v>
      </c>
      <c r="F28" s="42"/>
      <c r="I28" s="1" t="str">
        <f t="shared" si="3"/>
        <v xml:space="preserve">Person or device name. - Preferred system(s): </v>
      </c>
    </row>
    <row r="29" spans="2:9" ht="112.75" thickBot="1" x14ac:dyDescent="0.9">
      <c r="B29" t="str">
        <f t="shared" si="2"/>
        <v xml:space="preserve">A.1.5.3 Author organization </v>
      </c>
      <c r="C29" s="36" t="s">
        <v>100</v>
      </c>
      <c r="D29" s="37" t="s">
        <v>537</v>
      </c>
      <c r="E29" s="37" t="s">
        <v>92</v>
      </c>
      <c r="F29" s="42"/>
      <c r="I29" s="1" t="str">
        <f t="shared" si="3"/>
        <v xml:space="preserve">The healthcare provider organization information. - Preferred system(s): </v>
      </c>
    </row>
  </sheetData>
  <mergeCells count="1">
    <mergeCell ref="C26:F26"/>
  </mergeCells>
  <pageMargins left="0.7" right="0.7" top="0.75" bottom="0.75" header="0.3" footer="0.3"/>
  <pageSetup paperSize="9" orientation="portrait"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A78C68-4D08-4DF9-931B-E8C6BAC0DAB1}">
  <sheetPr codeName="Foglio37"/>
  <dimension ref="A1:O25"/>
  <sheetViews>
    <sheetView workbookViewId="0">
      <selection activeCell="C4" sqref="C4"/>
    </sheetView>
  </sheetViews>
  <sheetFormatPr defaultRowHeight="14.75" x14ac:dyDescent="0.75"/>
  <cols>
    <col min="2" max="2" width="31.6796875" bestFit="1" customWidth="1"/>
    <col min="3" max="3" width="74.86328125" customWidth="1"/>
    <col min="4" max="4" width="8.04296875" customWidth="1"/>
    <col min="5" max="5" width="71.58984375" style="1" customWidth="1"/>
    <col min="6" max="6" width="10.76953125" customWidth="1"/>
    <col min="7" max="7" width="45.26953125" customWidth="1"/>
  </cols>
  <sheetData>
    <row r="1" spans="1:15" x14ac:dyDescent="0.75">
      <c r="E1" s="24" t="s">
        <v>37</v>
      </c>
      <c r="H1" s="10"/>
      <c r="I1" s="10"/>
      <c r="J1" s="10"/>
      <c r="K1" s="10"/>
      <c r="L1" s="10"/>
      <c r="M1" s="10"/>
      <c r="N1" s="10"/>
      <c r="O1" s="10"/>
    </row>
    <row r="2" spans="1:15" x14ac:dyDescent="0.75">
      <c r="E2" s="31" t="s">
        <v>38</v>
      </c>
      <c r="H2" s="10"/>
      <c r="I2" s="10"/>
      <c r="J2" s="10"/>
      <c r="K2" s="10"/>
      <c r="L2" s="10"/>
      <c r="M2" s="10"/>
      <c r="N2" s="10"/>
      <c r="O2" s="10"/>
    </row>
    <row r="3" spans="1:15" ht="15.5" thickBot="1" x14ac:dyDescent="0.9">
      <c r="E3" s="31" t="str">
        <f>E1</f>
        <v>// -------------------------------------------------------------------------------</v>
      </c>
      <c r="H3" s="10"/>
      <c r="I3" s="10"/>
      <c r="J3" s="10"/>
      <c r="K3" s="10"/>
      <c r="L3" s="10"/>
      <c r="M3" s="10"/>
      <c r="N3" s="10"/>
      <c r="O3" s="10"/>
    </row>
    <row r="4" spans="1:15" ht="15.5" thickBot="1" x14ac:dyDescent="0.9">
      <c r="B4" s="13" t="s">
        <v>34</v>
      </c>
      <c r="C4" s="7" t="s">
        <v>412</v>
      </c>
      <c r="E4" s="28" t="str">
        <f>CONCATENATE("Mapping: ",C4)</f>
        <v>Mapping: eHNLabAuthor2Fhir</v>
      </c>
      <c r="G4" t="s">
        <v>20</v>
      </c>
      <c r="H4" s="10"/>
      <c r="I4" s="10"/>
      <c r="J4" s="10"/>
      <c r="K4" s="10"/>
      <c r="L4" s="10"/>
      <c r="M4" s="10"/>
      <c r="N4" s="10"/>
      <c r="O4" s="10"/>
    </row>
    <row r="5" spans="1:15" ht="15.5" thickBot="1" x14ac:dyDescent="0.9">
      <c r="B5" s="13" t="s">
        <v>19</v>
      </c>
      <c r="C5" s="5" t="s">
        <v>16</v>
      </c>
      <c r="E5" s="29" t="str">
        <f>CONCATENATE("Id: ",C5)</f>
        <v>Id: fhir</v>
      </c>
      <c r="G5" s="1" t="s">
        <v>21</v>
      </c>
      <c r="H5" s="10"/>
      <c r="I5" s="10"/>
      <c r="J5" s="10"/>
      <c r="K5" s="10"/>
      <c r="L5" s="10"/>
      <c r="M5" s="10"/>
      <c r="N5" s="10"/>
      <c r="O5" s="10"/>
    </row>
    <row r="6" spans="1:15" ht="15.5" thickBot="1" x14ac:dyDescent="0.9">
      <c r="B6" s="13" t="s">
        <v>13</v>
      </c>
      <c r="C6" s="22" t="s">
        <v>413</v>
      </c>
      <c r="E6" s="29" t="str">
        <f>CONCATENATE("Title: ##34#",C6,"##34#")</f>
        <v>Title: ##34#eHN Lab Author model to FHIR R4 Map##34#</v>
      </c>
      <c r="G6" s="1" t="s">
        <v>22</v>
      </c>
      <c r="H6" s="10"/>
      <c r="I6" s="10"/>
      <c r="J6" s="10"/>
      <c r="K6" s="10"/>
      <c r="L6" s="10"/>
      <c r="M6" s="10"/>
      <c r="N6" s="10"/>
      <c r="O6" s="10"/>
    </row>
    <row r="7" spans="1:15" ht="15.5" thickBot="1" x14ac:dyDescent="0.9">
      <c r="B7" s="13" t="s">
        <v>35</v>
      </c>
      <c r="C7" s="11" t="str">
        <f>B9</f>
        <v>Author</v>
      </c>
      <c r="E7" s="29" t="str">
        <f>CONCATENATE("Source: ",C7)</f>
        <v>Source: Author</v>
      </c>
      <c r="G7" s="1" t="s">
        <v>23</v>
      </c>
      <c r="H7" s="10"/>
      <c r="I7" s="10"/>
      <c r="J7" s="10"/>
      <c r="K7" s="10"/>
      <c r="L7" s="10"/>
      <c r="M7" s="10"/>
      <c r="N7" s="10"/>
      <c r="O7" s="10"/>
    </row>
    <row r="8" spans="1:15" ht="15.5" thickBot="1" x14ac:dyDescent="0.9">
      <c r="B8" s="27" t="s">
        <v>18</v>
      </c>
      <c r="C8" t="s">
        <v>15</v>
      </c>
      <c r="E8" s="30" t="str">
        <f>CONCATENATE("Target: ##34#",C8,"##34#")</f>
        <v>Target: ##34#hl7.org/fhir/r4##34#</v>
      </c>
      <c r="G8" s="1" t="s">
        <v>24</v>
      </c>
      <c r="H8" s="10"/>
      <c r="I8" s="10"/>
      <c r="J8" s="10"/>
      <c r="K8" s="10"/>
      <c r="L8" s="10"/>
      <c r="M8" s="10"/>
      <c r="N8" s="10"/>
      <c r="O8" s="10"/>
    </row>
    <row r="9" spans="1:15" x14ac:dyDescent="0.75">
      <c r="A9" s="9"/>
      <c r="B9" s="9" t="str">
        <f>'A1.5 Author'!B5</f>
        <v>Author</v>
      </c>
      <c r="C9" s="8" t="s">
        <v>581</v>
      </c>
      <c r="E9" s="4" t="str">
        <f>CONCATENATE("* -&gt; ##34#",C9,"##34#")</f>
        <v>* -&gt; ##34#Composition.author.resolve()##34#</v>
      </c>
      <c r="H9" s="10"/>
      <c r="I9" s="10"/>
      <c r="J9" s="10"/>
      <c r="K9" s="10"/>
      <c r="L9" s="10"/>
      <c r="M9" s="10"/>
      <c r="N9" s="10"/>
      <c r="O9" s="10"/>
    </row>
    <row r="10" spans="1:15" ht="44.25" x14ac:dyDescent="0.75">
      <c r="A10" s="9"/>
      <c r="B10" s="62" t="str">
        <f>'A1.5 Author'!$B$8</f>
        <v>identifier</v>
      </c>
      <c r="C10" s="9" t="s">
        <v>582</v>
      </c>
      <c r="E10" s="14" t="str">
        <f t="shared" ref="E10:E18" si="0">IF(B10=0,"*  -&gt; ##34###34#",CONCATENATE("* ",B10," -&gt; ##34#",C10,"##34#"))</f>
        <v>* identifier -&gt; ##34#Composition.author.resolve().ofType(PractictionerRole).practictioner.resolve().identifier##34#</v>
      </c>
      <c r="G10" s="1" t="s">
        <v>25</v>
      </c>
      <c r="H10" s="10"/>
      <c r="I10" s="10"/>
      <c r="J10" s="10"/>
      <c r="K10" s="10"/>
      <c r="L10" s="10"/>
      <c r="M10" s="10"/>
      <c r="N10" s="10"/>
      <c r="O10" s="10"/>
    </row>
    <row r="11" spans="1:15" ht="29.5" x14ac:dyDescent="0.75">
      <c r="A11" s="9"/>
      <c r="B11" s="62" t="str">
        <f>'A1.5 Author'!$B$8</f>
        <v>identifier</v>
      </c>
      <c r="C11" s="9" t="s">
        <v>583</v>
      </c>
      <c r="E11" s="14" t="str">
        <f t="shared" si="0"/>
        <v>* identifier -&gt; ##34#Composition.author.resolve().ofType(PractictionerRole).identifier##34#</v>
      </c>
      <c r="G11" s="1"/>
      <c r="H11" s="10"/>
      <c r="I11" s="10"/>
      <c r="J11" s="10"/>
      <c r="K11" s="10"/>
      <c r="L11" s="10"/>
      <c r="M11" s="10"/>
      <c r="N11" s="10"/>
      <c r="O11" s="10"/>
    </row>
    <row r="12" spans="1:15" ht="44.25" x14ac:dyDescent="0.75">
      <c r="A12" s="9"/>
      <c r="B12" s="9" t="str">
        <f>'A1.5 Author'!B9</f>
        <v>name</v>
      </c>
      <c r="C12" s="9" t="s">
        <v>584</v>
      </c>
      <c r="E12" s="14" t="str">
        <f t="shared" si="0"/>
        <v>* name -&gt; ##34#Composition.author.resolve().ofType(PractictionerRole).practictioner.resolve().name##34#</v>
      </c>
      <c r="G12" s="1" t="s">
        <v>26</v>
      </c>
      <c r="H12" s="10"/>
      <c r="I12" s="10"/>
      <c r="J12" s="10"/>
      <c r="K12" s="10"/>
      <c r="L12" s="10"/>
      <c r="M12" s="10"/>
      <c r="N12" s="10"/>
      <c r="O12" s="10"/>
    </row>
    <row r="13" spans="1:15" ht="44.25" x14ac:dyDescent="0.75">
      <c r="A13" s="9"/>
      <c r="B13" s="9" t="str">
        <f>'A1.5 Author'!B10</f>
        <v>organization</v>
      </c>
      <c r="C13" s="9" t="s">
        <v>585</v>
      </c>
      <c r="E13" s="14" t="str">
        <f t="shared" si="0"/>
        <v>* organization -&gt; ##34#Composition.author.resolve().ofType(PractictionerRole).organization.resolve()##34#</v>
      </c>
      <c r="G13" s="1" t="s">
        <v>27</v>
      </c>
      <c r="H13" s="10"/>
      <c r="I13" s="10"/>
      <c r="J13" s="10"/>
      <c r="K13" s="10"/>
      <c r="L13" s="10"/>
      <c r="M13" s="10"/>
      <c r="N13" s="10"/>
      <c r="O13" s="10"/>
    </row>
    <row r="14" spans="1:15" x14ac:dyDescent="0.75">
      <c r="A14" s="9"/>
      <c r="B14" s="9">
        <f>'A1.5 Author'!B11</f>
        <v>0</v>
      </c>
      <c r="C14" s="9"/>
      <c r="E14" s="14" t="str">
        <f t="shared" si="0"/>
        <v>*  -&gt; ##34###34#</v>
      </c>
      <c r="G14" s="1" t="s">
        <v>28</v>
      </c>
      <c r="H14" s="10"/>
      <c r="I14" s="10"/>
      <c r="J14" s="10"/>
      <c r="K14" s="10"/>
      <c r="L14" s="10"/>
      <c r="M14" s="10"/>
      <c r="N14" s="10"/>
      <c r="O14" s="10"/>
    </row>
    <row r="15" spans="1:15" x14ac:dyDescent="0.75">
      <c r="A15" s="9"/>
      <c r="B15" s="9">
        <f>'A1.5 Author'!B12</f>
        <v>0</v>
      </c>
      <c r="C15" s="9"/>
      <c r="E15" s="14" t="str">
        <f t="shared" si="0"/>
        <v>*  -&gt; ##34###34#</v>
      </c>
      <c r="G15" s="1" t="s">
        <v>29</v>
      </c>
      <c r="H15" s="10"/>
      <c r="I15" s="10"/>
      <c r="J15" s="10"/>
      <c r="K15" s="10"/>
      <c r="L15" s="10"/>
      <c r="M15" s="10"/>
      <c r="N15" s="10"/>
      <c r="O15" s="10"/>
    </row>
    <row r="16" spans="1:15" ht="29.5" x14ac:dyDescent="0.75">
      <c r="A16" s="9"/>
      <c r="B16" s="9">
        <f>'A1.5 Author'!B13</f>
        <v>0</v>
      </c>
      <c r="C16" s="9"/>
      <c r="E16" s="14" t="str">
        <f t="shared" si="0"/>
        <v>*  -&gt; ##34###34#</v>
      </c>
      <c r="G16" s="1" t="s">
        <v>30</v>
      </c>
      <c r="H16" s="10"/>
      <c r="I16" s="10"/>
      <c r="J16" s="10"/>
      <c r="K16" s="10"/>
      <c r="L16" s="10"/>
      <c r="M16" s="10"/>
      <c r="N16" s="10"/>
      <c r="O16" s="10"/>
    </row>
    <row r="17" spans="1:15" ht="29.5" x14ac:dyDescent="0.75">
      <c r="A17" s="9"/>
      <c r="B17" s="9"/>
      <c r="C17" s="9"/>
      <c r="E17" s="14" t="str">
        <f t="shared" si="0"/>
        <v>*  -&gt; ##34###34#</v>
      </c>
      <c r="G17" s="1" t="s">
        <v>31</v>
      </c>
      <c r="H17" s="10"/>
      <c r="I17" s="10"/>
      <c r="J17" s="10"/>
      <c r="K17" s="10"/>
      <c r="L17" s="10"/>
      <c r="M17" s="10"/>
      <c r="N17" s="10"/>
      <c r="O17" s="10"/>
    </row>
    <row r="18" spans="1:15" ht="29.5" x14ac:dyDescent="0.75">
      <c r="A18" s="9"/>
      <c r="B18" s="9"/>
      <c r="C18" s="9"/>
      <c r="E18" s="14" t="str">
        <f t="shared" si="0"/>
        <v>*  -&gt; ##34###34#</v>
      </c>
      <c r="G18" s="1" t="s">
        <v>32</v>
      </c>
    </row>
    <row r="19" spans="1:15" x14ac:dyDescent="0.75">
      <c r="A19" s="9"/>
      <c r="B19" s="9"/>
      <c r="C19" s="9"/>
      <c r="E19" s="14" t="str">
        <f t="shared" ref="E19" si="1">IF(B19=0,"*  -&gt; ##34###34#",CONCATENATE("* ",B19," -&gt; ##34#",C19,"##34#"))</f>
        <v>*  -&gt; ##34###34#</v>
      </c>
      <c r="G19" s="1" t="s">
        <v>33</v>
      </c>
    </row>
    <row r="20" spans="1:15" x14ac:dyDescent="0.75">
      <c r="A20" s="9"/>
      <c r="B20" s="9"/>
      <c r="C20" s="9"/>
      <c r="E20" s="14"/>
    </row>
    <row r="21" spans="1:15" x14ac:dyDescent="0.75">
      <c r="A21" s="9"/>
      <c r="B21" s="9"/>
      <c r="C21" s="14"/>
      <c r="E21" s="14"/>
    </row>
    <row r="22" spans="1:15" x14ac:dyDescent="0.75">
      <c r="B22" s="9"/>
      <c r="E22" s="14"/>
    </row>
    <row r="23" spans="1:15" x14ac:dyDescent="0.75">
      <c r="B23" s="9"/>
      <c r="E23" s="14"/>
    </row>
    <row r="24" spans="1:15" x14ac:dyDescent="0.75">
      <c r="E24" s="14"/>
    </row>
    <row r="25" spans="1:15" x14ac:dyDescent="0.75">
      <c r="E25" s="22"/>
    </row>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6C0B42-9517-45C4-BBB9-BFBAD4C082B0}">
  <sheetPr codeName="Foglio12">
    <tabColor theme="8" tint="-0.249977111117893"/>
  </sheetPr>
  <dimension ref="C1:G51"/>
  <sheetViews>
    <sheetView workbookViewId="0"/>
  </sheetViews>
  <sheetFormatPr defaultRowHeight="14.75" x14ac:dyDescent="0.75"/>
  <cols>
    <col min="3" max="3" width="108.2265625" style="14" customWidth="1"/>
    <col min="4" max="4" width="5.26953125" customWidth="1"/>
    <col min="5" max="5" width="4.81640625" customWidth="1"/>
    <col min="7" max="7" width="37.08984375" customWidth="1"/>
  </cols>
  <sheetData>
    <row r="1" spans="3:7" ht="15.5" thickBot="1" x14ac:dyDescent="0.9">
      <c r="C1" s="32" t="str">
        <f>'A1.5 Author'!I1</f>
        <v>// -------------------------------------------------------------------------------</v>
      </c>
    </row>
    <row r="2" spans="3:7" ht="16.75" thickBot="1" x14ac:dyDescent="0.9">
      <c r="C2" s="33" t="str">
        <f>'A1.5 Author'!I2</f>
        <v>//  Logical Model</v>
      </c>
      <c r="G2" s="56" t="s">
        <v>406</v>
      </c>
    </row>
    <row r="3" spans="3:7" x14ac:dyDescent="0.75">
      <c r="C3" s="33" t="str">
        <f>'A1.5 Author'!I3</f>
        <v>// -------------------------------------------------------------------------------</v>
      </c>
    </row>
    <row r="4" spans="3:7" x14ac:dyDescent="0.75">
      <c r="C4" s="25" t="str">
        <f>'A1.5 Author'!I4</f>
        <v>Logical: AuthorLabEhn</v>
      </c>
    </row>
    <row r="5" spans="3:7" x14ac:dyDescent="0.75">
      <c r="C5" s="25" t="str">
        <f>'A1.5 Author'!I5</f>
        <v>Id: Author</v>
      </c>
    </row>
    <row r="6" spans="3:7" x14ac:dyDescent="0.75">
      <c r="C6" s="25" t="str">
        <f>'A1.5 Author'!I6</f>
        <v>Title: ##34#Author (A.1.5)##34#</v>
      </c>
    </row>
    <row r="7" spans="3:7" x14ac:dyDescent="0.75">
      <c r="C7" s="25" t="str">
        <f>'A1.5 Author'!I7</f>
        <v>Description:  ##334#A.1.5 Author (by whom the Laboratory result report or a subset of its results was authored)##334#</v>
      </c>
    </row>
    <row r="8" spans="3:7" ht="44.25" x14ac:dyDescent="0.75">
      <c r="C8" s="14" t="str">
        <f>IF('A1.5 Author'!I8="*  ..  ##34###34# ##334###334#","//--- END",'A1.5 Author'!I8)</f>
        <v>* identifier 0..1 Identifier ##34#A.1.5.1 Author identifier##34# ##334#The health professional or authoring device identification number. Either an internal identifier assigned by a healthcare provider institution or (preferably) a national health professional ID such as the license or registration number.  - Preferred system(s): ##334#</v>
      </c>
    </row>
    <row r="9" spans="3:7" x14ac:dyDescent="0.75">
      <c r="C9" s="14" t="str">
        <f>IF('A1.5 Author'!I9="*  ..  ##34###34# ##334###334#","//--- END",'A1.5 Author'!I9)</f>
        <v>* name 0..* HumanName ##34#A.1.5.2 Author name##34# ##334#Person or device name. - Preferred system(s): ##334#</v>
      </c>
    </row>
    <row r="10" spans="3:7" ht="29.5" x14ac:dyDescent="0.75">
      <c r="C10" s="14" t="str">
        <f>IF('A1.5 Author'!I10="*  ..  ##34###34# ##334###334#","//--- END",'A1.5 Author'!I10)</f>
        <v>* organization 0..* Organization ##34#A.1.5.3 Author organization##34# ##334#The healthcare provider organization information. - Preferred system(s): ##334#</v>
      </c>
      <c r="E10" t="s">
        <v>307</v>
      </c>
    </row>
    <row r="11" spans="3:7" x14ac:dyDescent="0.75">
      <c r="C11" s="14" t="str">
        <f>IF('A1.5 Author'!I11="*  ..  ##34###34# ##334###334#","//--- END",'A1.5 Author'!I11)</f>
        <v>//--- END</v>
      </c>
    </row>
    <row r="12" spans="3:7" x14ac:dyDescent="0.75">
      <c r="C12" s="14" t="str">
        <f>IF('A1.5 Author'!I12="*  ..  ##34###34# ##334###334#","//--- END",'A1.5 Author'!I12)</f>
        <v>//--- END</v>
      </c>
    </row>
    <row r="13" spans="3:7" x14ac:dyDescent="0.75">
      <c r="C13" s="14" t="str">
        <f>IF('A1.5 Author'!I13="*  ..  ##34###34# ##334###334#","//--- END",'A1.5 Author'!I13)</f>
        <v>//--- END</v>
      </c>
    </row>
    <row r="14" spans="3:7" x14ac:dyDescent="0.75">
      <c r="C14" s="14" t="str">
        <f>IF('A1.5 Author'!I14="*  ..  ##34###34# ##334###334#","//--- END",'A1.5 Author'!I14)</f>
        <v>//--- END</v>
      </c>
    </row>
    <row r="30" spans="3:3" x14ac:dyDescent="0.75">
      <c r="C30" s="32" t="str">
        <f>'Author-Map-1'!E1</f>
        <v>// -------------------------------------------------------------------------------</v>
      </c>
    </row>
    <row r="31" spans="3:3" x14ac:dyDescent="0.75">
      <c r="C31" s="33" t="str">
        <f>'Author-Map-1'!E2</f>
        <v>//  Map to FHIR R4</v>
      </c>
    </row>
    <row r="32" spans="3:3" x14ac:dyDescent="0.75">
      <c r="C32" s="33" t="str">
        <f>'Author-Map-1'!E3</f>
        <v>// -------------------------------------------------------------------------------</v>
      </c>
    </row>
    <row r="33" spans="3:7" x14ac:dyDescent="0.75">
      <c r="C33" s="14" t="str">
        <f>'Author-Map-1'!E4</f>
        <v>Mapping: eHNLabAuthor2Fhir</v>
      </c>
    </row>
    <row r="34" spans="3:7" x14ac:dyDescent="0.75">
      <c r="C34" s="14" t="str">
        <f>'Author-Map-1'!E5</f>
        <v>Id: fhir</v>
      </c>
    </row>
    <row r="35" spans="3:7" x14ac:dyDescent="0.75">
      <c r="C35" s="14" t="str">
        <f>'Author-Map-1'!E6</f>
        <v>Title: ##34#eHN Lab Author model to FHIR R4 Map##34#</v>
      </c>
    </row>
    <row r="36" spans="3:7" x14ac:dyDescent="0.75">
      <c r="C36" s="14" t="str">
        <f>'Author-Map-1'!E7</f>
        <v>Source: Author</v>
      </c>
    </row>
    <row r="37" spans="3:7" x14ac:dyDescent="0.75">
      <c r="C37" s="14" t="str">
        <f>'Author-Map-1'!E8</f>
        <v>Target: ##34#hl7.org/fhir/r4##34#</v>
      </c>
    </row>
    <row r="39" spans="3:7" x14ac:dyDescent="0.75">
      <c r="C39" s="14" t="str">
        <f>'Author-Map-1'!E9</f>
        <v>* -&gt; ##34#Composition.author.resolve()##34#</v>
      </c>
    </row>
    <row r="40" spans="3:7" x14ac:dyDescent="0.75">
      <c r="C40" s="14" t="str">
        <f>IF('Author-Map-1'!E10="*  -&gt; ##34###34#","// --END",'Author-Map-1'!E10)</f>
        <v>* identifier -&gt; ##34#Composition.author.resolve().ofType(PractictionerRole).practictioner.resolve().identifier##34#</v>
      </c>
    </row>
    <row r="41" spans="3:7" x14ac:dyDescent="0.75">
      <c r="C41" s="14" t="str">
        <f>IF('Author-Map-1'!E11="*  -&gt; ##34###34#","// --END",'Author-Map-1'!E11)</f>
        <v>* identifier -&gt; ##34#Composition.author.resolve().ofType(PractictionerRole).identifier##34#</v>
      </c>
    </row>
    <row r="42" spans="3:7" x14ac:dyDescent="0.75">
      <c r="C42" s="14" t="str">
        <f>IF('Author-Map-1'!E12="*  -&gt; ##34###34#","// --END",'Author-Map-1'!E12)</f>
        <v>* name -&gt; ##34#Composition.author.resolve().ofType(PractictionerRole).practictioner.resolve().name##34#</v>
      </c>
    </row>
    <row r="43" spans="3:7" x14ac:dyDescent="0.75">
      <c r="C43" s="14" t="str">
        <f>IF('Author-Map-1'!E13="*  -&gt; ##34###34#","// --END",'Author-Map-1'!E13)</f>
        <v>* organization -&gt; ##34#Composition.author.resolve().ofType(PractictionerRole).organization.resolve()##34#</v>
      </c>
    </row>
    <row r="44" spans="3:7" x14ac:dyDescent="0.75">
      <c r="C44" s="14" t="str">
        <f>IF('Author-Map-1'!E14="*  -&gt; ##34###34#","// --END",'Author-Map-1'!E14)</f>
        <v>// --END</v>
      </c>
    </row>
    <row r="45" spans="3:7" x14ac:dyDescent="0.75">
      <c r="C45" s="14" t="str">
        <f>IF('Author-Map-1'!E15="*  -&gt; ##34###34#","// --END",'Author-Map-1'!E15)</f>
        <v>// --END</v>
      </c>
    </row>
    <row r="46" spans="3:7" x14ac:dyDescent="0.75">
      <c r="C46" s="14" t="str">
        <f>IF('Author-Map-1'!E16="*  -&gt; ##34###34#","// --END",'Author-Map-1'!E16)</f>
        <v>// --END</v>
      </c>
    </row>
    <row r="47" spans="3:7" x14ac:dyDescent="0.75">
      <c r="C47" s="14" t="str">
        <f>IF('Author-Map-1'!E17="*  -&gt; ##34###34#","// --END",'Author-Map-1'!E17)</f>
        <v>// --END</v>
      </c>
    </row>
    <row r="48" spans="3:7" x14ac:dyDescent="0.75">
      <c r="C48" s="63"/>
      <c r="G48" s="10"/>
    </row>
    <row r="49" spans="3:3" x14ac:dyDescent="0.75">
      <c r="C49" s="63"/>
    </row>
    <row r="50" spans="3:3" x14ac:dyDescent="0.75">
      <c r="C50" s="63"/>
    </row>
    <row r="51" spans="3:3" x14ac:dyDescent="0.75">
      <c r="C51" s="63"/>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4993" r:id="rId3" name="Button 1">
              <controlPr defaultSize="0" print="0" autoFill="0" autoPict="0" macro="[0]!export">
                <anchor moveWithCells="1">
                  <from>
                    <xdr:col>4</xdr:col>
                    <xdr:colOff>222250</xdr:colOff>
                    <xdr:row>0</xdr:row>
                    <xdr:rowOff>171450</xdr:rowOff>
                  </from>
                  <to>
                    <xdr:col>5</xdr:col>
                    <xdr:colOff>558800</xdr:colOff>
                    <xdr:row>2</xdr:row>
                    <xdr:rowOff>44450</xdr:rowOff>
                  </to>
                </anchor>
              </controlPr>
            </control>
          </mc:Choice>
        </mc:AlternateContent>
      </controls>
    </mc:Choice>
  </mc:AlternateContent>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71D995-5C55-4187-AE00-D6CEA0B237DB}">
  <sheetPr codeName="Foglio50">
    <tabColor theme="0" tint="-0.499984740745262"/>
  </sheetPr>
  <dimension ref="A2:S52"/>
  <sheetViews>
    <sheetView workbookViewId="0">
      <selection activeCell="C4" sqref="C4"/>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73" t="s">
        <v>34</v>
      </c>
      <c r="C3" s="54" t="s">
        <v>785</v>
      </c>
      <c r="D3" s="73" t="s">
        <v>688</v>
      </c>
      <c r="E3" s="84" t="s">
        <v>753</v>
      </c>
    </row>
    <row r="4" spans="1:19" x14ac:dyDescent="0.75">
      <c r="B4" s="73" t="s">
        <v>19</v>
      </c>
      <c r="C4" s="54" t="s">
        <v>750</v>
      </c>
      <c r="D4" s="73" t="s">
        <v>689</v>
      </c>
      <c r="E4" t="s">
        <v>691</v>
      </c>
    </row>
    <row r="5" spans="1:19" x14ac:dyDescent="0.75">
      <c r="B5" s="73" t="s">
        <v>13</v>
      </c>
      <c r="C5" s="10" t="s">
        <v>754</v>
      </c>
      <c r="D5" s="73"/>
      <c r="E5" s="10"/>
    </row>
    <row r="6" spans="1:19" x14ac:dyDescent="0.75">
      <c r="B6" s="73" t="s">
        <v>35</v>
      </c>
      <c r="C6" s="72"/>
      <c r="D6" s="73" t="s">
        <v>685</v>
      </c>
      <c r="E6" s="112" t="s">
        <v>753</v>
      </c>
      <c r="F6" s="111"/>
      <c r="G6" s="111"/>
    </row>
    <row r="7" spans="1:19" x14ac:dyDescent="0.75">
      <c r="B7" s="73" t="s">
        <v>18</v>
      </c>
      <c r="C7" s="80"/>
      <c r="D7" s="73" t="s">
        <v>686</v>
      </c>
      <c r="E7" s="111" t="s">
        <v>687</v>
      </c>
      <c r="F7" s="111"/>
      <c r="G7" s="111"/>
    </row>
    <row r="8" spans="1:19" ht="44.25" x14ac:dyDescent="0.75">
      <c r="B8" s="73" t="s">
        <v>679</v>
      </c>
      <c r="C8" s="10" t="s">
        <v>751</v>
      </c>
      <c r="D8" s="73"/>
      <c r="E8" s="10"/>
      <c r="I8" s="14" t="s">
        <v>647</v>
      </c>
      <c r="J8" s="14" t="s">
        <v>648</v>
      </c>
      <c r="K8" s="14" t="s">
        <v>649</v>
      </c>
      <c r="L8" s="14" t="s">
        <v>650</v>
      </c>
      <c r="M8" s="9" t="s">
        <v>651</v>
      </c>
      <c r="P8" s="69" t="s">
        <v>652</v>
      </c>
      <c r="Q8" s="69">
        <v>6</v>
      </c>
    </row>
    <row r="9" spans="1:19" ht="29.5" x14ac:dyDescent="0.75">
      <c r="B9" s="73" t="s">
        <v>680</v>
      </c>
      <c r="C9" s="1" t="s">
        <v>752</v>
      </c>
      <c r="D9" s="73"/>
      <c r="E9"/>
      <c r="I9" s="14"/>
      <c r="J9" s="9"/>
      <c r="K9" s="9"/>
      <c r="L9" s="9"/>
      <c r="M9" s="9"/>
    </row>
    <row r="10" spans="1:19" x14ac:dyDescent="0.75">
      <c r="B10" s="73"/>
      <c r="D10" s="73"/>
      <c r="E10"/>
      <c r="I10" s="14"/>
      <c r="J10" s="9"/>
      <c r="K10" s="9"/>
      <c r="L10" s="9"/>
      <c r="M10" s="9"/>
    </row>
    <row r="11" spans="1:19" x14ac:dyDescent="0.75">
      <c r="E11" s="10"/>
      <c r="I11" s="25" t="s">
        <v>653</v>
      </c>
      <c r="J11" s="70" t="s">
        <v>654</v>
      </c>
      <c r="K11" s="25" t="s">
        <v>655</v>
      </c>
      <c r="L11" s="70" t="s">
        <v>656</v>
      </c>
      <c r="M11" s="71" t="s">
        <v>657</v>
      </c>
      <c r="N11" s="74" t="s">
        <v>644</v>
      </c>
    </row>
    <row r="12" spans="1:19" x14ac:dyDescent="0.75">
      <c r="E12" s="72"/>
      <c r="I12" s="14"/>
      <c r="J12" s="9"/>
      <c r="K12" s="9"/>
      <c r="L12" s="9"/>
      <c r="M12" s="9"/>
    </row>
    <row r="13" spans="1:19" x14ac:dyDescent="0.75">
      <c r="D13" s="14"/>
      <c r="E13" s="9"/>
      <c r="F13" s="71" t="s">
        <v>657</v>
      </c>
      <c r="G13" s="74" t="s">
        <v>644</v>
      </c>
      <c r="H13" s="74"/>
      <c r="I13" s="14"/>
      <c r="J13" s="9"/>
      <c r="K13" s="71"/>
      <c r="L13" s="71"/>
      <c r="M13" s="71"/>
      <c r="N13" s="74"/>
    </row>
    <row r="14" spans="1:19" x14ac:dyDescent="0.75">
      <c r="A14" s="23"/>
      <c r="B14" s="8" t="str">
        <f>'A1.5 Author'!B5</f>
        <v>Author</v>
      </c>
      <c r="C14" s="9"/>
      <c r="D14" s="4" t="s">
        <v>667</v>
      </c>
      <c r="E14" s="8"/>
      <c r="F14" s="75"/>
      <c r="G14" s="75"/>
      <c r="I14" s="14"/>
      <c r="J14" s="9"/>
      <c r="K14" s="9"/>
      <c r="L14" s="9"/>
      <c r="M14" s="71"/>
      <c r="N14" s="74"/>
    </row>
    <row r="15" spans="1:19" ht="73.75" x14ac:dyDescent="0.75">
      <c r="A15" s="23"/>
      <c r="B15" s="62" t="s">
        <v>692</v>
      </c>
      <c r="C15" s="62" t="s">
        <v>396</v>
      </c>
      <c r="D15" s="14" t="s">
        <v>670</v>
      </c>
      <c r="E15" s="62"/>
      <c r="F15" s="75" t="s">
        <v>659</v>
      </c>
      <c r="G15" s="75" t="s">
        <v>704</v>
      </c>
      <c r="I15" s="14" t="str">
        <f>"* group[=].element[+].code = #"&amp;$B$14&amp;"."&amp;B15</f>
        <v>* group[=].element[+].code = #Author.$this</v>
      </c>
      <c r="J15" s="14" t="str">
        <f t="shared" ref="J15" si="0">"* group[=].element[=].display = ##34#"&amp;C15&amp;"##34#"</f>
        <v>* group[=].element[=].display = ##34#A.1.5 Author##34#</v>
      </c>
      <c r="K15" s="14" t="str">
        <f t="shared" ref="K15" si="1">IF(F15="unmatched","//-- unmatched","* group[=].element[=].target.code = #"&amp;$D$14&amp;"."&amp;D15)</f>
        <v>* group[=].element[=].target.code = #DiagnosticReport.resultsInterpreter.resolve()</v>
      </c>
      <c r="L15" s="14" t="str">
        <f t="shared" ref="L15" si="2">IF(F15="unmatched","//-- unmatched","* group[=].element[=].target.display = ##34#"&amp;E15&amp;"##34#")</f>
        <v>* group[=].element[=].target.display = ##34###34#</v>
      </c>
      <c r="M15" s="14" t="str">
        <f t="shared" ref="M15" si="3">"* group[=].element[=].target.equivalence = #"&amp;F15</f>
        <v>* group[=].element[=].target.equivalence = #relatedto</v>
      </c>
      <c r="N15" s="14" t="str">
        <f t="shared" ref="N15" si="4">IF(G15&lt;&gt;"",CONCATENATE("* group[=].element[=].target.comment = ","##34#",G15,"##34#"),"")</f>
        <v>* group[=].element[=].target.comment = ##34#If the author is the interpreter##34#</v>
      </c>
      <c r="P15" s="9">
        <v>1</v>
      </c>
      <c r="Q15" s="9">
        <f t="shared" ref="Q15" si="5">IF(MOD(P15,$Q$8)=0,P15/$Q$8-1,INT(P15/$Q$8))</f>
        <v>0</v>
      </c>
      <c r="R15" s="9">
        <f t="shared" ref="R15" si="6">IF(MOD(P15,$Q$8)=0,$Q$8,MOD(P15,$Q$8))</f>
        <v>1</v>
      </c>
      <c r="S15" s="14" t="str" cm="1">
        <f t="array" ref="S15">INDEX('Author-ConceptMap-1'!$I$15:$N$123,Q15+1,R15)</f>
        <v>* group[=].element[+].code = #Author.$this</v>
      </c>
    </row>
    <row r="16" spans="1:19" ht="44.25" customHeight="1" x14ac:dyDescent="0.75">
      <c r="A16" s="23"/>
      <c r="B16" s="9" t="str">
        <f>'A1.5 Author'!B8</f>
        <v>identifier</v>
      </c>
      <c r="C16" s="9" t="str">
        <f>'A1.5 Author'!C8</f>
        <v>A.1.5.1 Author identifier</v>
      </c>
      <c r="D16" s="14" t="s">
        <v>759</v>
      </c>
      <c r="E16" s="9"/>
      <c r="F16" s="75" t="s">
        <v>659</v>
      </c>
      <c r="G16" s="75" t="s">
        <v>704</v>
      </c>
      <c r="H16" s="76"/>
      <c r="I16" s="14" t="str">
        <f>"* group[=].element[+].code = #"&amp;$B$14&amp;"."&amp;B16</f>
        <v>* group[=].element[+].code = #Author.identifier</v>
      </c>
      <c r="J16" s="14" t="str">
        <f t="shared" ref="J16" si="7">"* group[=].element[=].display = ##34#"&amp;C16&amp;"##34#"</f>
        <v>* group[=].element[=].display = ##34#A.1.5.1 Author identifier##34#</v>
      </c>
      <c r="K16" s="14" t="str">
        <f t="shared" ref="K16" si="8">IF(F16="unmatched","//-- unmatched","* group[=].element[=].target.code = #"&amp;$D$14&amp;"."&amp;D16)</f>
        <v>* group[=].element[=].target.code = #DiagnosticReport.resultsInterpreter.resolve().identifier</v>
      </c>
      <c r="L16" s="14" t="str">
        <f t="shared" ref="L16" si="9">IF(F16="unmatched","//-- unmatched","* group[=].element[=].target.display = ##34#"&amp;E16&amp;"##34#")</f>
        <v>* group[=].element[=].target.display = ##34###34#</v>
      </c>
      <c r="M16" s="14" t="str">
        <f t="shared" ref="M16" si="10">"* group[=].element[=].target.equivalence = #"&amp;F16</f>
        <v>* group[=].element[=].target.equivalence = #relatedto</v>
      </c>
      <c r="N16" s="14" t="str">
        <f t="shared" ref="N16" si="11">IF(G16&lt;&gt;"",CONCATENATE("* group[=].element[=].target.comment = ","##34#",G16,"##34#"),"")</f>
        <v>* group[=].element[=].target.comment = ##34#If the author is the interpreter##34#</v>
      </c>
      <c r="P16" s="9">
        <v>2</v>
      </c>
      <c r="Q16" s="9">
        <f t="shared" ref="Q16:Q43" si="12">IF(MOD(P16,$Q$8)=0,P16/$Q$8-1,INT(P16/$Q$8))</f>
        <v>0</v>
      </c>
      <c r="R16" s="9">
        <f t="shared" ref="R16:R43" si="13">IF(MOD(P16,$Q$8)=0,$Q$8,MOD(P16,$Q$8))</f>
        <v>2</v>
      </c>
      <c r="S16" s="14" t="str" cm="1">
        <f t="array" ref="S16">INDEX('Author-ConceptMap-1'!$I$15:$N$123,Q16+1,R16)</f>
        <v>* group[=].element[=].display = ##34#A.1.5 Author##34#</v>
      </c>
    </row>
    <row r="17" spans="1:19" ht="88.5" x14ac:dyDescent="0.75">
      <c r="A17" s="23"/>
      <c r="B17" s="9" t="str">
        <f>'A1.5 Author'!B9</f>
        <v>name</v>
      </c>
      <c r="C17" s="9" t="str">
        <f>'A1.5 Author'!C9</f>
        <v>A.1.5.2 Author name</v>
      </c>
      <c r="D17" s="14" t="s">
        <v>760</v>
      </c>
      <c r="E17" s="9"/>
      <c r="F17" s="75" t="s">
        <v>659</v>
      </c>
      <c r="G17" s="75" t="s">
        <v>704</v>
      </c>
      <c r="H17" s="76"/>
      <c r="I17" s="14" t="str">
        <f t="shared" ref="I17:I19" si="14">"* group[=].element[+].code = #"&amp;$B$14&amp;"."&amp;B17</f>
        <v>* group[=].element[+].code = #Author.name</v>
      </c>
      <c r="J17" s="14" t="str">
        <f t="shared" ref="J17:J19" si="15">"* group[=].element[=].display = ##34#"&amp;C17&amp;"##34#"</f>
        <v>* group[=].element[=].display = ##34#A.1.5.2 Author name##34#</v>
      </c>
      <c r="K17" s="14" t="str">
        <f t="shared" ref="K17:K19" si="16">IF(F17="unmatched","//-- unmatched","* group[=].element[=].target.code = #"&amp;$D$14&amp;"."&amp;D17)</f>
        <v>* group[=].element[=].target.code = #DiagnosticReport.resultsInterpreter.resolve().ofType(Practictioner).name</v>
      </c>
      <c r="L17" s="14" t="str">
        <f t="shared" ref="L17:L19" si="17">IF(F17="unmatched","//-- unmatched","* group[=].element[=].target.display = ##34#"&amp;E17&amp;"##34#")</f>
        <v>* group[=].element[=].target.display = ##34###34#</v>
      </c>
      <c r="M17" s="14" t="str">
        <f t="shared" ref="M17:M19" si="18">"* group[=].element[=].target.equivalence = #"&amp;F17</f>
        <v>* group[=].element[=].target.equivalence = #relatedto</v>
      </c>
      <c r="N17" s="14" t="str">
        <f t="shared" ref="N17:N19" si="19">IF(G17&lt;&gt;"",CONCATENATE("* group[=].element[=].target.comment = ","##34#",G17,"##34#"),"")</f>
        <v>* group[=].element[=].target.comment = ##34#If the author is the interpreter##34#</v>
      </c>
      <c r="P17" s="9">
        <v>3</v>
      </c>
      <c r="Q17" s="9">
        <f t="shared" si="12"/>
        <v>0</v>
      </c>
      <c r="R17" s="9">
        <f t="shared" si="13"/>
        <v>3</v>
      </c>
      <c r="S17" s="14" t="str" cm="1">
        <f t="array" ref="S17">INDEX('Author-ConceptMap-1'!$I$15:$N$123,Q17+1,R17)</f>
        <v>* group[=].element[=].target.code = #DiagnosticReport.resultsInterpreter.resolve()</v>
      </c>
    </row>
    <row r="18" spans="1:19" ht="103.25" x14ac:dyDescent="0.75">
      <c r="A18" s="23"/>
      <c r="B18" s="9" t="str">
        <f>'A1.5 Author'!B9</f>
        <v>name</v>
      </c>
      <c r="C18" s="9" t="str">
        <f>'A1.5 Author'!C9</f>
        <v>A.1.5.2 Author name</v>
      </c>
      <c r="D18" s="14" t="s">
        <v>761</v>
      </c>
      <c r="E18" s="9"/>
      <c r="F18" s="75" t="s">
        <v>659</v>
      </c>
      <c r="G18" s="75" t="s">
        <v>704</v>
      </c>
      <c r="H18" s="76"/>
      <c r="I18" s="14" t="str">
        <f t="shared" si="14"/>
        <v>* group[=].element[+].code = #Author.name</v>
      </c>
      <c r="J18" s="14" t="str">
        <f t="shared" si="15"/>
        <v>* group[=].element[=].display = ##34#A.1.5.2 Author name##34#</v>
      </c>
      <c r="K18" s="14" t="str">
        <f t="shared" si="16"/>
        <v>* group[=].element[=].target.code = #DiagnosticReport.resultsInterpreter.resolve().ofType(PractictionerRole).practictioner.resolve().name</v>
      </c>
      <c r="L18" s="14" t="str">
        <f t="shared" si="17"/>
        <v>* group[=].element[=].target.display = ##34###34#</v>
      </c>
      <c r="M18" s="14" t="str">
        <f t="shared" si="18"/>
        <v>* group[=].element[=].target.equivalence = #relatedto</v>
      </c>
      <c r="N18" s="14" t="str">
        <f t="shared" si="19"/>
        <v>* group[=].element[=].target.comment = ##34#If the author is the interpreter##34#</v>
      </c>
      <c r="P18" s="9">
        <v>4</v>
      </c>
      <c r="Q18" s="9">
        <f t="shared" si="12"/>
        <v>0</v>
      </c>
      <c r="R18" s="9">
        <f t="shared" si="13"/>
        <v>4</v>
      </c>
      <c r="S18" s="14" t="str" cm="1">
        <f t="array" ref="S18">INDEX('Author-ConceptMap-1'!$I$15:$N$123,Q18+1,R18)</f>
        <v>* group[=].element[=].target.display = ##34###34#</v>
      </c>
    </row>
    <row r="19" spans="1:19" ht="88.5" x14ac:dyDescent="0.75">
      <c r="A19" s="23"/>
      <c r="B19" s="9" t="str">
        <f>'A1.5 Author'!B10</f>
        <v>organization</v>
      </c>
      <c r="C19" s="9" t="str">
        <f>'A1.5 Author'!C10</f>
        <v>A.1.5.3 Author organization</v>
      </c>
      <c r="D19" s="14" t="s">
        <v>762</v>
      </c>
      <c r="E19" s="9"/>
      <c r="F19" s="75" t="s">
        <v>659</v>
      </c>
      <c r="G19" s="75" t="s">
        <v>704</v>
      </c>
      <c r="H19" s="76"/>
      <c r="I19" s="14" t="str">
        <f t="shared" si="14"/>
        <v>* group[=].element[+].code = #Author.organization</v>
      </c>
      <c r="J19" s="14" t="str">
        <f t="shared" si="15"/>
        <v>* group[=].element[=].display = ##34#A.1.5.3 Author organization##34#</v>
      </c>
      <c r="K19" s="14" t="str">
        <f t="shared" si="16"/>
        <v>* group[=].element[=].target.code = #DiagnosticReport.resultsInterpreter.resolve().ofType(PractictionerRole).organization.resolve()</v>
      </c>
      <c r="L19" s="14" t="str">
        <f t="shared" si="17"/>
        <v>* group[=].element[=].target.display = ##34###34#</v>
      </c>
      <c r="M19" s="14" t="str">
        <f t="shared" si="18"/>
        <v>* group[=].element[=].target.equivalence = #relatedto</v>
      </c>
      <c r="N19" s="14" t="str">
        <f t="shared" si="19"/>
        <v>* group[=].element[=].target.comment = ##34#If the author is the interpreter##34#</v>
      </c>
      <c r="P19" s="9">
        <v>5</v>
      </c>
      <c r="Q19" s="9">
        <f t="shared" si="12"/>
        <v>0</v>
      </c>
      <c r="R19" s="9">
        <f t="shared" si="13"/>
        <v>5</v>
      </c>
      <c r="S19" s="14" t="str" cm="1">
        <f t="array" ref="S19">INDEX('Author-ConceptMap-1'!$I$15:$N$123,Q19+1,R19)</f>
        <v>* group[=].element[=].target.equivalence = #relatedto</v>
      </c>
    </row>
    <row r="20" spans="1:19" x14ac:dyDescent="0.75">
      <c r="A20" s="23"/>
      <c r="B20" s="9"/>
      <c r="C20" s="9"/>
      <c r="D20" s="14"/>
      <c r="E20" s="9"/>
      <c r="F20" s="75"/>
      <c r="G20" s="75"/>
      <c r="H20" s="76"/>
      <c r="I20" s="14"/>
      <c r="J20" s="14"/>
      <c r="K20" s="14"/>
      <c r="L20" s="14"/>
      <c r="M20" s="14"/>
      <c r="N20" s="14"/>
      <c r="P20" s="9">
        <v>6</v>
      </c>
      <c r="Q20" s="9">
        <f t="shared" si="12"/>
        <v>0</v>
      </c>
      <c r="R20" s="9">
        <f t="shared" si="13"/>
        <v>6</v>
      </c>
      <c r="S20" s="14" t="str" cm="1">
        <f t="array" ref="S20">INDEX('Author-ConceptMap-1'!$I$15:$N$123,Q20+1,R20)</f>
        <v>* group[=].element[=].target.comment = ##34#If the author is the interpreter##34#</v>
      </c>
    </row>
    <row r="21" spans="1:19" x14ac:dyDescent="0.75">
      <c r="A21" s="23"/>
      <c r="B21" s="9"/>
      <c r="C21" s="9"/>
      <c r="D21" s="14"/>
      <c r="E21" s="9"/>
      <c r="F21" s="75"/>
      <c r="G21" s="75"/>
      <c r="H21" s="76"/>
      <c r="I21" s="14"/>
      <c r="J21" s="14"/>
      <c r="K21" s="14"/>
      <c r="L21" s="14"/>
      <c r="M21" s="14"/>
      <c r="N21" s="14"/>
      <c r="P21" s="9">
        <v>7</v>
      </c>
      <c r="Q21" s="9">
        <f t="shared" si="12"/>
        <v>1</v>
      </c>
      <c r="R21" s="9">
        <f t="shared" si="13"/>
        <v>1</v>
      </c>
      <c r="S21" s="14" t="str" cm="1">
        <f t="array" ref="S21">INDEX('Author-ConceptMap-1'!$I$15:$N$123,Q21+1,R21)</f>
        <v>* group[=].element[+].code = #Author.identifier</v>
      </c>
    </row>
    <row r="22" spans="1:19" x14ac:dyDescent="0.75">
      <c r="A22" s="23"/>
      <c r="B22" s="9"/>
      <c r="C22" s="9"/>
      <c r="D22" s="14"/>
      <c r="E22" s="9"/>
      <c r="F22" s="75"/>
      <c r="G22" s="75"/>
      <c r="H22" s="76"/>
      <c r="I22" s="14"/>
      <c r="J22" s="14"/>
      <c r="K22" s="14"/>
      <c r="L22" s="14"/>
      <c r="M22" s="14"/>
      <c r="N22" s="14"/>
      <c r="P22" s="9">
        <v>8</v>
      </c>
      <c r="Q22" s="9">
        <f t="shared" si="12"/>
        <v>1</v>
      </c>
      <c r="R22" s="9">
        <f t="shared" si="13"/>
        <v>2</v>
      </c>
      <c r="S22" s="14" t="str" cm="1">
        <f t="array" ref="S22">INDEX('Author-ConceptMap-1'!$I$15:$N$123,Q22+1,R22)</f>
        <v>* group[=].element[=].display = ##34#A.1.5.1 Author identifier##34#</v>
      </c>
    </row>
    <row r="23" spans="1:19" ht="29.5" x14ac:dyDescent="0.75">
      <c r="A23" s="23"/>
      <c r="B23" s="9"/>
      <c r="C23" s="9"/>
      <c r="D23" s="14"/>
      <c r="E23" s="9"/>
      <c r="F23" s="75"/>
      <c r="G23" s="75"/>
      <c r="H23" s="76"/>
      <c r="I23" s="14"/>
      <c r="J23" s="14"/>
      <c r="K23" s="14"/>
      <c r="L23" s="14"/>
      <c r="M23" s="14"/>
      <c r="N23" s="14"/>
      <c r="P23" s="9">
        <v>9</v>
      </c>
      <c r="Q23" s="9">
        <f t="shared" si="12"/>
        <v>1</v>
      </c>
      <c r="R23" s="9">
        <f t="shared" si="13"/>
        <v>3</v>
      </c>
      <c r="S23" s="14" t="str" cm="1">
        <f t="array" ref="S23">INDEX('Author-ConceptMap-1'!$I$15:$N$123,Q23+1,R23)</f>
        <v>* group[=].element[=].target.code = #DiagnosticReport.resultsInterpreter.resolve().identifier</v>
      </c>
    </row>
    <row r="24" spans="1:19" x14ac:dyDescent="0.75">
      <c r="A24" s="23"/>
      <c r="B24" s="9"/>
      <c r="C24" s="9"/>
      <c r="D24" s="14"/>
      <c r="E24" s="9"/>
      <c r="F24" s="75"/>
      <c r="G24" s="75"/>
      <c r="H24" s="76"/>
      <c r="I24" s="14"/>
      <c r="J24" s="14"/>
      <c r="K24" s="14"/>
      <c r="L24" s="14"/>
      <c r="M24" s="14"/>
      <c r="N24" s="14"/>
      <c r="P24" s="9">
        <v>10</v>
      </c>
      <c r="Q24" s="9">
        <f t="shared" si="12"/>
        <v>1</v>
      </c>
      <c r="R24" s="9">
        <f t="shared" si="13"/>
        <v>4</v>
      </c>
      <c r="S24" s="14" t="str" cm="1">
        <f t="array" ref="S24">INDEX('Author-ConceptMap-1'!$I$15:$N$123,Q24+1,R24)</f>
        <v>* group[=].element[=].target.display = ##34###34#</v>
      </c>
    </row>
    <row r="25" spans="1:19" x14ac:dyDescent="0.75">
      <c r="A25" s="23"/>
      <c r="B25" s="9"/>
      <c r="C25" s="9"/>
      <c r="D25" s="14"/>
      <c r="E25" s="14"/>
      <c r="F25" s="75"/>
      <c r="G25" s="75"/>
      <c r="H25" s="76"/>
      <c r="I25" s="14"/>
      <c r="J25" s="14"/>
      <c r="K25" s="14"/>
      <c r="L25" s="14"/>
      <c r="M25" s="14"/>
      <c r="N25" s="14"/>
      <c r="P25" s="9">
        <v>11</v>
      </c>
      <c r="Q25" s="9">
        <f t="shared" si="12"/>
        <v>1</v>
      </c>
      <c r="R25" s="9">
        <f t="shared" si="13"/>
        <v>5</v>
      </c>
      <c r="S25" s="14" t="str" cm="1">
        <f t="array" ref="S25">INDEX('Author-ConceptMap-1'!$I$15:$N$123,Q25+1,R25)</f>
        <v>* group[=].element[=].target.equivalence = #relatedto</v>
      </c>
    </row>
    <row r="26" spans="1:19" x14ac:dyDescent="0.75">
      <c r="A26" s="23"/>
      <c r="B26" s="9"/>
      <c r="C26" s="9"/>
      <c r="D26" s="14"/>
      <c r="E26" s="14"/>
      <c r="F26" s="75"/>
      <c r="G26" s="75"/>
      <c r="H26" s="76"/>
      <c r="I26" s="14"/>
      <c r="J26" s="14"/>
      <c r="K26" s="14"/>
      <c r="L26" s="14"/>
      <c r="M26" s="14"/>
      <c r="N26" s="14"/>
      <c r="P26" s="9">
        <v>12</v>
      </c>
      <c r="Q26" s="9">
        <f t="shared" si="12"/>
        <v>1</v>
      </c>
      <c r="R26" s="9">
        <f t="shared" si="13"/>
        <v>6</v>
      </c>
      <c r="S26" s="14" t="str" cm="1">
        <f t="array" ref="S26">INDEX('Author-ConceptMap-1'!$I$15:$N$123,Q26+1,R26)</f>
        <v>* group[=].element[=].target.comment = ##34#If the author is the interpreter##34#</v>
      </c>
    </row>
    <row r="27" spans="1:19" x14ac:dyDescent="0.75">
      <c r="B27" s="9"/>
      <c r="C27" s="9"/>
      <c r="D27" s="14"/>
      <c r="E27" s="14"/>
      <c r="F27" s="75"/>
      <c r="G27" s="75"/>
      <c r="H27" s="76"/>
      <c r="I27" s="14"/>
      <c r="J27" s="14"/>
      <c r="K27" s="14"/>
      <c r="L27" s="14"/>
      <c r="M27" s="14"/>
      <c r="N27" s="14"/>
      <c r="P27" s="9">
        <v>13</v>
      </c>
      <c r="Q27" s="9">
        <f t="shared" si="12"/>
        <v>2</v>
      </c>
      <c r="R27" s="9">
        <f t="shared" si="13"/>
        <v>1</v>
      </c>
      <c r="S27" s="14" t="str" cm="1">
        <f t="array" ref="S27">INDEX('Author-ConceptMap-1'!$I$15:$N$123,Q27+1,R27)</f>
        <v>* group[=].element[+].code = #Author.name</v>
      </c>
    </row>
    <row r="28" spans="1:19" x14ac:dyDescent="0.75">
      <c r="B28" s="9"/>
      <c r="C28" s="9"/>
      <c r="D28" s="14"/>
      <c r="E28" s="14"/>
      <c r="F28" s="75"/>
      <c r="G28" s="75"/>
      <c r="H28" s="76"/>
      <c r="I28" s="14"/>
      <c r="J28" s="14"/>
      <c r="K28" s="14"/>
      <c r="L28" s="14"/>
      <c r="M28" s="14"/>
      <c r="N28" s="14"/>
      <c r="P28" s="9">
        <v>14</v>
      </c>
      <c r="Q28" s="9">
        <f t="shared" si="12"/>
        <v>2</v>
      </c>
      <c r="R28" s="9">
        <f t="shared" si="13"/>
        <v>2</v>
      </c>
      <c r="S28" s="14" t="str" cm="1">
        <f t="array" ref="S28">INDEX('Author-ConceptMap-1'!$I$15:$N$123,Q28+1,R28)</f>
        <v>* group[=].element[=].display = ##34#A.1.5.2 Author name##34#</v>
      </c>
    </row>
    <row r="29" spans="1:19" ht="29.5" x14ac:dyDescent="0.75">
      <c r="B29" s="9"/>
      <c r="C29" s="9"/>
      <c r="D29" s="14"/>
      <c r="E29" s="14"/>
      <c r="F29" s="75"/>
      <c r="G29" s="75"/>
      <c r="H29" s="76"/>
      <c r="I29" s="14"/>
      <c r="J29" s="14"/>
      <c r="K29" s="14"/>
      <c r="L29" s="14"/>
      <c r="M29" s="14"/>
      <c r="N29" s="14"/>
      <c r="P29" s="9">
        <v>15</v>
      </c>
      <c r="Q29" s="9">
        <f t="shared" si="12"/>
        <v>2</v>
      </c>
      <c r="R29" s="9">
        <f t="shared" si="13"/>
        <v>3</v>
      </c>
      <c r="S29" s="14" t="str" cm="1">
        <f t="array" ref="S29">INDEX('Author-ConceptMap-1'!$I$15:$N$123,Q29+1,R29)</f>
        <v>* group[=].element[=].target.code = #DiagnosticReport.resultsInterpreter.resolve().ofType(Practictioner).name</v>
      </c>
    </row>
    <row r="30" spans="1:19" x14ac:dyDescent="0.75">
      <c r="B30" s="9"/>
      <c r="C30" s="9"/>
      <c r="D30" s="14"/>
      <c r="E30" s="14"/>
      <c r="F30" s="75"/>
      <c r="G30" s="75"/>
      <c r="H30" s="76"/>
      <c r="I30" s="14"/>
      <c r="J30" s="14"/>
      <c r="K30" s="14"/>
      <c r="L30" s="14"/>
      <c r="M30" s="14"/>
      <c r="N30" s="14"/>
      <c r="P30" s="9">
        <v>16</v>
      </c>
      <c r="Q30" s="9">
        <f t="shared" si="12"/>
        <v>2</v>
      </c>
      <c r="R30" s="9">
        <f t="shared" si="13"/>
        <v>4</v>
      </c>
      <c r="S30" s="14" t="str" cm="1">
        <f t="array" ref="S30">INDEX('Author-ConceptMap-1'!$I$15:$N$123,Q30+1,R30)</f>
        <v>* group[=].element[=].target.display = ##34###34#</v>
      </c>
    </row>
    <row r="31" spans="1:19" x14ac:dyDescent="0.75">
      <c r="B31" s="9"/>
      <c r="C31" s="9"/>
      <c r="D31" s="14"/>
      <c r="E31" s="14"/>
      <c r="F31" s="75"/>
      <c r="G31" s="75"/>
      <c r="H31" s="76"/>
      <c r="I31" s="14"/>
      <c r="J31" s="14"/>
      <c r="K31" s="14"/>
      <c r="L31" s="14"/>
      <c r="M31" s="14"/>
      <c r="N31" s="14"/>
      <c r="P31" s="9">
        <v>17</v>
      </c>
      <c r="Q31" s="9">
        <f t="shared" si="12"/>
        <v>2</v>
      </c>
      <c r="R31" s="9">
        <f t="shared" si="13"/>
        <v>5</v>
      </c>
      <c r="S31" s="14" t="str" cm="1">
        <f t="array" ref="S31">INDEX('Author-ConceptMap-1'!$I$15:$N$123,Q31+1,R31)</f>
        <v>* group[=].element[=].target.equivalence = #relatedto</v>
      </c>
    </row>
    <row r="32" spans="1:19" x14ac:dyDescent="0.75">
      <c r="B32" s="9"/>
      <c r="C32" s="9"/>
      <c r="D32" s="14"/>
      <c r="E32" s="14"/>
      <c r="F32" s="75"/>
      <c r="G32" s="75"/>
      <c r="H32" s="76"/>
      <c r="I32" s="14"/>
      <c r="J32" s="14"/>
      <c r="K32" s="14"/>
      <c r="L32" s="14"/>
      <c r="M32" s="14"/>
      <c r="N32" s="14"/>
      <c r="P32" s="9">
        <v>18</v>
      </c>
      <c r="Q32" s="9">
        <f t="shared" si="12"/>
        <v>2</v>
      </c>
      <c r="R32" s="9">
        <f t="shared" si="13"/>
        <v>6</v>
      </c>
      <c r="S32" s="14" t="str" cm="1">
        <f t="array" ref="S32">INDEX('Author-ConceptMap-1'!$I$15:$N$123,Q32+1,R32)</f>
        <v>* group[=].element[=].target.comment = ##34#If the author is the interpreter##34#</v>
      </c>
    </row>
    <row r="33" spans="1:19" x14ac:dyDescent="0.75">
      <c r="B33" s="9"/>
      <c r="C33" s="9"/>
      <c r="D33" s="14"/>
      <c r="E33" s="14"/>
      <c r="F33" s="75"/>
      <c r="G33" s="75"/>
      <c r="H33" s="76"/>
      <c r="I33" s="14"/>
      <c r="J33" s="14"/>
      <c r="K33" s="14"/>
      <c r="L33" s="14"/>
      <c r="M33" s="14"/>
      <c r="N33" s="14"/>
      <c r="P33" s="9">
        <v>19</v>
      </c>
      <c r="Q33" s="9">
        <f t="shared" si="12"/>
        <v>3</v>
      </c>
      <c r="R33" s="9">
        <f t="shared" si="13"/>
        <v>1</v>
      </c>
      <c r="S33" s="14" t="str" cm="1">
        <f t="array" ref="S33">INDEX('Author-ConceptMap-1'!$I$15:$N$123,Q33+1,R33)</f>
        <v>* group[=].element[+].code = #Author.name</v>
      </c>
    </row>
    <row r="34" spans="1:19" x14ac:dyDescent="0.75">
      <c r="B34" s="9"/>
      <c r="C34" s="9"/>
      <c r="D34" s="14"/>
      <c r="E34" s="14"/>
      <c r="F34" s="75"/>
      <c r="G34" s="75"/>
      <c r="H34" s="76"/>
      <c r="I34" s="14"/>
      <c r="J34" s="14"/>
      <c r="K34" s="14"/>
      <c r="L34" s="14"/>
      <c r="M34" s="14"/>
      <c r="N34" s="1"/>
      <c r="P34" s="9">
        <v>20</v>
      </c>
      <c r="Q34" s="9">
        <f t="shared" si="12"/>
        <v>3</v>
      </c>
      <c r="R34" s="9">
        <f t="shared" si="13"/>
        <v>2</v>
      </c>
      <c r="S34" s="14" t="str" cm="1">
        <f t="array" ref="S34">INDEX('Author-ConceptMap-1'!$I$15:$N$123,Q34+1,R34)</f>
        <v>* group[=].element[=].display = ##34#A.1.5.2 Author name##34#</v>
      </c>
    </row>
    <row r="35" spans="1:19" ht="44.25" x14ac:dyDescent="0.75">
      <c r="B35" s="9"/>
      <c r="C35" s="9"/>
      <c r="D35" s="14"/>
      <c r="E35" s="14"/>
      <c r="F35" s="75"/>
      <c r="G35" s="75"/>
      <c r="H35" s="76"/>
      <c r="I35" s="14"/>
      <c r="J35" s="14"/>
      <c r="K35" s="14"/>
      <c r="L35" s="14"/>
      <c r="M35" s="14"/>
      <c r="N35" s="1"/>
      <c r="P35" s="9">
        <v>21</v>
      </c>
      <c r="Q35" s="9">
        <f t="shared" si="12"/>
        <v>3</v>
      </c>
      <c r="R35" s="9">
        <f t="shared" si="13"/>
        <v>3</v>
      </c>
      <c r="S35" s="14" t="str" cm="1">
        <f t="array" ref="S35">INDEX('Author-ConceptMap-1'!$I$15:$N$123,Q35+1,R35)</f>
        <v>* group[=].element[=].target.code = #DiagnosticReport.resultsInterpreter.resolve().ofType(PractictionerRole).practictioner.resolve().name</v>
      </c>
    </row>
    <row r="36" spans="1:19" x14ac:dyDescent="0.75">
      <c r="B36" s="9"/>
      <c r="C36" s="9"/>
      <c r="D36" s="14"/>
      <c r="E36" s="14"/>
      <c r="F36" s="75"/>
      <c r="G36" s="75"/>
      <c r="H36" s="76"/>
      <c r="I36" s="14"/>
      <c r="J36" s="14"/>
      <c r="K36" s="14"/>
      <c r="L36" s="14"/>
      <c r="M36" s="14"/>
      <c r="N36" s="1"/>
      <c r="P36" s="9">
        <v>22</v>
      </c>
      <c r="Q36" s="9">
        <f t="shared" si="12"/>
        <v>3</v>
      </c>
      <c r="R36" s="9">
        <f t="shared" si="13"/>
        <v>4</v>
      </c>
      <c r="S36" s="14" t="str" cm="1">
        <f t="array" ref="S36">INDEX('Author-ConceptMap-1'!$I$15:$N$123,Q36+1,R36)</f>
        <v>* group[=].element[=].target.display = ##34###34#</v>
      </c>
    </row>
    <row r="37" spans="1:19" x14ac:dyDescent="0.75">
      <c r="B37" s="9"/>
      <c r="C37" s="9"/>
      <c r="D37" s="14"/>
      <c r="E37" s="14"/>
      <c r="F37" s="75"/>
      <c r="G37" s="75"/>
      <c r="H37" s="76"/>
      <c r="K37" s="76"/>
      <c r="L37" s="76"/>
      <c r="M37" s="74"/>
      <c r="N37" s="74"/>
      <c r="P37" s="9">
        <v>23</v>
      </c>
      <c r="Q37" s="9">
        <f t="shared" si="12"/>
        <v>3</v>
      </c>
      <c r="R37" s="9">
        <f t="shared" si="13"/>
        <v>5</v>
      </c>
      <c r="S37" s="14" t="str" cm="1">
        <f t="array" ref="S37">INDEX('Author-ConceptMap-1'!$I$15:$N$123,Q37+1,R37)</f>
        <v>* group[=].element[=].target.equivalence = #relatedto</v>
      </c>
    </row>
    <row r="38" spans="1:19" x14ac:dyDescent="0.75">
      <c r="B38" s="9"/>
      <c r="C38" s="9"/>
      <c r="D38" s="14"/>
      <c r="E38" s="14"/>
      <c r="F38" s="75"/>
      <c r="G38" s="75"/>
      <c r="H38" s="76"/>
      <c r="K38" s="76"/>
      <c r="L38" s="76"/>
      <c r="M38" s="74"/>
      <c r="N38" s="74"/>
      <c r="P38" s="9">
        <v>24</v>
      </c>
      <c r="Q38" s="9">
        <f t="shared" si="12"/>
        <v>3</v>
      </c>
      <c r="R38" s="9">
        <f t="shared" si="13"/>
        <v>6</v>
      </c>
      <c r="S38" s="14" t="str" cm="1">
        <f t="array" ref="S38">INDEX('Author-ConceptMap-1'!$I$15:$N$123,Q38+1,R38)</f>
        <v>* group[=].element[=].target.comment = ##34#If the author is the interpreter##34#</v>
      </c>
    </row>
    <row r="39" spans="1:19" s="1" customFormat="1" x14ac:dyDescent="0.75">
      <c r="A39"/>
      <c r="B39" s="9"/>
      <c r="C39" s="9"/>
      <c r="D39" s="14"/>
      <c r="E39" s="14"/>
      <c r="F39" s="75"/>
      <c r="G39" s="76"/>
      <c r="H39" s="76"/>
      <c r="J39"/>
      <c r="K39" s="76"/>
      <c r="L39" s="76"/>
      <c r="M39" s="74"/>
      <c r="N39" s="74"/>
      <c r="P39" s="9">
        <v>25</v>
      </c>
      <c r="Q39" s="9">
        <f t="shared" si="12"/>
        <v>4</v>
      </c>
      <c r="R39" s="9">
        <f t="shared" si="13"/>
        <v>1</v>
      </c>
      <c r="S39" s="14" t="str" cm="1">
        <f t="array" ref="S39">INDEX('Author-ConceptMap-1'!$I$15:$N$123,Q39+1,R39)</f>
        <v>* group[=].element[+].code = #Author.organization</v>
      </c>
    </row>
    <row r="40" spans="1:19" s="1" customFormat="1" x14ac:dyDescent="0.75">
      <c r="A40"/>
      <c r="B40" s="9"/>
      <c r="C40" s="9"/>
      <c r="D40" s="60"/>
      <c r="F40" s="76"/>
      <c r="G40" s="76"/>
      <c r="H40" s="76"/>
      <c r="J40"/>
      <c r="K40" s="76"/>
      <c r="L40" s="76"/>
      <c r="M40" s="74"/>
      <c r="N40" s="74"/>
      <c r="P40" s="9">
        <v>26</v>
      </c>
      <c r="Q40" s="9">
        <f t="shared" si="12"/>
        <v>4</v>
      </c>
      <c r="R40" s="9">
        <f t="shared" si="13"/>
        <v>2</v>
      </c>
      <c r="S40" s="14" t="str" cm="1">
        <f t="array" ref="S40">INDEX('Author-ConceptMap-1'!$I$15:$N$123,Q40+1,R40)</f>
        <v>* group[=].element[=].display = ##34#A.1.5.3 Author organization##34#</v>
      </c>
    </row>
    <row r="41" spans="1:19" s="1" customFormat="1" ht="44.25" x14ac:dyDescent="0.75">
      <c r="A41"/>
      <c r="B41" s="9"/>
      <c r="C41" s="9"/>
      <c r="F41" s="76"/>
      <c r="G41" s="76"/>
      <c r="H41" s="76"/>
      <c r="J41"/>
      <c r="K41" s="76"/>
      <c r="L41" s="76"/>
      <c r="M41" s="74"/>
      <c r="N41" s="74"/>
      <c r="P41" s="9">
        <v>27</v>
      </c>
      <c r="Q41" s="9">
        <f t="shared" si="12"/>
        <v>4</v>
      </c>
      <c r="R41" s="9">
        <f t="shared" si="13"/>
        <v>3</v>
      </c>
      <c r="S41" s="14" t="str" cm="1">
        <f t="array" ref="S41">INDEX('Author-ConceptMap-1'!$I$15:$N$123,Q41+1,R41)</f>
        <v>* group[=].element[=].target.code = #DiagnosticReport.resultsInterpreter.resolve().ofType(PractictionerRole).organization.resolve()</v>
      </c>
    </row>
    <row r="42" spans="1:19" s="1" customFormat="1" x14ac:dyDescent="0.75">
      <c r="A42"/>
      <c r="B42" s="9"/>
      <c r="C42" s="9"/>
      <c r="F42" s="76"/>
      <c r="G42" s="76"/>
      <c r="H42" s="76"/>
      <c r="J42" s="76"/>
      <c r="K42" s="76"/>
      <c r="L42" s="76"/>
      <c r="M42" s="74"/>
      <c r="N42" s="74"/>
      <c r="P42" s="9">
        <v>28</v>
      </c>
      <c r="Q42" s="9">
        <f t="shared" si="12"/>
        <v>4</v>
      </c>
      <c r="R42" s="9">
        <f t="shared" si="13"/>
        <v>4</v>
      </c>
      <c r="S42" s="14" t="str" cm="1">
        <f t="array" ref="S42">INDEX('Author-ConceptMap-1'!$I$15:$N$123,Q42+1,R42)</f>
        <v>* group[=].element[=].target.display = ##34###34#</v>
      </c>
    </row>
    <row r="43" spans="1:19" s="1" customFormat="1" x14ac:dyDescent="0.75">
      <c r="A43"/>
      <c r="B43" s="9"/>
      <c r="C43" s="9"/>
      <c r="F43" s="76"/>
      <c r="G43" s="76"/>
      <c r="H43" s="76"/>
      <c r="J43" s="76"/>
      <c r="K43" s="76"/>
      <c r="L43" s="76"/>
      <c r="M43" s="74"/>
      <c r="N43" s="74"/>
      <c r="P43" s="9">
        <v>29</v>
      </c>
      <c r="Q43" s="9">
        <f t="shared" si="12"/>
        <v>4</v>
      </c>
      <c r="R43" s="9">
        <f t="shared" si="13"/>
        <v>5</v>
      </c>
      <c r="S43" s="14" t="str" cm="1">
        <f t="array" ref="S43">INDEX('Author-ConceptMap-1'!$I$15:$N$123,Q43+1,R43)</f>
        <v>* group[=].element[=].target.equivalence = #relatedto</v>
      </c>
    </row>
    <row r="44" spans="1:19" x14ac:dyDescent="0.75">
      <c r="P44" s="9">
        <v>30</v>
      </c>
      <c r="Q44" s="9">
        <f t="shared" ref="Q44:Q52" si="20">IF(MOD(P44,$Q$8)=0,P44/$Q$8-1,INT(P44/$Q$8))</f>
        <v>4</v>
      </c>
      <c r="R44" s="9">
        <f t="shared" ref="R44:R52" si="21">IF(MOD(P44,$Q$8)=0,$Q$8,MOD(P44,$Q$8))</f>
        <v>6</v>
      </c>
      <c r="S44" s="14" t="str" cm="1">
        <f t="array" ref="S44">INDEX('Author-ConceptMap-1'!$I$15:$N$123,Q44+1,R44)</f>
        <v>* group[=].element[=].target.comment = ##34#If the author is the interpreter##34#</v>
      </c>
    </row>
    <row r="45" spans="1:19" x14ac:dyDescent="0.75">
      <c r="P45" s="9">
        <v>31</v>
      </c>
      <c r="Q45" s="9">
        <f t="shared" si="20"/>
        <v>5</v>
      </c>
      <c r="R45" s="9">
        <f t="shared" si="21"/>
        <v>1</v>
      </c>
      <c r="S45" s="14" cm="1">
        <f t="array" ref="S45">INDEX('Author-ConceptMap-1'!$I$15:$N$123,Q45+1,R45)</f>
        <v>0</v>
      </c>
    </row>
    <row r="46" spans="1:19" x14ac:dyDescent="0.75">
      <c r="P46" s="9">
        <v>32</v>
      </c>
      <c r="Q46" s="9">
        <f t="shared" si="20"/>
        <v>5</v>
      </c>
      <c r="R46" s="9">
        <f t="shared" si="21"/>
        <v>2</v>
      </c>
      <c r="S46" s="14" cm="1">
        <f t="array" ref="S46">INDEX('Author-ConceptMap-1'!$I$15:$N$123,Q46+1,R46)</f>
        <v>0</v>
      </c>
    </row>
    <row r="47" spans="1:19" x14ac:dyDescent="0.75">
      <c r="P47" s="9">
        <v>33</v>
      </c>
      <c r="Q47" s="9">
        <f t="shared" si="20"/>
        <v>5</v>
      </c>
      <c r="R47" s="9">
        <f t="shared" si="21"/>
        <v>3</v>
      </c>
      <c r="S47" s="14" cm="1">
        <f t="array" ref="S47">INDEX('Author-ConceptMap-1'!$I$15:$N$123,Q47+1,R47)</f>
        <v>0</v>
      </c>
    </row>
    <row r="48" spans="1:19" x14ac:dyDescent="0.75">
      <c r="P48" s="9">
        <v>34</v>
      </c>
      <c r="Q48" s="9">
        <f t="shared" si="20"/>
        <v>5</v>
      </c>
      <c r="R48" s="9">
        <f t="shared" si="21"/>
        <v>4</v>
      </c>
      <c r="S48" s="14" cm="1">
        <f t="array" ref="S48">INDEX('Author-ConceptMap-1'!$I$15:$N$123,Q48+1,R48)</f>
        <v>0</v>
      </c>
    </row>
    <row r="49" spans="16:19" x14ac:dyDescent="0.75">
      <c r="P49" s="9">
        <v>35</v>
      </c>
      <c r="Q49" s="9">
        <f t="shared" si="20"/>
        <v>5</v>
      </c>
      <c r="R49" s="9">
        <f t="shared" si="21"/>
        <v>5</v>
      </c>
      <c r="S49" s="14" cm="1">
        <f t="array" ref="S49">INDEX('Author-ConceptMap-1'!$I$15:$N$123,Q49+1,R49)</f>
        <v>0</v>
      </c>
    </row>
    <row r="50" spans="16:19" x14ac:dyDescent="0.75">
      <c r="P50" s="9">
        <v>36</v>
      </c>
      <c r="Q50" s="9">
        <f t="shared" si="20"/>
        <v>5</v>
      </c>
      <c r="R50" s="9">
        <f t="shared" si="21"/>
        <v>6</v>
      </c>
      <c r="S50" s="14" cm="1">
        <f t="array" ref="S50">INDEX('Author-ConceptMap-1'!$I$15:$N$123,Q50+1,R50)</f>
        <v>0</v>
      </c>
    </row>
    <row r="51" spans="16:19" x14ac:dyDescent="0.75">
      <c r="P51" s="9">
        <v>37</v>
      </c>
      <c r="Q51" s="9">
        <f t="shared" si="20"/>
        <v>6</v>
      </c>
      <c r="R51" s="9">
        <f t="shared" si="21"/>
        <v>1</v>
      </c>
      <c r="S51" s="14" cm="1">
        <f t="array" ref="S51">INDEX('Author-ConceptMap-1'!$I$15:$N$123,Q51+1,R51)</f>
        <v>0</v>
      </c>
    </row>
    <row r="52" spans="16:19" x14ac:dyDescent="0.75">
      <c r="P52" s="9">
        <v>38</v>
      </c>
      <c r="Q52" s="9">
        <f t="shared" si="20"/>
        <v>6</v>
      </c>
      <c r="R52" s="9">
        <f t="shared" si="21"/>
        <v>2</v>
      </c>
      <c r="S52" s="14" cm="1">
        <f t="array" ref="S52">INDEX('Author-ConceptMap-1'!$I$15:$N$123,Q52+1,R52)</f>
        <v>0</v>
      </c>
    </row>
  </sheetData>
  <mergeCells count="2">
    <mergeCell ref="E6:G6"/>
    <mergeCell ref="E7:G7"/>
  </mergeCells>
  <hyperlinks>
    <hyperlink ref="E3" r:id="rId1" xr:uid="{BF9F69D7-41A7-4433-9341-9DE9E9CDDA54}"/>
    <hyperlink ref="E6" r:id="rId2" xr:uid="{EC1B4788-6B81-4E4F-A57A-7C6E24CE4DBC}"/>
  </hyperlinks>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236FBF-B8EF-41DE-BBE0-F105A8C1BD46}">
  <sheetPr codeName="Foglio52">
    <tabColor theme="0" tint="-0.499984740745262"/>
  </sheetPr>
  <dimension ref="A2:S41"/>
  <sheetViews>
    <sheetView workbookViewId="0">
      <selection activeCell="C4" sqref="C4"/>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73" t="s">
        <v>34</v>
      </c>
      <c r="C3" s="54" t="s">
        <v>749</v>
      </c>
      <c r="D3" s="73" t="s">
        <v>688</v>
      </c>
      <c r="E3" s="84" t="s">
        <v>753</v>
      </c>
    </row>
    <row r="4" spans="1:19" x14ac:dyDescent="0.75">
      <c r="B4" s="73" t="s">
        <v>19</v>
      </c>
      <c r="C4" s="54" t="s">
        <v>750</v>
      </c>
      <c r="D4" s="73" t="s">
        <v>689</v>
      </c>
      <c r="E4" t="s">
        <v>691</v>
      </c>
    </row>
    <row r="5" spans="1:19" x14ac:dyDescent="0.75">
      <c r="B5" s="73" t="s">
        <v>13</v>
      </c>
      <c r="C5" s="10" t="s">
        <v>754</v>
      </c>
      <c r="D5" s="73"/>
      <c r="E5" s="10"/>
    </row>
    <row r="6" spans="1:19" x14ac:dyDescent="0.75">
      <c r="B6" s="73" t="s">
        <v>35</v>
      </c>
      <c r="C6" s="72"/>
      <c r="D6" s="73" t="s">
        <v>685</v>
      </c>
      <c r="E6" s="112" t="s">
        <v>753</v>
      </c>
      <c r="F6" s="111"/>
      <c r="G6" s="111"/>
    </row>
    <row r="7" spans="1:19" x14ac:dyDescent="0.75">
      <c r="B7" s="73" t="s">
        <v>18</v>
      </c>
      <c r="C7" s="80"/>
      <c r="D7" s="73" t="s">
        <v>686</v>
      </c>
      <c r="E7" s="111" t="s">
        <v>687</v>
      </c>
      <c r="F7" s="111"/>
      <c r="G7" s="111"/>
    </row>
    <row r="8" spans="1:19" ht="44.25" x14ac:dyDescent="0.75">
      <c r="B8" s="73" t="s">
        <v>679</v>
      </c>
      <c r="C8" s="10" t="s">
        <v>751</v>
      </c>
      <c r="D8" s="73"/>
      <c r="E8" s="10"/>
      <c r="I8" s="14" t="s">
        <v>647</v>
      </c>
      <c r="J8" s="14" t="s">
        <v>648</v>
      </c>
      <c r="K8" s="14" t="s">
        <v>649</v>
      </c>
      <c r="L8" s="14" t="s">
        <v>650</v>
      </c>
      <c r="M8" s="9" t="s">
        <v>651</v>
      </c>
      <c r="P8" s="69" t="s">
        <v>652</v>
      </c>
      <c r="Q8" s="69">
        <v>6</v>
      </c>
    </row>
    <row r="9" spans="1:19" ht="29.5" x14ac:dyDescent="0.75">
      <c r="B9" s="73" t="s">
        <v>680</v>
      </c>
      <c r="C9" s="1" t="s">
        <v>752</v>
      </c>
      <c r="D9" s="73"/>
      <c r="E9"/>
      <c r="I9" s="14"/>
      <c r="J9" s="9"/>
      <c r="K9" s="9"/>
      <c r="L9" s="9"/>
      <c r="M9" s="9"/>
    </row>
    <row r="10" spans="1:19" x14ac:dyDescent="0.75">
      <c r="B10" s="73"/>
      <c r="D10" s="73"/>
      <c r="E10"/>
      <c r="I10" s="14"/>
      <c r="J10" s="9"/>
      <c r="K10" s="9"/>
      <c r="L10" s="9"/>
      <c r="M10" s="9"/>
    </row>
    <row r="11" spans="1:19" x14ac:dyDescent="0.75">
      <c r="E11" s="10"/>
      <c r="I11" s="25" t="s">
        <v>653</v>
      </c>
      <c r="J11" s="70" t="s">
        <v>654</v>
      </c>
      <c r="K11" s="25" t="s">
        <v>655</v>
      </c>
      <c r="L11" s="70" t="s">
        <v>656</v>
      </c>
      <c r="M11" s="71" t="s">
        <v>657</v>
      </c>
      <c r="N11" s="74" t="s">
        <v>644</v>
      </c>
    </row>
    <row r="12" spans="1:19" x14ac:dyDescent="0.75">
      <c r="E12" s="72"/>
      <c r="I12" s="14"/>
      <c r="J12" s="9"/>
      <c r="K12" s="9"/>
      <c r="L12" s="9"/>
      <c r="M12" s="9"/>
    </row>
    <row r="13" spans="1:19" x14ac:dyDescent="0.75">
      <c r="D13" s="14"/>
      <c r="E13" s="9"/>
      <c r="F13" s="71" t="s">
        <v>657</v>
      </c>
      <c r="G13" s="74" t="s">
        <v>644</v>
      </c>
      <c r="H13" s="74"/>
      <c r="I13" s="14"/>
      <c r="J13" s="9"/>
      <c r="K13" s="71"/>
      <c r="L13" s="71"/>
      <c r="M13" s="71"/>
      <c r="N13" s="74"/>
    </row>
    <row r="14" spans="1:19" x14ac:dyDescent="0.75">
      <c r="A14" s="23"/>
      <c r="B14" s="8" t="str">
        <f>'A1.5 Author'!B5</f>
        <v>Author</v>
      </c>
      <c r="C14" s="9"/>
      <c r="D14" s="4" t="s">
        <v>667</v>
      </c>
      <c r="E14" s="8"/>
      <c r="F14" s="75"/>
      <c r="G14" s="75"/>
      <c r="I14" s="14"/>
      <c r="J14" s="9"/>
      <c r="K14" s="9"/>
      <c r="L14" s="9"/>
      <c r="M14" s="71"/>
      <c r="N14" s="74"/>
    </row>
    <row r="15" spans="1:19" ht="73.75" x14ac:dyDescent="0.75">
      <c r="A15" s="23"/>
      <c r="B15" s="62" t="s">
        <v>692</v>
      </c>
      <c r="C15" s="62" t="s">
        <v>396</v>
      </c>
      <c r="D15" s="14" t="s">
        <v>676</v>
      </c>
      <c r="E15" s="62"/>
      <c r="F15" s="75" t="s">
        <v>659</v>
      </c>
      <c r="G15" s="75" t="s">
        <v>771</v>
      </c>
      <c r="I15" s="14" t="str">
        <f>"* group[=].element[+].code = #"&amp;$B$14&amp;"."&amp;B15</f>
        <v>* group[=].element[+].code = #Author.$this</v>
      </c>
      <c r="J15" s="14" t="str">
        <f t="shared" ref="J15" si="0">"* group[=].element[=].display = ##34#"&amp;C15&amp;"##34#"</f>
        <v>* group[=].element[=].display = ##34#A.1.5 Author##34#</v>
      </c>
      <c r="K15" s="14" t="str">
        <f t="shared" ref="K15" si="1">IF(F15="unmatched","//-- unmatched","* group[=].element[=].target.code = #"&amp;$D$14&amp;"."&amp;D15)</f>
        <v>* group[=].element[=].target.code = #DiagnosticReport.performer.resolve()</v>
      </c>
      <c r="L15" s="14" t="str">
        <f t="shared" ref="L15" si="2">IF(F15="unmatched","//-- unmatched","* group[=].element[=].target.display = ##34#"&amp;E15&amp;"##34#")</f>
        <v>* group[=].element[=].target.display = ##34###34#</v>
      </c>
      <c r="M15" s="14" t="str">
        <f t="shared" ref="M15" si="3">"* group[=].element[=].target.equivalence = #"&amp;F15</f>
        <v>* group[=].element[=].target.equivalence = #relatedto</v>
      </c>
      <c r="N15" s="14" t="str">
        <f t="shared" ref="N15" si="4">IF(G15&lt;&gt;"",CONCATENATE("* group[=].element[=].target.comment = ","##34#",G15,"##34#"),"")</f>
        <v>* group[=].element[=].target.comment = ##34#If the author is the performer##34#</v>
      </c>
      <c r="P15">
        <v>1</v>
      </c>
      <c r="Q15" s="9">
        <f>IF(MOD(P15,$Q$8)=0,P15/$Q$8-1,INT(P15/$Q$8))</f>
        <v>0</v>
      </c>
      <c r="R15" s="9">
        <f t="shared" ref="R15:R17" si="5">IF(MOD(P15,$Q$8)=0,$Q$8,MOD(P15,$Q$8))</f>
        <v>1</v>
      </c>
      <c r="S15" s="14" t="str" cm="1">
        <f t="array" ref="S15">INDEX('Author-ConceptMap-2'!$I$15:$N$121,Q15+1,R15)</f>
        <v>* group[=].element[+].code = #Author.$this</v>
      </c>
    </row>
    <row r="16" spans="1:19" ht="44.25" customHeight="1" x14ac:dyDescent="0.75">
      <c r="A16" s="23"/>
      <c r="B16" s="9" t="str">
        <f>'A1.5 Author'!B8</f>
        <v>identifier</v>
      </c>
      <c r="C16" s="9" t="str">
        <f>'A1.5 Author'!C8</f>
        <v>A.1.5.1 Author identifier</v>
      </c>
      <c r="D16" s="14" t="s">
        <v>755</v>
      </c>
      <c r="E16" s="9"/>
      <c r="F16" s="75" t="s">
        <v>659</v>
      </c>
      <c r="G16" s="75" t="s">
        <v>771</v>
      </c>
      <c r="H16" s="76"/>
      <c r="I16" s="14" t="str">
        <f t="shared" ref="I16:I19" si="6">"* group[=].element[+].code = #"&amp;$B$14&amp;"."&amp;B16</f>
        <v>* group[=].element[+].code = #Author.identifier</v>
      </c>
      <c r="J16" s="14" t="str">
        <f t="shared" ref="J16:J19" si="7">"* group[=].element[=].display = ##34#"&amp;C16&amp;"##34#"</f>
        <v>* group[=].element[=].display = ##34#A.1.5.1 Author identifier##34#</v>
      </c>
      <c r="K16" s="14" t="str">
        <f t="shared" ref="K16:K19" si="8">IF(F16="unmatched","//-- unmatched","* group[=].element[=].target.code = #"&amp;$D$14&amp;"."&amp;D16)</f>
        <v>* group[=].element[=].target.code = #DiagnosticReport.performer.resolve().identifier</v>
      </c>
      <c r="L16" s="14" t="str">
        <f t="shared" ref="L16:L19" si="9">IF(F16="unmatched","//-- unmatched","* group[=].element[=].target.display = ##34#"&amp;E16&amp;"##34#")</f>
        <v>* group[=].element[=].target.display = ##34###34#</v>
      </c>
      <c r="M16" s="14" t="str">
        <f t="shared" ref="M16:M19" si="10">"* group[=].element[=].target.equivalence = #"&amp;F16</f>
        <v>* group[=].element[=].target.equivalence = #relatedto</v>
      </c>
      <c r="N16" s="14" t="str">
        <f t="shared" ref="N16:N19" si="11">IF(G16&lt;&gt;"",CONCATENATE("* group[=].element[=].target.comment = ","##34#",G16,"##34#"),"")</f>
        <v>* group[=].element[=].target.comment = ##34#If the author is the performer##34#</v>
      </c>
      <c r="P16" s="9">
        <v>2</v>
      </c>
      <c r="Q16" s="9">
        <f>IF(MOD(P16,$Q$8)=0,P16/$Q$8-1,INT(P16/$Q$8))</f>
        <v>0</v>
      </c>
      <c r="R16" s="9">
        <f>IF(MOD(P16,$Q$8)=0,$Q$8,MOD(P16,$Q$8))</f>
        <v>2</v>
      </c>
      <c r="S16" s="14" t="str" cm="1">
        <f t="array" ref="S16">INDEX('Author-ConceptMap-2'!$I$15:$N$121,Q16+1,R16)</f>
        <v>* group[=].element[=].display = ##34#A.1.5 Author##34#</v>
      </c>
    </row>
    <row r="17" spans="1:19" ht="73.75" x14ac:dyDescent="0.75">
      <c r="A17" s="23"/>
      <c r="B17" s="9" t="str">
        <f>'A1.5 Author'!B9</f>
        <v>name</v>
      </c>
      <c r="C17" s="9" t="str">
        <f>'A1.5 Author'!C9</f>
        <v>A.1.5.2 Author name</v>
      </c>
      <c r="D17" s="14" t="s">
        <v>756</v>
      </c>
      <c r="E17" s="9"/>
      <c r="F17" s="75" t="s">
        <v>659</v>
      </c>
      <c r="G17" s="75" t="s">
        <v>771</v>
      </c>
      <c r="H17" s="76"/>
      <c r="I17" s="14" t="str">
        <f t="shared" si="6"/>
        <v>* group[=].element[+].code = #Author.name</v>
      </c>
      <c r="J17" s="14" t="str">
        <f t="shared" si="7"/>
        <v>* group[=].element[=].display = ##34#A.1.5.2 Author name##34#</v>
      </c>
      <c r="K17" s="14" t="str">
        <f t="shared" si="8"/>
        <v>* group[=].element[=].target.code = #DiagnosticReport.performer.resolve().ofType(Practictioner).name</v>
      </c>
      <c r="L17" s="14" t="str">
        <f t="shared" si="9"/>
        <v>* group[=].element[=].target.display = ##34###34#</v>
      </c>
      <c r="M17" s="14" t="str">
        <f t="shared" si="10"/>
        <v>* group[=].element[=].target.equivalence = #relatedto</v>
      </c>
      <c r="N17" s="14" t="str">
        <f t="shared" si="11"/>
        <v>* group[=].element[=].target.comment = ##34#If the author is the performer##34#</v>
      </c>
      <c r="P17">
        <v>3</v>
      </c>
      <c r="Q17" s="9">
        <f t="shared" ref="Q17" si="12">IF(MOD(P17,$Q$8)=0,P17/$Q$8-1,INT(P17/$Q$8))</f>
        <v>0</v>
      </c>
      <c r="R17" s="9">
        <f t="shared" si="5"/>
        <v>3</v>
      </c>
      <c r="S17" s="14" t="str" cm="1">
        <f t="array" ref="S17">INDEX('Author-ConceptMap-2'!$I$15:$N$121,Q17+1,R17)</f>
        <v>* group[=].element[=].target.code = #DiagnosticReport.performer.resolve()</v>
      </c>
    </row>
    <row r="18" spans="1:19" ht="88.5" x14ac:dyDescent="0.75">
      <c r="A18" s="23"/>
      <c r="B18" s="9" t="str">
        <f>'A1.5 Author'!B9</f>
        <v>name</v>
      </c>
      <c r="C18" s="9" t="str">
        <f>'A1.5 Author'!C9</f>
        <v>A.1.5.2 Author name</v>
      </c>
      <c r="D18" s="14" t="s">
        <v>757</v>
      </c>
      <c r="E18" s="9"/>
      <c r="F18" s="75" t="s">
        <v>659</v>
      </c>
      <c r="G18" s="75" t="s">
        <v>771</v>
      </c>
      <c r="H18" s="76"/>
      <c r="I18" s="14" t="str">
        <f t="shared" si="6"/>
        <v>* group[=].element[+].code = #Author.name</v>
      </c>
      <c r="J18" s="14" t="str">
        <f t="shared" si="7"/>
        <v>* group[=].element[=].display = ##34#A.1.5.2 Author name##34#</v>
      </c>
      <c r="K18" s="14" t="str">
        <f t="shared" si="8"/>
        <v>* group[=].element[=].target.code = #DiagnosticReport.performer.resolve().ofType(PractictionerRole).practictioner.resolve().name</v>
      </c>
      <c r="L18" s="14" t="str">
        <f t="shared" si="9"/>
        <v>* group[=].element[=].target.display = ##34###34#</v>
      </c>
      <c r="M18" s="14" t="str">
        <f t="shared" si="10"/>
        <v>* group[=].element[=].target.equivalence = #relatedto</v>
      </c>
      <c r="N18" s="14" t="str">
        <f t="shared" si="11"/>
        <v>* group[=].element[=].target.comment = ##34#If the author is the performer##34#</v>
      </c>
      <c r="P18">
        <v>4</v>
      </c>
      <c r="Q18" s="9">
        <f t="shared" ref="Q18:Q20" si="13">IF(MOD(P18,$Q$8)=0,P18/$Q$8-1,INT(P18/$Q$8))</f>
        <v>0</v>
      </c>
      <c r="R18" s="9">
        <f t="shared" ref="R18:R20" si="14">IF(MOD(P18,$Q$8)=0,$Q$8,MOD(P18,$Q$8))</f>
        <v>4</v>
      </c>
      <c r="S18" s="14" t="str" cm="1">
        <f t="array" ref="S18">INDEX('Author-ConceptMap-2'!$I$15:$N$121,Q18+1,R18)</f>
        <v>* group[=].element[=].target.display = ##34###34#</v>
      </c>
    </row>
    <row r="19" spans="1:19" ht="88.5" x14ac:dyDescent="0.75">
      <c r="A19" s="23"/>
      <c r="B19" s="9" t="str">
        <f>'A1.5 Author'!B10</f>
        <v>organization</v>
      </c>
      <c r="C19" s="9" t="str">
        <f>'A1.5 Author'!C10</f>
        <v>A.1.5.3 Author organization</v>
      </c>
      <c r="D19" s="14" t="s">
        <v>758</v>
      </c>
      <c r="E19" s="9"/>
      <c r="F19" s="75" t="s">
        <v>659</v>
      </c>
      <c r="G19" s="75" t="s">
        <v>771</v>
      </c>
      <c r="H19" s="76"/>
      <c r="I19" s="14" t="str">
        <f t="shared" si="6"/>
        <v>* group[=].element[+].code = #Author.organization</v>
      </c>
      <c r="J19" s="14" t="str">
        <f t="shared" si="7"/>
        <v>* group[=].element[=].display = ##34#A.1.5.3 Author organization##34#</v>
      </c>
      <c r="K19" s="14" t="str">
        <f t="shared" si="8"/>
        <v>* group[=].element[=].target.code = #DiagnosticReport.performer.resolve().ofType(PractictionerRole).organization.resolve()</v>
      </c>
      <c r="L19" s="14" t="str">
        <f t="shared" si="9"/>
        <v>* group[=].element[=].target.display = ##34###34#</v>
      </c>
      <c r="M19" s="14" t="str">
        <f t="shared" si="10"/>
        <v>* group[=].element[=].target.equivalence = #relatedto</v>
      </c>
      <c r="N19" s="14" t="str">
        <f t="shared" si="11"/>
        <v>* group[=].element[=].target.comment = ##34#If the author is the performer##34#</v>
      </c>
      <c r="P19" s="9">
        <v>5</v>
      </c>
      <c r="Q19" s="9">
        <f t="shared" si="13"/>
        <v>0</v>
      </c>
      <c r="R19" s="9">
        <f t="shared" si="14"/>
        <v>5</v>
      </c>
      <c r="S19" s="14" t="str" cm="1">
        <f t="array" ref="S19">INDEX('Author-ConceptMap-2'!$I$16:$N$121,Q19+1,R19)</f>
        <v>* group[=].element[=].target.equivalence = #relatedto</v>
      </c>
    </row>
    <row r="20" spans="1:19" x14ac:dyDescent="0.75">
      <c r="A20" s="23"/>
      <c r="B20" s="9"/>
      <c r="C20" s="9"/>
      <c r="D20" s="14"/>
      <c r="E20" s="9"/>
      <c r="F20" s="75"/>
      <c r="G20" s="75"/>
      <c r="H20" s="76"/>
      <c r="I20" s="14"/>
      <c r="J20" s="14"/>
      <c r="K20" s="14"/>
      <c r="L20" s="14"/>
      <c r="M20" s="14"/>
      <c r="N20" s="14"/>
      <c r="P20">
        <v>6</v>
      </c>
      <c r="Q20" s="9">
        <f t="shared" si="13"/>
        <v>0</v>
      </c>
      <c r="R20" s="9">
        <f t="shared" si="14"/>
        <v>6</v>
      </c>
      <c r="S20" s="14" t="str" cm="1">
        <f t="array" ref="S20">INDEX('Author-ConceptMap-2'!$I$16:$N$121,Q20+1,R20)</f>
        <v>* group[=].element[=].target.comment = ##34#If the author is the performer##34#</v>
      </c>
    </row>
    <row r="21" spans="1:19" x14ac:dyDescent="0.75">
      <c r="A21" s="23"/>
      <c r="B21" s="9"/>
      <c r="C21" s="9"/>
      <c r="D21" s="14"/>
      <c r="E21" s="9"/>
      <c r="F21" s="75"/>
      <c r="G21" s="75"/>
      <c r="H21" s="76"/>
      <c r="I21" s="14"/>
      <c r="J21" s="14"/>
      <c r="K21" s="14"/>
      <c r="L21" s="14"/>
      <c r="M21" s="14"/>
      <c r="N21" s="14"/>
      <c r="P21" s="9">
        <v>7</v>
      </c>
      <c r="Q21" s="9">
        <f t="shared" ref="Q21:Q37" si="15">IF(MOD(P21,$Q$8)=0,P21/$Q$8-1,INT(P21/$Q$8))</f>
        <v>1</v>
      </c>
      <c r="R21" s="9">
        <f t="shared" ref="R21:R37" si="16">IF(MOD(P21,$Q$8)=0,$Q$8,MOD(P21,$Q$8))</f>
        <v>1</v>
      </c>
      <c r="S21" s="14" t="str" cm="1">
        <f t="array" ref="S21">INDEX('Author-ConceptMap-2'!$I$16:$N$121,Q21+1,R21)</f>
        <v>* group[=].element[+].code = #Author.name</v>
      </c>
    </row>
    <row r="22" spans="1:19" x14ac:dyDescent="0.75">
      <c r="A22" s="23"/>
      <c r="B22" s="9"/>
      <c r="C22" s="9"/>
      <c r="D22" s="14"/>
      <c r="E22" s="9"/>
      <c r="F22" s="75"/>
      <c r="G22" s="75"/>
      <c r="H22" s="76"/>
      <c r="I22" s="14"/>
      <c r="J22" s="14"/>
      <c r="K22" s="14"/>
      <c r="L22" s="14"/>
      <c r="M22" s="14"/>
      <c r="N22" s="14"/>
      <c r="P22">
        <v>8</v>
      </c>
      <c r="Q22" s="9">
        <f t="shared" si="15"/>
        <v>1</v>
      </c>
      <c r="R22" s="9">
        <f t="shared" si="16"/>
        <v>2</v>
      </c>
      <c r="S22" s="14" t="str" cm="1">
        <f t="array" ref="S22">INDEX('Author-ConceptMap-2'!$I$16:$N$121,Q22+1,R22)</f>
        <v>* group[=].element[=].display = ##34#A.1.5.2 Author name##34#</v>
      </c>
    </row>
    <row r="23" spans="1:19" ht="29.5" x14ac:dyDescent="0.75">
      <c r="A23" s="23"/>
      <c r="B23" s="9"/>
      <c r="C23" s="9"/>
      <c r="D23" s="14"/>
      <c r="E23" s="9"/>
      <c r="F23" s="75"/>
      <c r="G23" s="75"/>
      <c r="H23" s="76"/>
      <c r="I23" s="14"/>
      <c r="J23" s="14"/>
      <c r="K23" s="14"/>
      <c r="L23" s="14"/>
      <c r="M23" s="14"/>
      <c r="N23" s="14"/>
      <c r="P23">
        <v>9</v>
      </c>
      <c r="Q23" s="9">
        <f t="shared" si="15"/>
        <v>1</v>
      </c>
      <c r="R23" s="9">
        <f t="shared" si="16"/>
        <v>3</v>
      </c>
      <c r="S23" s="14" t="str" cm="1">
        <f t="array" ref="S23">INDEX('Author-ConceptMap-2'!$I$16:$N$121,Q23+1,R23)</f>
        <v>* group[=].element[=].target.code = #DiagnosticReport.performer.resolve().ofType(Practictioner).name</v>
      </c>
    </row>
    <row r="24" spans="1:19" x14ac:dyDescent="0.75">
      <c r="A24" s="23"/>
      <c r="B24" s="9"/>
      <c r="C24" s="9"/>
      <c r="D24" s="14"/>
      <c r="E24" s="9"/>
      <c r="F24" s="75"/>
      <c r="G24" s="75"/>
      <c r="H24" s="76"/>
      <c r="I24" s="14"/>
      <c r="J24" s="14"/>
      <c r="K24" s="14"/>
      <c r="L24" s="14"/>
      <c r="M24" s="14"/>
      <c r="N24" s="14"/>
      <c r="P24" s="9">
        <v>10</v>
      </c>
      <c r="Q24" s="9">
        <f t="shared" si="15"/>
        <v>1</v>
      </c>
      <c r="R24" s="9">
        <f t="shared" si="16"/>
        <v>4</v>
      </c>
      <c r="S24" s="14" t="str" cm="1">
        <f t="array" ref="S24">INDEX('Author-ConceptMap-2'!$I$16:$N$121,Q24+1,R24)</f>
        <v>* group[=].element[=].target.display = ##34###34#</v>
      </c>
    </row>
    <row r="25" spans="1:19" x14ac:dyDescent="0.75">
      <c r="A25" s="23"/>
      <c r="B25" s="9"/>
      <c r="C25" s="9"/>
      <c r="D25" s="14"/>
      <c r="E25" s="14"/>
      <c r="F25" s="75"/>
      <c r="G25" s="75"/>
      <c r="H25" s="76"/>
      <c r="I25" s="14"/>
      <c r="J25" s="14"/>
      <c r="K25" s="14"/>
      <c r="L25" s="14"/>
      <c r="M25" s="14"/>
      <c r="N25" s="14"/>
      <c r="P25">
        <v>11</v>
      </c>
      <c r="Q25" s="9">
        <f t="shared" si="15"/>
        <v>1</v>
      </c>
      <c r="R25" s="9">
        <f t="shared" si="16"/>
        <v>5</v>
      </c>
      <c r="S25" s="14" t="str" cm="1">
        <f t="array" ref="S25">INDEX('Author-ConceptMap-2'!$I$16:$N$121,Q25+1,R25)</f>
        <v>* group[=].element[=].target.equivalence = #relatedto</v>
      </c>
    </row>
    <row r="26" spans="1:19" x14ac:dyDescent="0.75">
      <c r="A26" s="23"/>
      <c r="B26" s="9"/>
      <c r="C26" s="9"/>
      <c r="D26" s="14"/>
      <c r="E26" s="14"/>
      <c r="F26" s="75"/>
      <c r="G26" s="75"/>
      <c r="H26" s="76"/>
      <c r="I26" s="14"/>
      <c r="J26" s="14"/>
      <c r="K26" s="14"/>
      <c r="L26" s="14"/>
      <c r="M26" s="14"/>
      <c r="N26" s="14"/>
      <c r="P26" s="9">
        <v>12</v>
      </c>
      <c r="Q26" s="9">
        <f t="shared" si="15"/>
        <v>1</v>
      </c>
      <c r="R26" s="9">
        <f t="shared" si="16"/>
        <v>6</v>
      </c>
      <c r="S26" s="14" t="str" cm="1">
        <f t="array" ref="S26">INDEX('Author-ConceptMap-2'!$I$16:$N$121,Q26+1,R26)</f>
        <v>* group[=].element[=].target.comment = ##34#If the author is the performer##34#</v>
      </c>
    </row>
    <row r="27" spans="1:19" x14ac:dyDescent="0.75">
      <c r="B27" s="9"/>
      <c r="C27" s="9"/>
      <c r="D27" s="14"/>
      <c r="E27" s="14"/>
      <c r="F27" s="75"/>
      <c r="G27" s="75"/>
      <c r="H27" s="76"/>
      <c r="I27" s="14"/>
      <c r="J27" s="14"/>
      <c r="K27" s="14"/>
      <c r="L27" s="14"/>
      <c r="M27" s="14"/>
      <c r="N27" s="14"/>
      <c r="P27">
        <v>13</v>
      </c>
      <c r="Q27" s="9">
        <f t="shared" si="15"/>
        <v>2</v>
      </c>
      <c r="R27" s="9">
        <f t="shared" si="16"/>
        <v>1</v>
      </c>
      <c r="S27" s="14" t="str" cm="1">
        <f t="array" ref="S27">INDEX('Author-ConceptMap-2'!$I$16:$N$121,Q27+1,R27)</f>
        <v>* group[=].element[+].code = #Author.name</v>
      </c>
    </row>
    <row r="28" spans="1:19" x14ac:dyDescent="0.75">
      <c r="B28" s="9"/>
      <c r="C28" s="9"/>
      <c r="D28" s="14"/>
      <c r="E28" s="14"/>
      <c r="F28" s="75"/>
      <c r="G28" s="75"/>
      <c r="H28" s="76"/>
      <c r="I28" s="14"/>
      <c r="J28" s="14"/>
      <c r="K28" s="14"/>
      <c r="L28" s="14"/>
      <c r="M28" s="14"/>
      <c r="N28" s="14"/>
      <c r="P28">
        <v>14</v>
      </c>
      <c r="Q28" s="9">
        <f t="shared" si="15"/>
        <v>2</v>
      </c>
      <c r="R28" s="9">
        <f t="shared" si="16"/>
        <v>2</v>
      </c>
      <c r="S28" s="14" t="str" cm="1">
        <f t="array" ref="S28">INDEX('Author-ConceptMap-2'!$I$16:$N$121,Q28+1,R28)</f>
        <v>* group[=].element[=].display = ##34#A.1.5.2 Author name##34#</v>
      </c>
    </row>
    <row r="29" spans="1:19" ht="44.25" x14ac:dyDescent="0.75">
      <c r="B29" s="9"/>
      <c r="C29" s="9"/>
      <c r="D29" s="14"/>
      <c r="E29" s="14"/>
      <c r="F29" s="75"/>
      <c r="G29" s="75"/>
      <c r="H29" s="76"/>
      <c r="I29" s="14"/>
      <c r="J29" s="14"/>
      <c r="K29" s="14"/>
      <c r="L29" s="14"/>
      <c r="M29" s="14"/>
      <c r="N29" s="14"/>
      <c r="P29" s="9">
        <v>15</v>
      </c>
      <c r="Q29" s="9">
        <f t="shared" si="15"/>
        <v>2</v>
      </c>
      <c r="R29" s="9">
        <f t="shared" si="16"/>
        <v>3</v>
      </c>
      <c r="S29" s="14" t="str" cm="1">
        <f t="array" ref="S29">INDEX('Author-ConceptMap-2'!$I$16:$N$121,Q29+1,R29)</f>
        <v>* group[=].element[=].target.code = #DiagnosticReport.performer.resolve().ofType(PractictionerRole).practictioner.resolve().name</v>
      </c>
    </row>
    <row r="30" spans="1:19" x14ac:dyDescent="0.75">
      <c r="B30" s="9"/>
      <c r="C30" s="9"/>
      <c r="D30" s="14"/>
      <c r="E30" s="14"/>
      <c r="F30" s="75"/>
      <c r="G30" s="75"/>
      <c r="H30" s="76"/>
      <c r="I30" s="14"/>
      <c r="J30" s="14"/>
      <c r="K30" s="14"/>
      <c r="L30" s="14"/>
      <c r="M30" s="14"/>
      <c r="N30" s="14"/>
      <c r="P30">
        <v>16</v>
      </c>
      <c r="Q30" s="9">
        <f t="shared" si="15"/>
        <v>2</v>
      </c>
      <c r="R30" s="9">
        <f t="shared" si="16"/>
        <v>4</v>
      </c>
      <c r="S30" s="14" t="str" cm="1">
        <f t="array" ref="S30">INDEX('Author-ConceptMap-2'!$I$16:$N$121,Q30+1,R30)</f>
        <v>* group[=].element[=].target.display = ##34###34#</v>
      </c>
    </row>
    <row r="31" spans="1:19" x14ac:dyDescent="0.75">
      <c r="B31" s="9"/>
      <c r="C31" s="9"/>
      <c r="D31" s="14"/>
      <c r="E31" s="14"/>
      <c r="F31" s="75"/>
      <c r="G31" s="75"/>
      <c r="H31" s="76"/>
      <c r="I31" s="14"/>
      <c r="J31" s="14"/>
      <c r="K31" s="14"/>
      <c r="L31" s="14"/>
      <c r="M31" s="14"/>
      <c r="N31" s="14"/>
      <c r="P31" s="9">
        <v>17</v>
      </c>
      <c r="Q31" s="9">
        <f t="shared" si="15"/>
        <v>2</v>
      </c>
      <c r="R31" s="9">
        <f t="shared" si="16"/>
        <v>5</v>
      </c>
      <c r="S31" s="14" t="str" cm="1">
        <f t="array" ref="S31">INDEX('Author-ConceptMap-2'!$I$16:$N$121,Q31+1,R31)</f>
        <v>* group[=].element[=].target.equivalence = #relatedto</v>
      </c>
    </row>
    <row r="32" spans="1:19" x14ac:dyDescent="0.75">
      <c r="B32" s="9"/>
      <c r="C32" s="9"/>
      <c r="D32" s="14"/>
      <c r="E32" s="14"/>
      <c r="F32" s="75"/>
      <c r="G32" s="75"/>
      <c r="H32" s="76"/>
      <c r="I32" s="14"/>
      <c r="J32" s="14"/>
      <c r="K32" s="14"/>
      <c r="L32" s="14"/>
      <c r="M32" s="14"/>
      <c r="N32" s="14"/>
      <c r="P32">
        <v>18</v>
      </c>
      <c r="Q32" s="9">
        <f t="shared" si="15"/>
        <v>2</v>
      </c>
      <c r="R32" s="9">
        <f t="shared" si="16"/>
        <v>6</v>
      </c>
      <c r="S32" s="14" t="str" cm="1">
        <f t="array" ref="S32">INDEX('Author-ConceptMap-2'!$I$16:$N$121,Q32+1,R32)</f>
        <v>* group[=].element[=].target.comment = ##34#If the author is the performer##34#</v>
      </c>
    </row>
    <row r="33" spans="1:19" x14ac:dyDescent="0.75">
      <c r="B33" s="9"/>
      <c r="C33" s="9"/>
      <c r="D33" s="14"/>
      <c r="E33" s="14"/>
      <c r="F33" s="75"/>
      <c r="G33" s="75"/>
      <c r="H33" s="76"/>
      <c r="I33" s="14"/>
      <c r="J33" s="14"/>
      <c r="K33" s="14"/>
      <c r="L33" s="14"/>
      <c r="M33" s="14"/>
      <c r="N33" s="14"/>
      <c r="P33">
        <v>19</v>
      </c>
      <c r="Q33" s="9">
        <f t="shared" si="15"/>
        <v>3</v>
      </c>
      <c r="R33" s="9">
        <f t="shared" si="16"/>
        <v>1</v>
      </c>
      <c r="S33" s="14" t="str" cm="1">
        <f t="array" ref="S33">INDEX('Author-ConceptMap-2'!$I$16:$N$121,Q33+1,R33)</f>
        <v>* group[=].element[+].code = #Author.organization</v>
      </c>
    </row>
    <row r="34" spans="1:19" x14ac:dyDescent="0.75">
      <c r="B34" s="9"/>
      <c r="C34" s="9"/>
      <c r="D34" s="14"/>
      <c r="E34" s="14"/>
      <c r="F34" s="75"/>
      <c r="G34" s="75"/>
      <c r="H34" s="76"/>
      <c r="I34" s="14"/>
      <c r="J34" s="14"/>
      <c r="K34" s="14"/>
      <c r="L34" s="14"/>
      <c r="M34" s="14"/>
      <c r="N34" s="1"/>
      <c r="P34" s="9">
        <v>20</v>
      </c>
      <c r="Q34" s="9">
        <f t="shared" si="15"/>
        <v>3</v>
      </c>
      <c r="R34" s="9">
        <f t="shared" si="16"/>
        <v>2</v>
      </c>
      <c r="S34" s="14" t="str" cm="1">
        <f t="array" ref="S34">INDEX('Author-ConceptMap-2'!$I$16:$N$121,Q34+1,R34)</f>
        <v>* group[=].element[=].display = ##34#A.1.5.3 Author organization##34#</v>
      </c>
    </row>
    <row r="35" spans="1:19" ht="44.25" x14ac:dyDescent="0.75">
      <c r="B35" s="9"/>
      <c r="C35" s="9"/>
      <c r="D35" s="14"/>
      <c r="E35" s="14"/>
      <c r="F35" s="75"/>
      <c r="G35" s="75"/>
      <c r="H35" s="76"/>
      <c r="I35" s="14"/>
      <c r="J35" s="14"/>
      <c r="K35" s="14"/>
      <c r="L35" s="14"/>
      <c r="M35" s="14"/>
      <c r="N35" s="1"/>
      <c r="P35">
        <v>21</v>
      </c>
      <c r="Q35" s="9">
        <f t="shared" si="15"/>
        <v>3</v>
      </c>
      <c r="R35" s="9">
        <f t="shared" si="16"/>
        <v>3</v>
      </c>
      <c r="S35" s="14" t="str" cm="1">
        <f t="array" ref="S35">INDEX('Author-ConceptMap-2'!$I$16:$N$121,Q35+1,R35)</f>
        <v>* group[=].element[=].target.code = #DiagnosticReport.performer.resolve().ofType(PractictionerRole).organization.resolve()</v>
      </c>
    </row>
    <row r="36" spans="1:19" x14ac:dyDescent="0.75">
      <c r="B36" s="9"/>
      <c r="C36" s="9"/>
      <c r="D36" s="14"/>
      <c r="E36" s="14"/>
      <c r="F36" s="75"/>
      <c r="G36" s="75"/>
      <c r="H36" s="76"/>
      <c r="I36" s="14"/>
      <c r="J36" s="14"/>
      <c r="K36" s="14"/>
      <c r="L36" s="14"/>
      <c r="M36" s="14"/>
      <c r="N36" s="1"/>
      <c r="P36">
        <v>22</v>
      </c>
      <c r="Q36" s="9">
        <f t="shared" si="15"/>
        <v>3</v>
      </c>
      <c r="R36" s="9">
        <f t="shared" si="16"/>
        <v>4</v>
      </c>
      <c r="S36" s="14" t="str" cm="1">
        <f t="array" ref="S36">INDEX('Author-ConceptMap-2'!$I$16:$N$121,Q36+1,R36)</f>
        <v>* group[=].element[=].target.display = ##34###34#</v>
      </c>
    </row>
    <row r="37" spans="1:19" x14ac:dyDescent="0.75">
      <c r="B37" s="9"/>
      <c r="C37" s="9"/>
      <c r="D37" s="14"/>
      <c r="E37" s="14"/>
      <c r="F37" s="75"/>
      <c r="G37" s="75"/>
      <c r="H37" s="76"/>
      <c r="K37" s="76"/>
      <c r="L37" s="76"/>
      <c r="M37" s="74"/>
      <c r="N37" s="74"/>
      <c r="P37" s="9">
        <v>23</v>
      </c>
      <c r="Q37" s="9">
        <f t="shared" si="15"/>
        <v>3</v>
      </c>
      <c r="R37" s="9">
        <f t="shared" si="16"/>
        <v>5</v>
      </c>
      <c r="S37" s="14" t="str" cm="1">
        <f t="array" ref="S37">INDEX('Author-ConceptMap-2'!$I$16:$N$121,Q37+1,R37)</f>
        <v>* group[=].element[=].target.equivalence = #relatedto</v>
      </c>
    </row>
    <row r="38" spans="1:19" x14ac:dyDescent="0.75">
      <c r="B38" s="9"/>
      <c r="C38" s="9"/>
      <c r="D38" s="14"/>
      <c r="E38" s="14"/>
      <c r="F38" s="75"/>
      <c r="G38" s="75"/>
      <c r="H38" s="76"/>
      <c r="K38" s="76"/>
      <c r="L38" s="76"/>
      <c r="M38" s="74"/>
      <c r="N38" s="74"/>
      <c r="P38">
        <v>24</v>
      </c>
      <c r="Q38" s="9">
        <f t="shared" ref="Q38:Q41" si="17">IF(MOD(P38,$Q$8)=0,P38/$Q$8-1,INT(P38/$Q$8))</f>
        <v>3</v>
      </c>
      <c r="R38" s="9">
        <f t="shared" ref="R38:R41" si="18">IF(MOD(P38,$Q$8)=0,$Q$8,MOD(P38,$Q$8))</f>
        <v>6</v>
      </c>
      <c r="S38" s="14" t="str" cm="1">
        <f t="array" ref="S38">INDEX('Author-ConceptMap-2'!$I$16:$N$121,Q38+1,R38)</f>
        <v>* group[=].element[=].target.comment = ##34#If the author is the performer##34#</v>
      </c>
    </row>
    <row r="39" spans="1:19" s="1" customFormat="1" x14ac:dyDescent="0.75">
      <c r="A39"/>
      <c r="B39" s="9"/>
      <c r="C39" s="9"/>
      <c r="D39" s="14"/>
      <c r="E39" s="14"/>
      <c r="F39" s="75"/>
      <c r="G39" s="76"/>
      <c r="H39" s="76"/>
      <c r="J39"/>
      <c r="K39" s="76"/>
      <c r="L39" s="76"/>
      <c r="M39" s="74"/>
      <c r="N39" s="74"/>
      <c r="P39">
        <v>25</v>
      </c>
      <c r="Q39" s="9">
        <f t="shared" si="17"/>
        <v>4</v>
      </c>
      <c r="R39" s="9">
        <f t="shared" si="18"/>
        <v>1</v>
      </c>
      <c r="S39" s="14" cm="1">
        <f t="array" ref="S39">INDEX('Author-ConceptMap-2'!$I$16:$N$121,Q39+1,R39)</f>
        <v>0</v>
      </c>
    </row>
    <row r="40" spans="1:19" s="1" customFormat="1" x14ac:dyDescent="0.75">
      <c r="A40"/>
      <c r="B40" s="9"/>
      <c r="C40" s="9"/>
      <c r="D40" s="60"/>
      <c r="F40" s="76"/>
      <c r="G40" s="76"/>
      <c r="H40" s="76"/>
      <c r="J40"/>
      <c r="K40" s="76"/>
      <c r="L40" s="76"/>
      <c r="M40" s="74"/>
      <c r="N40" s="74"/>
      <c r="P40" s="9">
        <v>26</v>
      </c>
      <c r="Q40" s="9">
        <f t="shared" si="17"/>
        <v>4</v>
      </c>
      <c r="R40" s="9">
        <f t="shared" si="18"/>
        <v>2</v>
      </c>
      <c r="S40" s="14" cm="1">
        <f t="array" ref="S40">INDEX('Author-ConceptMap-2'!$I$16:$N$121,Q40+1,R40)</f>
        <v>0</v>
      </c>
    </row>
    <row r="41" spans="1:19" s="1" customFormat="1" x14ac:dyDescent="0.75">
      <c r="A41"/>
      <c r="B41" s="9"/>
      <c r="C41" s="9"/>
      <c r="F41" s="76"/>
      <c r="G41" s="76"/>
      <c r="H41" s="76"/>
      <c r="J41"/>
      <c r="K41" s="76"/>
      <c r="L41" s="76"/>
      <c r="M41" s="74"/>
      <c r="N41" s="74"/>
      <c r="P41">
        <v>27</v>
      </c>
      <c r="Q41" s="9">
        <f t="shared" si="17"/>
        <v>4</v>
      </c>
      <c r="R41" s="9">
        <f t="shared" si="18"/>
        <v>3</v>
      </c>
      <c r="S41" s="14" cm="1">
        <f t="array" ref="S41">INDEX('Author-ConceptMap-2'!$I$16:$N$121,Q41+1,R41)</f>
        <v>0</v>
      </c>
    </row>
  </sheetData>
  <mergeCells count="2">
    <mergeCell ref="E6:G6"/>
    <mergeCell ref="E7:G7"/>
  </mergeCells>
  <hyperlinks>
    <hyperlink ref="E3" r:id="rId1" xr:uid="{E2831B81-8A66-4444-8C13-59CF1A265DDC}"/>
    <hyperlink ref="E6" r:id="rId2" xr:uid="{DCB68255-C74C-44F2-9DF3-135D9CCE4DFD}"/>
  </hyperlinks>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E69E41-1164-4A61-9EB9-E706A52CD36F}">
  <sheetPr codeName="Foglio54">
    <tabColor theme="0" tint="-0.499984740745262"/>
  </sheetPr>
  <dimension ref="A2:S39"/>
  <sheetViews>
    <sheetView workbookViewId="0">
      <selection activeCell="C4" sqref="C4"/>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73" t="s">
        <v>34</v>
      </c>
      <c r="C3" s="54" t="s">
        <v>749</v>
      </c>
      <c r="D3" s="73" t="s">
        <v>688</v>
      </c>
      <c r="E3" s="84" t="s">
        <v>753</v>
      </c>
    </row>
    <row r="4" spans="1:19" x14ac:dyDescent="0.75">
      <c r="B4" s="73" t="s">
        <v>19</v>
      </c>
      <c r="C4" s="54" t="s">
        <v>750</v>
      </c>
      <c r="D4" s="73" t="s">
        <v>689</v>
      </c>
      <c r="E4" t="s">
        <v>691</v>
      </c>
    </row>
    <row r="5" spans="1:19" x14ac:dyDescent="0.75">
      <c r="B5" s="73" t="s">
        <v>13</v>
      </c>
      <c r="C5" s="10" t="s">
        <v>754</v>
      </c>
      <c r="D5" s="73"/>
      <c r="E5" s="10"/>
    </row>
    <row r="6" spans="1:19" x14ac:dyDescent="0.75">
      <c r="B6" s="73" t="s">
        <v>35</v>
      </c>
      <c r="C6" s="72"/>
      <c r="D6" s="73" t="s">
        <v>685</v>
      </c>
      <c r="E6" s="112" t="s">
        <v>753</v>
      </c>
      <c r="F6" s="111"/>
      <c r="G6" s="111"/>
    </row>
    <row r="7" spans="1:19" x14ac:dyDescent="0.75">
      <c r="B7" s="73" t="s">
        <v>18</v>
      </c>
      <c r="C7" s="80"/>
      <c r="D7" s="73" t="s">
        <v>686</v>
      </c>
      <c r="E7" s="112" t="s">
        <v>693</v>
      </c>
      <c r="F7" s="111"/>
      <c r="G7" s="111"/>
    </row>
    <row r="8" spans="1:19" ht="44.25" x14ac:dyDescent="0.75">
      <c r="B8" s="73" t="s">
        <v>679</v>
      </c>
      <c r="C8" s="10" t="s">
        <v>751</v>
      </c>
      <c r="D8" s="73"/>
      <c r="E8" s="10"/>
      <c r="I8" s="14" t="s">
        <v>647</v>
      </c>
      <c r="J8" s="14" t="s">
        <v>648</v>
      </c>
      <c r="K8" s="14" t="s">
        <v>649</v>
      </c>
      <c r="L8" s="14" t="s">
        <v>650</v>
      </c>
      <c r="M8" s="9" t="s">
        <v>651</v>
      </c>
      <c r="P8" s="69" t="s">
        <v>652</v>
      </c>
      <c r="Q8" s="69">
        <v>6</v>
      </c>
    </row>
    <row r="9" spans="1:19" ht="29.5" x14ac:dyDescent="0.75">
      <c r="B9" s="73" t="s">
        <v>680</v>
      </c>
      <c r="C9" s="1" t="s">
        <v>752</v>
      </c>
      <c r="D9" s="73"/>
      <c r="E9"/>
      <c r="I9" s="14"/>
      <c r="J9" s="9"/>
      <c r="K9" s="9"/>
      <c r="L9" s="9"/>
      <c r="M9" s="9"/>
    </row>
    <row r="10" spans="1:19" x14ac:dyDescent="0.75">
      <c r="B10" s="73"/>
      <c r="D10" s="73"/>
      <c r="E10"/>
      <c r="I10" s="14"/>
      <c r="J10" s="9"/>
      <c r="K10" s="9"/>
      <c r="L10" s="9"/>
      <c r="M10" s="9"/>
    </row>
    <row r="11" spans="1:19" x14ac:dyDescent="0.75">
      <c r="E11" s="10"/>
      <c r="I11" s="25" t="s">
        <v>653</v>
      </c>
      <c r="J11" s="70" t="s">
        <v>654</v>
      </c>
      <c r="K11" s="25" t="s">
        <v>655</v>
      </c>
      <c r="L11" s="70" t="s">
        <v>656</v>
      </c>
      <c r="M11" s="71" t="s">
        <v>657</v>
      </c>
      <c r="N11" s="74" t="s">
        <v>644</v>
      </c>
    </row>
    <row r="12" spans="1:19" x14ac:dyDescent="0.75">
      <c r="E12" s="72"/>
      <c r="I12" s="14"/>
      <c r="J12" s="9"/>
      <c r="K12" s="9"/>
      <c r="L12" s="9"/>
      <c r="M12" s="9"/>
    </row>
    <row r="13" spans="1:19" x14ac:dyDescent="0.75">
      <c r="D13" s="14"/>
      <c r="E13" s="9"/>
      <c r="F13" s="71" t="s">
        <v>657</v>
      </c>
      <c r="G13" s="74" t="s">
        <v>644</v>
      </c>
      <c r="H13" s="74"/>
      <c r="I13" s="14"/>
      <c r="J13" s="9"/>
      <c r="K13" s="71"/>
      <c r="L13" s="71"/>
      <c r="M13" s="71"/>
      <c r="N13" s="74"/>
    </row>
    <row r="14" spans="1:19" x14ac:dyDescent="0.75">
      <c r="A14" s="23"/>
      <c r="B14" s="8" t="str">
        <f>'A1.5 Author'!B5</f>
        <v>Author</v>
      </c>
      <c r="C14" s="9"/>
      <c r="D14" s="14" t="s">
        <v>581</v>
      </c>
      <c r="E14" s="8"/>
      <c r="F14" s="75"/>
      <c r="G14" s="75"/>
      <c r="I14" s="14"/>
      <c r="J14" s="9"/>
      <c r="K14" s="9"/>
      <c r="L14" s="9"/>
      <c r="M14" s="71"/>
      <c r="N14" s="74"/>
    </row>
    <row r="15" spans="1:19" ht="44.25" customHeight="1" x14ac:dyDescent="0.75">
      <c r="A15" s="23"/>
      <c r="B15" s="9" t="str">
        <f>'A1.5 Author'!B8</f>
        <v>identifier</v>
      </c>
      <c r="C15" s="9" t="str">
        <f>'A1.5 Author'!C8</f>
        <v>A.1.5.1 Author identifier</v>
      </c>
      <c r="D15" s="14" t="s">
        <v>367</v>
      </c>
      <c r="E15" s="9"/>
      <c r="F15" s="75" t="s">
        <v>658</v>
      </c>
      <c r="G15" s="75"/>
      <c r="H15" s="76"/>
      <c r="I15" s="14" t="str">
        <f>"* group[=].element[+].code = #"&amp;$B$14&amp;"."&amp;B15</f>
        <v>* group[=].element[+].code = #Author.identifier</v>
      </c>
      <c r="J15" s="14" t="str">
        <f t="shared" ref="J15" si="0">"* group[=].element[=].display = ##34#"&amp;C15&amp;"##34#"</f>
        <v>* group[=].element[=].display = ##34#A.1.5.1 Author identifier##34#</v>
      </c>
      <c r="K15" s="14" t="str">
        <f t="shared" ref="K15" si="1">IF(F15="unmatched","//-- unmatched","* group[=].element[=].target.code = #"&amp;$D$14&amp;"."&amp;D15)</f>
        <v>* group[=].element[=].target.code = #Composition.author.resolve().identifier</v>
      </c>
      <c r="L15" s="14" t="str">
        <f t="shared" ref="L15" si="2">IF(F15="unmatched","//-- unmatched","* group[=].element[=].target.display = ##34#"&amp;E15&amp;"##34#")</f>
        <v>* group[=].element[=].target.display = ##34###34#</v>
      </c>
      <c r="M15" s="14" t="str">
        <f t="shared" ref="M15" si="3">"* group[=].element[=].target.equivalence = #"&amp;F15</f>
        <v>* group[=].element[=].target.equivalence = #equivalent</v>
      </c>
      <c r="N15" s="14" t="str">
        <f t="shared" ref="N15" si="4">IF(G15&lt;&gt;"",CONCATENATE("* group[=].element[=].target.comment = ","##34#",G15,"##34#"),"")</f>
        <v/>
      </c>
      <c r="P15" s="9">
        <v>1</v>
      </c>
      <c r="Q15" s="9">
        <f>IF(MOD(P15,$Q$8)=0,P15/$Q$8-1,INT(P15/$Q$8))</f>
        <v>0</v>
      </c>
      <c r="R15" s="9">
        <f>IF(MOD(P15,$Q$8)=0,$Q$8,MOD(P15,$Q$8))</f>
        <v>1</v>
      </c>
      <c r="S15" s="14" t="str" cm="1">
        <f t="array" ref="S15">INDEX('Author-ConceptMap-3'!$I$15:$N$119,Q15+1,R15)</f>
        <v>* group[=].element[+].code = #Author.identifier</v>
      </c>
    </row>
    <row r="16" spans="1:19" ht="73.75" x14ac:dyDescent="0.75">
      <c r="A16" s="23"/>
      <c r="B16" s="9" t="str">
        <f>'A1.5 Author'!B9</f>
        <v>name</v>
      </c>
      <c r="C16" s="9" t="str">
        <f>'A1.5 Author'!C9</f>
        <v>A.1.5.2 Author name</v>
      </c>
      <c r="D16" s="14" t="s">
        <v>763</v>
      </c>
      <c r="E16" s="9"/>
      <c r="F16" s="75" t="s">
        <v>658</v>
      </c>
      <c r="G16" s="75"/>
      <c r="H16" s="76"/>
      <c r="I16" s="14" t="str">
        <f t="shared" ref="I16:I18" si="5">"* group[=].element[+].code = #"&amp;$B$14&amp;"."&amp;B16</f>
        <v>* group[=].element[+].code = #Author.name</v>
      </c>
      <c r="J16" s="14" t="str">
        <f t="shared" ref="J16:J18" si="6">"* group[=].element[=].display = ##34#"&amp;C16&amp;"##34#"</f>
        <v>* group[=].element[=].display = ##34#A.1.5.2 Author name##34#</v>
      </c>
      <c r="K16" s="14" t="str">
        <f t="shared" ref="K16:K18" si="7">IF(F16="unmatched","//-- unmatched","* group[=].element[=].target.code = #"&amp;$D$14&amp;"."&amp;D16)</f>
        <v>* group[=].element[=].target.code = #Composition.author.resolve().ofType(Practictioner).name</v>
      </c>
      <c r="L16" s="14" t="str">
        <f t="shared" ref="L16:L18" si="8">IF(F16="unmatched","//-- unmatched","* group[=].element[=].target.display = ##34#"&amp;E16&amp;"##34#")</f>
        <v>* group[=].element[=].target.display = ##34###34#</v>
      </c>
      <c r="M16" s="14" t="str">
        <f t="shared" ref="M16:M18" si="9">"* group[=].element[=].target.equivalence = #"&amp;F16</f>
        <v>* group[=].element[=].target.equivalence = #equivalent</v>
      </c>
      <c r="N16" s="14" t="str">
        <f t="shared" ref="N16:N18" si="10">IF(G16&lt;&gt;"",CONCATENATE("* group[=].element[=].target.comment = ","##34#",G16,"##34#"),"")</f>
        <v/>
      </c>
      <c r="P16" s="9">
        <v>2</v>
      </c>
      <c r="Q16" s="9">
        <f>IF(MOD(P16,$Q$8)=0,P16/$Q$8-1,INT(P16/$Q$8))</f>
        <v>0</v>
      </c>
      <c r="R16" s="9">
        <f>IF(MOD(P16,$Q$8)=0,$Q$8,MOD(P16,$Q$8))</f>
        <v>2</v>
      </c>
      <c r="S16" s="14" t="str" cm="1">
        <f t="array" ref="S16">INDEX('Author-ConceptMap-3'!$I$15:$N$119,Q16+1,R16)</f>
        <v>* group[=].element[=].display = ##34#A.1.5.1 Author identifier##34#</v>
      </c>
    </row>
    <row r="17" spans="1:19" ht="88.5" x14ac:dyDescent="0.75">
      <c r="A17" s="23"/>
      <c r="B17" s="9" t="str">
        <f>'A1.5 Author'!B9</f>
        <v>name</v>
      </c>
      <c r="C17" s="9" t="str">
        <f>'A1.5 Author'!C9</f>
        <v>A.1.5.2 Author name</v>
      </c>
      <c r="D17" s="14" t="s">
        <v>764</v>
      </c>
      <c r="E17" s="9"/>
      <c r="F17" s="75" t="s">
        <v>658</v>
      </c>
      <c r="G17" s="75"/>
      <c r="H17" s="76"/>
      <c r="I17" s="14" t="str">
        <f t="shared" si="5"/>
        <v>* group[=].element[+].code = #Author.name</v>
      </c>
      <c r="J17" s="14" t="str">
        <f t="shared" si="6"/>
        <v>* group[=].element[=].display = ##34#A.1.5.2 Author name##34#</v>
      </c>
      <c r="K17" s="14" t="str">
        <f t="shared" si="7"/>
        <v>* group[=].element[=].target.code = #Composition.author.resolve().ofType(PractictionerRole).practictioner.resolve().name</v>
      </c>
      <c r="L17" s="14" t="str">
        <f t="shared" si="8"/>
        <v>* group[=].element[=].target.display = ##34###34#</v>
      </c>
      <c r="M17" s="14" t="str">
        <f t="shared" si="9"/>
        <v>* group[=].element[=].target.equivalence = #equivalent</v>
      </c>
      <c r="N17" s="14" t="str">
        <f t="shared" si="10"/>
        <v/>
      </c>
      <c r="P17" s="9">
        <v>3</v>
      </c>
      <c r="Q17" s="9">
        <f t="shared" ref="Q17:Q39" si="11">IF(MOD(P17,$Q$8)=0,P17/$Q$8-1,INT(P17/$Q$8))</f>
        <v>0</v>
      </c>
      <c r="R17" s="9">
        <f t="shared" ref="R17:R22" si="12">IF(MOD(P17,$Q$8)=0,$Q$8,MOD(P17,$Q$8))</f>
        <v>3</v>
      </c>
      <c r="S17" s="14" t="str" cm="1">
        <f t="array" ref="S17">INDEX('Author-ConceptMap-3'!$I$15:$N$119,Q17+1,R17)</f>
        <v>* group[=].element[=].target.code = #Composition.author.resolve().identifier</v>
      </c>
    </row>
    <row r="18" spans="1:19" ht="88.5" x14ac:dyDescent="0.75">
      <c r="A18" s="23"/>
      <c r="B18" s="9" t="str">
        <f>'A1.5 Author'!B10</f>
        <v>organization</v>
      </c>
      <c r="C18" s="9" t="str">
        <f>'A1.5 Author'!C10</f>
        <v>A.1.5.3 Author organization</v>
      </c>
      <c r="D18" s="14" t="s">
        <v>765</v>
      </c>
      <c r="E18" s="9"/>
      <c r="F18" s="75" t="s">
        <v>658</v>
      </c>
      <c r="G18" s="75"/>
      <c r="H18" s="76"/>
      <c r="I18" s="14" t="str">
        <f t="shared" si="5"/>
        <v>* group[=].element[+].code = #Author.organization</v>
      </c>
      <c r="J18" s="14" t="str">
        <f t="shared" si="6"/>
        <v>* group[=].element[=].display = ##34#A.1.5.3 Author organization##34#</v>
      </c>
      <c r="K18" s="14" t="str">
        <f t="shared" si="7"/>
        <v>* group[=].element[=].target.code = #Composition.author.resolve().ofType(PractictionerRole).organization.resolve()</v>
      </c>
      <c r="L18" s="14" t="str">
        <f t="shared" si="8"/>
        <v>* group[=].element[=].target.display = ##34###34#</v>
      </c>
      <c r="M18" s="14" t="str">
        <f t="shared" si="9"/>
        <v>* group[=].element[=].target.equivalence = #equivalent</v>
      </c>
      <c r="N18" s="14" t="str">
        <f t="shared" si="10"/>
        <v/>
      </c>
      <c r="P18" s="9">
        <v>4</v>
      </c>
      <c r="Q18" s="9">
        <f t="shared" si="11"/>
        <v>0</v>
      </c>
      <c r="R18" s="9">
        <f t="shared" si="12"/>
        <v>4</v>
      </c>
      <c r="S18" s="14" t="str" cm="1">
        <f t="array" ref="S18">INDEX('Author-ConceptMap-3'!$I$15:$N$119,Q18+1,R18)</f>
        <v>* group[=].element[=].target.display = ##34###34#</v>
      </c>
    </row>
    <row r="19" spans="1:19" x14ac:dyDescent="0.75">
      <c r="A19" s="23"/>
      <c r="B19" s="9"/>
      <c r="C19" s="9"/>
      <c r="D19" s="14"/>
      <c r="E19" s="9"/>
      <c r="F19" s="75"/>
      <c r="G19" s="75"/>
      <c r="H19" s="76"/>
      <c r="I19" s="14"/>
      <c r="J19" s="14"/>
      <c r="K19" s="14"/>
      <c r="L19" s="14"/>
      <c r="M19" s="14"/>
      <c r="N19" s="14"/>
      <c r="P19" s="9">
        <v>5</v>
      </c>
      <c r="Q19" s="9">
        <f t="shared" si="11"/>
        <v>0</v>
      </c>
      <c r="R19" s="9">
        <f t="shared" si="12"/>
        <v>5</v>
      </c>
      <c r="S19" s="14" t="str" cm="1">
        <f t="array" ref="S19">INDEX('Author-ConceptMap-3'!$I$15:$N$119,Q19+1,R19)</f>
        <v>* group[=].element[=].target.equivalence = #equivalent</v>
      </c>
    </row>
    <row r="20" spans="1:19" x14ac:dyDescent="0.75">
      <c r="A20" s="23"/>
      <c r="B20" s="9"/>
      <c r="C20" s="9"/>
      <c r="D20" s="14"/>
      <c r="E20" s="9"/>
      <c r="F20" s="75"/>
      <c r="G20" s="75"/>
      <c r="H20" s="76"/>
      <c r="I20" s="14"/>
      <c r="J20" s="14"/>
      <c r="K20" s="14"/>
      <c r="L20" s="14"/>
      <c r="M20" s="14"/>
      <c r="N20" s="14"/>
      <c r="P20" s="9">
        <v>6</v>
      </c>
      <c r="Q20" s="9">
        <f t="shared" si="11"/>
        <v>0</v>
      </c>
      <c r="R20" s="9">
        <f t="shared" si="12"/>
        <v>6</v>
      </c>
      <c r="S20" s="14" t="str" cm="1">
        <f t="array" ref="S20">INDEX('Author-ConceptMap-3'!$I$15:$N$119,Q20+1,R20)</f>
        <v/>
      </c>
    </row>
    <row r="21" spans="1:19" x14ac:dyDescent="0.75">
      <c r="A21" s="23"/>
      <c r="B21" s="9"/>
      <c r="C21" s="9"/>
      <c r="D21" s="14"/>
      <c r="E21" s="9"/>
      <c r="F21" s="75"/>
      <c r="G21" s="75"/>
      <c r="H21" s="76"/>
      <c r="I21" s="14"/>
      <c r="J21" s="14"/>
      <c r="K21" s="14"/>
      <c r="L21" s="14"/>
      <c r="M21" s="14"/>
      <c r="N21" s="14"/>
      <c r="P21" s="9">
        <v>7</v>
      </c>
      <c r="Q21" s="9">
        <f t="shared" si="11"/>
        <v>1</v>
      </c>
      <c r="R21" s="9">
        <f t="shared" si="12"/>
        <v>1</v>
      </c>
      <c r="S21" s="14" t="str" cm="1">
        <f t="array" ref="S21">INDEX('Author-ConceptMap-3'!$I$15:$N$119,Q21+1,R21)</f>
        <v>* group[=].element[+].code = #Author.name</v>
      </c>
    </row>
    <row r="22" spans="1:19" x14ac:dyDescent="0.75">
      <c r="A22" s="23"/>
      <c r="B22" s="9"/>
      <c r="C22" s="9"/>
      <c r="D22" s="14"/>
      <c r="E22" s="9"/>
      <c r="F22" s="75"/>
      <c r="G22" s="75"/>
      <c r="H22" s="76"/>
      <c r="I22" s="14"/>
      <c r="J22" s="14"/>
      <c r="K22" s="14"/>
      <c r="L22" s="14"/>
      <c r="M22" s="14"/>
      <c r="N22" s="14"/>
      <c r="P22" s="9">
        <v>8</v>
      </c>
      <c r="Q22" s="9">
        <f t="shared" si="11"/>
        <v>1</v>
      </c>
      <c r="R22" s="9">
        <f t="shared" si="12"/>
        <v>2</v>
      </c>
      <c r="S22" s="14" t="str" cm="1">
        <f t="array" ref="S22">INDEX('Author-ConceptMap-3'!$I$15:$N$119,Q22+1,R22)</f>
        <v>* group[=].element[=].display = ##34#A.1.5.2 Author name##34#</v>
      </c>
    </row>
    <row r="23" spans="1:19" ht="29.5" x14ac:dyDescent="0.75">
      <c r="A23" s="23"/>
      <c r="B23" s="9"/>
      <c r="C23" s="9"/>
      <c r="D23" s="14"/>
      <c r="E23" s="9"/>
      <c r="F23" s="75"/>
      <c r="G23" s="75"/>
      <c r="H23" s="76"/>
      <c r="I23" s="14"/>
      <c r="J23" s="14"/>
      <c r="K23" s="14"/>
      <c r="L23" s="14"/>
      <c r="M23" s="14"/>
      <c r="N23" s="14"/>
      <c r="P23" s="9">
        <v>9</v>
      </c>
      <c r="Q23" s="9">
        <f t="shared" si="11"/>
        <v>1</v>
      </c>
      <c r="R23" s="9">
        <f t="shared" ref="R23:R39" si="13">IF(MOD(P23,$Q$8)=0,$Q$8,MOD(P23,$Q$8))</f>
        <v>3</v>
      </c>
      <c r="S23" s="14" t="str" cm="1">
        <f t="array" ref="S23">INDEX('Author-ConceptMap-3'!$I$15:$N$119,Q23+1,R23)</f>
        <v>* group[=].element[=].target.code = #Composition.author.resolve().ofType(Practictioner).name</v>
      </c>
    </row>
    <row r="24" spans="1:19" x14ac:dyDescent="0.75">
      <c r="A24" s="23"/>
      <c r="B24" s="9"/>
      <c r="C24" s="9"/>
      <c r="D24" s="14"/>
      <c r="E24" s="14"/>
      <c r="F24" s="75"/>
      <c r="G24" s="75"/>
      <c r="H24" s="76"/>
      <c r="I24" s="14"/>
      <c r="J24" s="14"/>
      <c r="K24" s="14"/>
      <c r="L24" s="14"/>
      <c r="M24" s="14"/>
      <c r="N24" s="14"/>
      <c r="P24" s="9">
        <v>10</v>
      </c>
      <c r="Q24" s="9">
        <f t="shared" si="11"/>
        <v>1</v>
      </c>
      <c r="R24" s="9">
        <f t="shared" si="13"/>
        <v>4</v>
      </c>
      <c r="S24" s="14" t="str" cm="1">
        <f t="array" ref="S24">INDEX('Author-ConceptMap-3'!$I$15:$N$119,Q24+1,R24)</f>
        <v>* group[=].element[=].target.display = ##34###34#</v>
      </c>
    </row>
    <row r="25" spans="1:19" x14ac:dyDescent="0.75">
      <c r="A25" s="23"/>
      <c r="B25" s="9"/>
      <c r="C25" s="9"/>
      <c r="D25" s="14"/>
      <c r="E25" s="14"/>
      <c r="F25" s="75"/>
      <c r="G25" s="75"/>
      <c r="H25" s="76"/>
      <c r="I25" s="14"/>
      <c r="J25" s="14"/>
      <c r="K25" s="14"/>
      <c r="L25" s="14"/>
      <c r="M25" s="14"/>
      <c r="N25" s="14"/>
      <c r="P25" s="9">
        <v>11</v>
      </c>
      <c r="Q25" s="9">
        <f t="shared" si="11"/>
        <v>1</v>
      </c>
      <c r="R25" s="9">
        <f t="shared" si="13"/>
        <v>5</v>
      </c>
      <c r="S25" s="14" t="str" cm="1">
        <f t="array" ref="S25">INDEX('Author-ConceptMap-3'!$I$15:$N$119,Q25+1,R25)</f>
        <v>* group[=].element[=].target.equivalence = #equivalent</v>
      </c>
    </row>
    <row r="26" spans="1:19" x14ac:dyDescent="0.75">
      <c r="B26" s="9"/>
      <c r="C26" s="9"/>
      <c r="D26" s="14"/>
      <c r="E26" s="14"/>
      <c r="F26" s="75"/>
      <c r="G26" s="75"/>
      <c r="H26" s="76"/>
      <c r="I26" s="14"/>
      <c r="J26" s="14"/>
      <c r="K26" s="14"/>
      <c r="L26" s="14"/>
      <c r="M26" s="14"/>
      <c r="N26" s="14"/>
      <c r="P26" s="9">
        <v>12</v>
      </c>
      <c r="Q26" s="9">
        <f t="shared" si="11"/>
        <v>1</v>
      </c>
      <c r="R26" s="9">
        <f t="shared" si="13"/>
        <v>6</v>
      </c>
      <c r="S26" s="14" t="str" cm="1">
        <f t="array" ref="S26">INDEX('Author-ConceptMap-3'!$I$15:$N$119,Q26+1,R26)</f>
        <v/>
      </c>
    </row>
    <row r="27" spans="1:19" x14ac:dyDescent="0.75">
      <c r="B27" s="9"/>
      <c r="C27" s="9"/>
      <c r="D27" s="14"/>
      <c r="E27" s="14"/>
      <c r="F27" s="75"/>
      <c r="G27" s="75"/>
      <c r="H27" s="76"/>
      <c r="I27" s="14"/>
      <c r="J27" s="14"/>
      <c r="K27" s="14"/>
      <c r="L27" s="14"/>
      <c r="M27" s="14"/>
      <c r="N27" s="14"/>
      <c r="P27" s="9">
        <v>13</v>
      </c>
      <c r="Q27" s="9">
        <f t="shared" si="11"/>
        <v>2</v>
      </c>
      <c r="R27" s="9">
        <f t="shared" si="13"/>
        <v>1</v>
      </c>
      <c r="S27" s="14" t="str" cm="1">
        <f t="array" ref="S27">INDEX('Author-ConceptMap-3'!$I$15:$N$119,Q27+1,R27)</f>
        <v>* group[=].element[+].code = #Author.name</v>
      </c>
    </row>
    <row r="28" spans="1:19" x14ac:dyDescent="0.75">
      <c r="B28" s="9"/>
      <c r="C28" s="9"/>
      <c r="D28" s="14"/>
      <c r="E28" s="14"/>
      <c r="F28" s="75"/>
      <c r="G28" s="75"/>
      <c r="H28" s="76"/>
      <c r="I28" s="14"/>
      <c r="J28" s="14"/>
      <c r="K28" s="14"/>
      <c r="L28" s="14"/>
      <c r="M28" s="14"/>
      <c r="N28" s="14"/>
      <c r="P28" s="9">
        <v>14</v>
      </c>
      <c r="Q28" s="9">
        <f t="shared" si="11"/>
        <v>2</v>
      </c>
      <c r="R28" s="9">
        <f t="shared" si="13"/>
        <v>2</v>
      </c>
      <c r="S28" s="14" t="str" cm="1">
        <f t="array" ref="S28">INDEX('Author-ConceptMap-3'!$I$15:$N$119,Q28+1,R28)</f>
        <v>* group[=].element[=].display = ##34#A.1.5.2 Author name##34#</v>
      </c>
    </row>
    <row r="29" spans="1:19" ht="29.5" x14ac:dyDescent="0.75">
      <c r="B29" s="9"/>
      <c r="C29" s="9"/>
      <c r="D29" s="14"/>
      <c r="E29" s="14"/>
      <c r="F29" s="75"/>
      <c r="G29" s="75"/>
      <c r="H29" s="76"/>
      <c r="I29" s="14"/>
      <c r="J29" s="14"/>
      <c r="K29" s="14"/>
      <c r="L29" s="14"/>
      <c r="M29" s="14"/>
      <c r="N29" s="14"/>
      <c r="P29" s="9">
        <v>15</v>
      </c>
      <c r="Q29" s="9">
        <f t="shared" si="11"/>
        <v>2</v>
      </c>
      <c r="R29" s="9">
        <f t="shared" si="13"/>
        <v>3</v>
      </c>
      <c r="S29" s="14" t="str" cm="1">
        <f t="array" ref="S29">INDEX('Author-ConceptMap-3'!$I$15:$N$119,Q29+1,R29)</f>
        <v>* group[=].element[=].target.code = #Composition.author.resolve().ofType(PractictionerRole).practictioner.resolve().name</v>
      </c>
    </row>
    <row r="30" spans="1:19" x14ac:dyDescent="0.75">
      <c r="B30" s="9"/>
      <c r="C30" s="9"/>
      <c r="D30" s="14"/>
      <c r="E30" s="14"/>
      <c r="F30" s="75"/>
      <c r="G30" s="75"/>
      <c r="H30" s="76"/>
      <c r="I30" s="14"/>
      <c r="J30" s="14"/>
      <c r="K30" s="14"/>
      <c r="L30" s="14"/>
      <c r="M30" s="14"/>
      <c r="N30" s="14"/>
      <c r="P30" s="9">
        <v>16</v>
      </c>
      <c r="Q30" s="9">
        <f t="shared" si="11"/>
        <v>2</v>
      </c>
      <c r="R30" s="9">
        <f t="shared" si="13"/>
        <v>4</v>
      </c>
      <c r="S30" s="14" t="str" cm="1">
        <f t="array" ref="S30">INDEX('Author-ConceptMap-3'!$I$15:$N$119,Q30+1,R30)</f>
        <v>* group[=].element[=].target.display = ##34###34#</v>
      </c>
    </row>
    <row r="31" spans="1:19" x14ac:dyDescent="0.75">
      <c r="B31" s="9"/>
      <c r="C31" s="9"/>
      <c r="D31" s="14"/>
      <c r="E31" s="14"/>
      <c r="F31" s="75"/>
      <c r="G31" s="75"/>
      <c r="H31" s="76"/>
      <c r="I31" s="14"/>
      <c r="J31" s="14"/>
      <c r="K31" s="14"/>
      <c r="L31" s="14"/>
      <c r="M31" s="14"/>
      <c r="N31" s="14"/>
      <c r="P31" s="9">
        <v>17</v>
      </c>
      <c r="Q31" s="9">
        <f t="shared" si="11"/>
        <v>2</v>
      </c>
      <c r="R31" s="9">
        <f t="shared" si="13"/>
        <v>5</v>
      </c>
      <c r="S31" s="14" t="str" cm="1">
        <f t="array" ref="S31">INDEX('Author-ConceptMap-3'!$I$15:$N$119,Q31+1,R31)</f>
        <v>* group[=].element[=].target.equivalence = #equivalent</v>
      </c>
    </row>
    <row r="32" spans="1:19" x14ac:dyDescent="0.75">
      <c r="B32" s="9"/>
      <c r="C32" s="9"/>
      <c r="D32" s="14"/>
      <c r="E32" s="14"/>
      <c r="F32" s="75"/>
      <c r="G32" s="75"/>
      <c r="H32" s="76"/>
      <c r="I32" s="14"/>
      <c r="J32" s="14"/>
      <c r="K32" s="14"/>
      <c r="L32" s="14"/>
      <c r="M32" s="14"/>
      <c r="N32" s="14"/>
      <c r="P32" s="9">
        <v>18</v>
      </c>
      <c r="Q32" s="9">
        <f t="shared" si="11"/>
        <v>2</v>
      </c>
      <c r="R32" s="9">
        <f t="shared" si="13"/>
        <v>6</v>
      </c>
      <c r="S32" s="14" t="str" cm="1">
        <f t="array" ref="S32">INDEX('Author-ConceptMap-3'!$I$15:$N$119,Q32+1,R32)</f>
        <v/>
      </c>
    </row>
    <row r="33" spans="1:19" x14ac:dyDescent="0.75">
      <c r="B33" s="9"/>
      <c r="C33" s="9"/>
      <c r="D33" s="14"/>
      <c r="E33" s="14"/>
      <c r="F33" s="75"/>
      <c r="G33" s="75"/>
      <c r="H33" s="76"/>
      <c r="I33" s="14"/>
      <c r="J33" s="14"/>
      <c r="K33" s="14"/>
      <c r="L33" s="14"/>
      <c r="M33" s="14"/>
      <c r="N33" s="1"/>
      <c r="P33" s="9">
        <v>19</v>
      </c>
      <c r="Q33" s="9">
        <f t="shared" si="11"/>
        <v>3</v>
      </c>
      <c r="R33" s="9">
        <f t="shared" si="13"/>
        <v>1</v>
      </c>
      <c r="S33" s="14" t="str" cm="1">
        <f t="array" ref="S33">INDEX('Author-ConceptMap-3'!$I$15:$N$119,Q33+1,R33)</f>
        <v>* group[=].element[+].code = #Author.organization</v>
      </c>
    </row>
    <row r="34" spans="1:19" x14ac:dyDescent="0.75">
      <c r="B34" s="9"/>
      <c r="C34" s="9"/>
      <c r="D34" s="14"/>
      <c r="E34" s="14"/>
      <c r="F34" s="75"/>
      <c r="G34" s="75"/>
      <c r="H34" s="76"/>
      <c r="I34" s="14"/>
      <c r="J34" s="14"/>
      <c r="K34" s="14"/>
      <c r="L34" s="14"/>
      <c r="M34" s="14"/>
      <c r="N34" s="1"/>
      <c r="P34" s="9">
        <v>20</v>
      </c>
      <c r="Q34" s="9">
        <f t="shared" si="11"/>
        <v>3</v>
      </c>
      <c r="R34" s="9">
        <f t="shared" si="13"/>
        <v>2</v>
      </c>
      <c r="S34" s="14" t="str" cm="1">
        <f t="array" ref="S34">INDEX('Author-ConceptMap-3'!$I$15:$N$119,Q34+1,R34)</f>
        <v>* group[=].element[=].display = ##34#A.1.5.3 Author organization##34#</v>
      </c>
    </row>
    <row r="35" spans="1:19" ht="29.5" x14ac:dyDescent="0.75">
      <c r="B35" s="9"/>
      <c r="C35" s="9"/>
      <c r="D35" s="14"/>
      <c r="E35" s="14"/>
      <c r="F35" s="75"/>
      <c r="G35" s="75"/>
      <c r="H35" s="76"/>
      <c r="I35" s="14"/>
      <c r="J35" s="14"/>
      <c r="K35" s="14"/>
      <c r="L35" s="14"/>
      <c r="M35" s="14"/>
      <c r="N35" s="1"/>
      <c r="P35" s="9">
        <v>21</v>
      </c>
      <c r="Q35" s="9">
        <f t="shared" si="11"/>
        <v>3</v>
      </c>
      <c r="R35" s="9">
        <f t="shared" si="13"/>
        <v>3</v>
      </c>
      <c r="S35" s="14" t="str" cm="1">
        <f t="array" ref="S35">INDEX('Author-ConceptMap-3'!$I$15:$N$119,Q35+1,R35)</f>
        <v>* group[=].element[=].target.code = #Composition.author.resolve().ofType(PractictionerRole).organization.resolve()</v>
      </c>
    </row>
    <row r="36" spans="1:19" x14ac:dyDescent="0.75">
      <c r="B36" s="9"/>
      <c r="C36" s="9"/>
      <c r="D36" s="14"/>
      <c r="E36" s="14"/>
      <c r="F36" s="75"/>
      <c r="G36" s="75"/>
      <c r="H36" s="76"/>
      <c r="K36" s="76"/>
      <c r="L36" s="76"/>
      <c r="M36" s="74"/>
      <c r="N36" s="74"/>
      <c r="P36" s="9">
        <v>22</v>
      </c>
      <c r="Q36" s="9">
        <f t="shared" si="11"/>
        <v>3</v>
      </c>
      <c r="R36" s="9">
        <f t="shared" si="13"/>
        <v>4</v>
      </c>
      <c r="S36" s="14" t="str" cm="1">
        <f t="array" ref="S36">INDEX('Author-ConceptMap-3'!$I$15:$N$119,Q36+1,R36)</f>
        <v>* group[=].element[=].target.display = ##34###34#</v>
      </c>
    </row>
    <row r="37" spans="1:19" x14ac:dyDescent="0.75">
      <c r="B37" s="9"/>
      <c r="C37" s="9"/>
      <c r="D37" s="14"/>
      <c r="E37" s="14"/>
      <c r="F37" s="75"/>
      <c r="G37" s="75"/>
      <c r="H37" s="76"/>
      <c r="K37" s="76"/>
      <c r="L37" s="76"/>
      <c r="M37" s="74"/>
      <c r="N37" s="74"/>
      <c r="P37" s="9">
        <v>23</v>
      </c>
      <c r="Q37" s="9">
        <f t="shared" si="11"/>
        <v>3</v>
      </c>
      <c r="R37" s="9">
        <f t="shared" si="13"/>
        <v>5</v>
      </c>
      <c r="S37" s="14" t="str" cm="1">
        <f t="array" ref="S37">INDEX('Author-ConceptMap-3'!$I$15:$N$119,Q37+1,R37)</f>
        <v>* group[=].element[=].target.equivalence = #equivalent</v>
      </c>
    </row>
    <row r="38" spans="1:19" s="1" customFormat="1" x14ac:dyDescent="0.75">
      <c r="A38"/>
      <c r="B38" s="9"/>
      <c r="C38" s="9"/>
      <c r="D38" s="14"/>
      <c r="E38" s="14"/>
      <c r="F38" s="75"/>
      <c r="G38" s="76"/>
      <c r="H38" s="76"/>
      <c r="J38"/>
      <c r="K38" s="76"/>
      <c r="L38" s="76"/>
      <c r="M38" s="74"/>
      <c r="N38" s="74"/>
      <c r="P38" s="9">
        <v>24</v>
      </c>
      <c r="Q38" s="9">
        <f t="shared" si="11"/>
        <v>3</v>
      </c>
      <c r="R38" s="9">
        <f t="shared" si="13"/>
        <v>6</v>
      </c>
      <c r="S38" s="14" t="str" cm="1">
        <f t="array" ref="S38">INDEX('Author-ConceptMap-3'!$I$15:$N$119,Q38+1,R38)</f>
        <v/>
      </c>
    </row>
    <row r="39" spans="1:19" s="1" customFormat="1" x14ac:dyDescent="0.75">
      <c r="A39"/>
      <c r="B39" s="9"/>
      <c r="C39" s="9"/>
      <c r="D39" s="60"/>
      <c r="F39" s="76"/>
      <c r="G39" s="76"/>
      <c r="H39" s="76"/>
      <c r="J39"/>
      <c r="K39" s="76"/>
      <c r="L39" s="76"/>
      <c r="M39" s="74"/>
      <c r="N39" s="74"/>
      <c r="P39" s="9">
        <v>25</v>
      </c>
      <c r="Q39" s="9">
        <f t="shared" si="11"/>
        <v>4</v>
      </c>
      <c r="R39" s="9">
        <f t="shared" si="13"/>
        <v>1</v>
      </c>
      <c r="S39" s="14" cm="1">
        <f t="array" ref="S39">INDEX('Author-ConceptMap-3'!$I$15:$N$119,Q39+1,R39)</f>
        <v>0</v>
      </c>
    </row>
  </sheetData>
  <mergeCells count="2">
    <mergeCell ref="E6:G6"/>
    <mergeCell ref="E7:G7"/>
  </mergeCells>
  <hyperlinks>
    <hyperlink ref="E3" r:id="rId1" xr:uid="{64E13C05-385F-400E-A39F-350D01AD2595}"/>
    <hyperlink ref="E6" r:id="rId2" xr:uid="{564502A1-B6ED-4A78-B77C-05DFC7F32C80}"/>
    <hyperlink ref="E7" r:id="rId3" xr:uid="{4F42B532-C1A2-45E2-AEF4-483CCB39514B}"/>
  </hyperlinks>
  <pageMargins left="0.7" right="0.7" top="0.75" bottom="0.75" header="0.3" footer="0.3"/>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9D5648-B24E-409F-BEF1-1E3F8AB6521C}">
  <sheetPr codeName="Foglio23">
    <tabColor theme="0" tint="-0.34998626667073579"/>
  </sheetPr>
  <dimension ref="B1:G125"/>
  <sheetViews>
    <sheetView workbookViewId="0">
      <selection activeCell="C4" sqref="C4"/>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2" t="s">
        <v>37</v>
      </c>
    </row>
    <row r="2" spans="2:7" ht="16.75" thickBot="1" x14ac:dyDescent="0.9">
      <c r="B2" s="33" t="s">
        <v>661</v>
      </c>
      <c r="G2" s="56" t="s">
        <v>766</v>
      </c>
    </row>
    <row r="3" spans="2:7" x14ac:dyDescent="0.75">
      <c r="B3" s="33" t="s">
        <v>37</v>
      </c>
    </row>
    <row r="4" spans="2:7" x14ac:dyDescent="0.75">
      <c r="B4" s="77" t="str">
        <f>"Instance: "&amp;'Author-ConceptMap-1'!C4</f>
        <v>Instance: ConceptMap-eu-author2FHIR</v>
      </c>
    </row>
    <row r="5" spans="2:7" x14ac:dyDescent="0.75">
      <c r="B5" s="77" t="s">
        <v>662</v>
      </c>
    </row>
    <row r="6" spans="2:7" x14ac:dyDescent="0.75">
      <c r="B6" s="77" t="s">
        <v>663</v>
      </c>
    </row>
    <row r="7" spans="2:7" x14ac:dyDescent="0.75">
      <c r="B7" s="77" t="s">
        <v>677</v>
      </c>
    </row>
    <row r="8" spans="2:7" x14ac:dyDescent="0.75">
      <c r="B8" s="77" t="str">
        <f>"* name = ##34#"&amp;'Author-ConceptMap-1'!C3&amp;"##34#"</f>
        <v>* name = ##34#Author2Fhir##34#</v>
      </c>
    </row>
    <row r="9" spans="2:7" x14ac:dyDescent="0.75">
      <c r="B9" s="77" t="str">
        <f>"* title = ##34#"&amp;'Author-ConceptMap-1'!C5&amp;"##34#"</f>
        <v>* title = ##34#eHN Author to this guide Map##34#</v>
      </c>
    </row>
    <row r="10" spans="2:7" x14ac:dyDescent="0.75">
      <c r="B10" s="77" t="s">
        <v>664</v>
      </c>
    </row>
    <row r="11" spans="2:7" x14ac:dyDescent="0.75">
      <c r="B11" s="77" t="s">
        <v>665</v>
      </c>
    </row>
    <row r="12" spans="2:7" x14ac:dyDescent="0.75">
      <c r="B12" s="77" t="str">
        <f>"* description = ##34#"&amp;'Author-ConceptMap-1'!C8&amp;"##34#"</f>
        <v>* description = ##34#eHN Author Model to this guide Map##34#</v>
      </c>
    </row>
    <row r="13" spans="2:7" x14ac:dyDescent="0.75">
      <c r="B13" s="77" t="str">
        <f>"* purpose = ##34#"&amp;'Author-ConceptMap-1'!C9&amp;"##34#"</f>
        <v>* purpose = ##34#It shows how the Laboratory Report Author data set defined by the EU eHN guidelines is mapped into this guide##34#</v>
      </c>
    </row>
    <row r="14" spans="2:7" x14ac:dyDescent="0.75">
      <c r="B14" s="78" t="str">
        <f>"* sourceUri = ##34#"&amp;'Author-ConceptMap-1'!E3&amp;"##34#"</f>
        <v>* sourceUri = ##34#http://hl7.eu/fhir/laboratory/StructureDefinition/Author##34#</v>
      </c>
    </row>
    <row r="15" spans="2:7" x14ac:dyDescent="0.75">
      <c r="B15" s="78" t="str">
        <f>"* targetUri = ##34#"&amp;'Author-ConceptMap-1'!E4&amp;"##34#"</f>
        <v>* targetUri = ##34#http://hl7.eu/fhir/laboratory/StructureDefinition/Bundle-eu-lab##34#</v>
      </c>
    </row>
    <row r="16" spans="2:7" x14ac:dyDescent="0.75">
      <c r="B16" s="77"/>
    </row>
    <row r="17" spans="2:2" x14ac:dyDescent="0.75">
      <c r="B17" s="77"/>
    </row>
    <row r="18" spans="2:2" x14ac:dyDescent="0.75">
      <c r="B18" s="79" t="str">
        <f>"* group[+].source = ##34#"&amp;'Author-ConceptMap-3'!E6&amp;"##34#"</f>
        <v>* group[+].source = ##34#http://hl7.eu/fhir/laboratory/StructureDefinition/Author##34#</v>
      </c>
    </row>
    <row r="19" spans="2:2" x14ac:dyDescent="0.75">
      <c r="B19" s="79" t="str">
        <f>"* group[=].target = ##34#"&amp;'Author-ConceptMap-3'!E7&amp;"##34#"</f>
        <v>* group[=].target = ##34#http://hl7.eu/fhir/laboratory/StructureDefinition/Composition-eu-lab##34#</v>
      </c>
    </row>
    <row r="20" spans="2:2" x14ac:dyDescent="0.75">
      <c r="B20" s="81"/>
    </row>
    <row r="21" spans="2:2" x14ac:dyDescent="0.75">
      <c r="B21" s="14" t="str">
        <f>IF('Author-ConceptMap-3'!S15=0,"//---END",'Author-ConceptMap-3'!S15)</f>
        <v>* group[=].element[+].code = #Author.identifier</v>
      </c>
    </row>
    <row r="22" spans="2:2" x14ac:dyDescent="0.75">
      <c r="B22" s="14" t="str">
        <f>IF('Author-ConceptMap-3'!S16=0,"//---END",'Author-ConceptMap-3'!S16)</f>
        <v>* group[=].element[=].display = ##34#A.1.5.1 Author identifier##34#</v>
      </c>
    </row>
    <row r="23" spans="2:2" x14ac:dyDescent="0.75">
      <c r="B23" s="14" t="str">
        <f>IF('Author-ConceptMap-3'!S17=0,"//---END",'Author-ConceptMap-3'!S17)</f>
        <v>* group[=].element[=].target.code = #Composition.author.resolve().identifier</v>
      </c>
    </row>
    <row r="24" spans="2:2" x14ac:dyDescent="0.75">
      <c r="B24" s="14" t="str">
        <f>IF('Author-ConceptMap-3'!S18=0,"//---END",'Author-ConceptMap-3'!S18)</f>
        <v>* group[=].element[=].target.display = ##34###34#</v>
      </c>
    </row>
    <row r="25" spans="2:2" x14ac:dyDescent="0.75">
      <c r="B25" s="14" t="str">
        <f>IF('Author-ConceptMap-3'!S19=0,"//---END",'Author-ConceptMap-3'!S19)</f>
        <v>* group[=].element[=].target.equivalence = #equivalent</v>
      </c>
    </row>
    <row r="26" spans="2:2" x14ac:dyDescent="0.75">
      <c r="B26" s="14" t="str">
        <f>IF('Author-ConceptMap-3'!S20=0,"//---END",'Author-ConceptMap-3'!S20)</f>
        <v/>
      </c>
    </row>
    <row r="27" spans="2:2" x14ac:dyDescent="0.75">
      <c r="B27" s="14" t="str">
        <f>IF('Author-ConceptMap-3'!S21=0,"//---END",'Author-ConceptMap-3'!S21)</f>
        <v>* group[=].element[+].code = #Author.name</v>
      </c>
    </row>
    <row r="28" spans="2:2" x14ac:dyDescent="0.75">
      <c r="B28" s="14" t="str">
        <f>IF('Author-ConceptMap-3'!S22=0,"//---END",'Author-ConceptMap-3'!S22)</f>
        <v>* group[=].element[=].display = ##34#A.1.5.2 Author name##34#</v>
      </c>
    </row>
    <row r="29" spans="2:2" x14ac:dyDescent="0.75">
      <c r="B29" s="14" t="str">
        <f>IF('Author-ConceptMap-3'!S23=0,"//---END",'Author-ConceptMap-3'!S23)</f>
        <v>* group[=].element[=].target.code = #Composition.author.resolve().ofType(Practictioner).name</v>
      </c>
    </row>
    <row r="30" spans="2:2" x14ac:dyDescent="0.75">
      <c r="B30" s="14" t="str">
        <f>IF('Author-ConceptMap-3'!S24=0,"//---END",'Author-ConceptMap-3'!S24)</f>
        <v>* group[=].element[=].target.display = ##34###34#</v>
      </c>
    </row>
    <row r="31" spans="2:2" x14ac:dyDescent="0.75">
      <c r="B31" s="14" t="str">
        <f>IF('Author-ConceptMap-3'!S25=0,"//---END",'Author-ConceptMap-3'!S25)</f>
        <v>* group[=].element[=].target.equivalence = #equivalent</v>
      </c>
    </row>
    <row r="32" spans="2:2" x14ac:dyDescent="0.75">
      <c r="B32" s="14" t="str">
        <f>IF('Author-ConceptMap-3'!S26=0,"//---END",'Author-ConceptMap-3'!S26)</f>
        <v/>
      </c>
    </row>
    <row r="33" spans="2:2" x14ac:dyDescent="0.75">
      <c r="B33" s="14" t="str">
        <f>IF('Author-ConceptMap-3'!S27=0,"//---END",'Author-ConceptMap-3'!S27)</f>
        <v>* group[=].element[+].code = #Author.name</v>
      </c>
    </row>
    <row r="34" spans="2:2" x14ac:dyDescent="0.75">
      <c r="B34" s="14" t="str">
        <f>IF('Author-ConceptMap-3'!S28=0,"//---END",'Author-ConceptMap-3'!S28)</f>
        <v>* group[=].element[=].display = ##34#A.1.5.2 Author name##34#</v>
      </c>
    </row>
    <row r="35" spans="2:2" x14ac:dyDescent="0.75">
      <c r="B35" s="14" t="str">
        <f>IF('Author-ConceptMap-3'!S29=0,"//---END",'Author-ConceptMap-3'!S29)</f>
        <v>* group[=].element[=].target.code = #Composition.author.resolve().ofType(PractictionerRole).practictioner.resolve().name</v>
      </c>
    </row>
    <row r="36" spans="2:2" x14ac:dyDescent="0.75">
      <c r="B36" s="14" t="str">
        <f>IF('Author-ConceptMap-3'!S30=0,"//---END",'Author-ConceptMap-3'!S30)</f>
        <v>* group[=].element[=].target.display = ##34###34#</v>
      </c>
    </row>
    <row r="37" spans="2:2" x14ac:dyDescent="0.75">
      <c r="B37" s="14" t="str">
        <f>IF('Author-ConceptMap-3'!S31=0,"//---END",'Author-ConceptMap-3'!S31)</f>
        <v>* group[=].element[=].target.equivalence = #equivalent</v>
      </c>
    </row>
    <row r="38" spans="2:2" x14ac:dyDescent="0.75">
      <c r="B38" s="14" t="str">
        <f>IF('Author-ConceptMap-3'!S32=0,"//---END",'Author-ConceptMap-3'!S32)</f>
        <v/>
      </c>
    </row>
    <row r="39" spans="2:2" x14ac:dyDescent="0.75">
      <c r="B39" s="14" t="str">
        <f>IF('Author-ConceptMap-3'!S33=0,"//---END",'Author-ConceptMap-3'!S33)</f>
        <v>* group[=].element[+].code = #Author.organization</v>
      </c>
    </row>
    <row r="40" spans="2:2" x14ac:dyDescent="0.75">
      <c r="B40" s="14" t="str">
        <f>IF('Author-ConceptMap-3'!S34=0,"//---END",'Author-ConceptMap-3'!S34)</f>
        <v>* group[=].element[=].display = ##34#A.1.5.3 Author organization##34#</v>
      </c>
    </row>
    <row r="41" spans="2:2" x14ac:dyDescent="0.75">
      <c r="B41" s="14" t="str">
        <f>IF('Author-ConceptMap-3'!S35=0,"//---END",'Author-ConceptMap-3'!S35)</f>
        <v>* group[=].element[=].target.code = #Composition.author.resolve().ofType(PractictionerRole).organization.resolve()</v>
      </c>
    </row>
    <row r="42" spans="2:2" x14ac:dyDescent="0.75">
      <c r="B42" s="14" t="str">
        <f>IF('Author-ConceptMap-3'!S36=0,"//---END",'Author-ConceptMap-3'!S36)</f>
        <v>* group[=].element[=].target.display = ##34###34#</v>
      </c>
    </row>
    <row r="43" spans="2:2" x14ac:dyDescent="0.75">
      <c r="B43" s="14" t="str">
        <f>IF('Author-ConceptMap-3'!S37=0,"//---END",'Author-ConceptMap-3'!S37)</f>
        <v>* group[=].element[=].target.equivalence = #equivalent</v>
      </c>
    </row>
    <row r="44" spans="2:2" x14ac:dyDescent="0.75">
      <c r="B44" s="14" t="str">
        <f>IF('Author-ConceptMap-3'!S38=0,"//---END",'Author-ConceptMap-3'!S38)</f>
        <v/>
      </c>
    </row>
    <row r="45" spans="2:2" x14ac:dyDescent="0.75">
      <c r="B45" s="14" t="str">
        <f>IF('Author-ConceptMap-3'!S39=0,"//---END",'Author-ConceptMap-3'!S39)</f>
        <v>//---END</v>
      </c>
    </row>
    <row r="46" spans="2:2" x14ac:dyDescent="0.75">
      <c r="B46" s="14" t="str">
        <f>IF('Author-ConceptMap-3'!S40=0,"//---END",'Author-ConceptMap-3'!S40)</f>
        <v>//---END</v>
      </c>
    </row>
    <row r="47" spans="2:2" x14ac:dyDescent="0.75">
      <c r="B47" s="14" t="str">
        <f>IF('Author-ConceptMap-3'!S41=0,"//---END",'Author-ConceptMap-3'!S41)</f>
        <v>//---END</v>
      </c>
    </row>
    <row r="48" spans="2:2" x14ac:dyDescent="0.75">
      <c r="B48" s="14" t="str">
        <f>IF('Author-ConceptMap-3'!S42=0,"//---END",'Author-ConceptMap-3'!S42)</f>
        <v>//---END</v>
      </c>
    </row>
    <row r="49" spans="2:7" x14ac:dyDescent="0.75">
      <c r="B49" s="1"/>
    </row>
    <row r="50" spans="2:7" x14ac:dyDescent="0.75">
      <c r="B50" s="79" t="str">
        <f>"* group[+].source = ##34#"&amp;'Author-ConceptMap-1'!E6&amp;"##34#"</f>
        <v>* group[+].source = ##34#http://hl7.eu/fhir/laboratory/StructureDefinition/Author##34#</v>
      </c>
    </row>
    <row r="51" spans="2:7" x14ac:dyDescent="0.75">
      <c r="B51" s="79" t="str">
        <f>"* group[=].target = ##34#"&amp;'Author-ConceptMap-1'!E7&amp;"##34#"</f>
        <v>* group[=].target = ##34#http://hl7.eu/fhir/laboratory/StructureDefinition/DiagnosticReport-eu-lab##34#</v>
      </c>
    </row>
    <row r="52" spans="2:7" x14ac:dyDescent="0.75">
      <c r="B52" s="81"/>
    </row>
    <row r="53" spans="2:7" x14ac:dyDescent="0.75">
      <c r="B53" s="14" t="str">
        <f>IF('Author-ConceptMap-1'!S15=0,"//---END",'Author-ConceptMap-1'!S15)</f>
        <v>* group[=].element[+].code = #Author.$this</v>
      </c>
    </row>
    <row r="54" spans="2:7" x14ac:dyDescent="0.75">
      <c r="B54" s="14" t="str">
        <f>IF('Author-ConceptMap-1'!S16=0,"//---END",'Author-ConceptMap-1'!S16)</f>
        <v>* group[=].element[=].display = ##34#A.1.5 Author##34#</v>
      </c>
    </row>
    <row r="55" spans="2:7" x14ac:dyDescent="0.75">
      <c r="B55" s="14" t="str">
        <f>IF('Author-ConceptMap-1'!S17=0,"//---END",'Author-ConceptMap-1'!S17)</f>
        <v>* group[=].element[=].target.code = #DiagnosticReport.resultsInterpreter.resolve()</v>
      </c>
    </row>
    <row r="56" spans="2:7" x14ac:dyDescent="0.75">
      <c r="B56" s="14" t="str">
        <f>IF('Author-ConceptMap-1'!S18=0,"//---END",'Author-ConceptMap-1'!S18)</f>
        <v>* group[=].element[=].target.display = ##34###34#</v>
      </c>
    </row>
    <row r="57" spans="2:7" x14ac:dyDescent="0.75">
      <c r="B57" s="14" t="str">
        <f>IF('Author-ConceptMap-1'!S19=0,"//---END",'Author-ConceptMap-1'!S19)</f>
        <v>* group[=].element[=].target.equivalence = #relatedto</v>
      </c>
    </row>
    <row r="58" spans="2:7" x14ac:dyDescent="0.75">
      <c r="B58" s="14" t="str">
        <f>IF('Author-ConceptMap-1'!S20=0,"//---END",'Author-ConceptMap-1'!S20)</f>
        <v>* group[=].element[=].target.comment = ##34#If the author is the interpreter##34#</v>
      </c>
      <c r="G58" s="10"/>
    </row>
    <row r="59" spans="2:7" x14ac:dyDescent="0.75">
      <c r="B59" s="14" t="str">
        <f>IF('Author-ConceptMap-1'!S21=0,"//---END",'Author-ConceptMap-1'!S21)</f>
        <v>* group[=].element[+].code = #Author.identifier</v>
      </c>
    </row>
    <row r="60" spans="2:7" x14ac:dyDescent="0.75">
      <c r="B60" s="14" t="str">
        <f>IF('Author-ConceptMap-1'!S22=0,"//---END",'Author-ConceptMap-1'!S22)</f>
        <v>* group[=].element[=].display = ##34#A.1.5.1 Author identifier##34#</v>
      </c>
    </row>
    <row r="61" spans="2:7" x14ac:dyDescent="0.75">
      <c r="B61" s="14" t="str">
        <f>IF('Author-ConceptMap-1'!S23=0,"//---END",'Author-ConceptMap-1'!S23)</f>
        <v>* group[=].element[=].target.code = #DiagnosticReport.resultsInterpreter.resolve().identifier</v>
      </c>
    </row>
    <row r="62" spans="2:7" x14ac:dyDescent="0.75">
      <c r="B62" s="14" t="str">
        <f>IF('Author-ConceptMap-1'!S24=0,"//---END",'Author-ConceptMap-1'!S24)</f>
        <v>* group[=].element[=].target.display = ##34###34#</v>
      </c>
    </row>
    <row r="63" spans="2:7" x14ac:dyDescent="0.75">
      <c r="B63" s="14" t="str">
        <f>IF('Author-ConceptMap-1'!S25=0,"//---END",'Author-ConceptMap-1'!S25)</f>
        <v>* group[=].element[=].target.equivalence = #relatedto</v>
      </c>
    </row>
    <row r="64" spans="2:7" x14ac:dyDescent="0.75">
      <c r="B64" s="14" t="str">
        <f>IF('Author-ConceptMap-1'!S26=0,"//---END",'Author-ConceptMap-1'!S26)</f>
        <v>* group[=].element[=].target.comment = ##34#If the author is the interpreter##34#</v>
      </c>
    </row>
    <row r="65" spans="2:2" x14ac:dyDescent="0.75">
      <c r="B65" s="14" t="str">
        <f>IF('Author-ConceptMap-1'!S27=0,"//---END",'Author-ConceptMap-1'!S27)</f>
        <v>* group[=].element[+].code = #Author.name</v>
      </c>
    </row>
    <row r="66" spans="2:2" x14ac:dyDescent="0.75">
      <c r="B66" s="14" t="str">
        <f>IF('Author-ConceptMap-1'!S28=0,"//---END",'Author-ConceptMap-1'!S28)</f>
        <v>* group[=].element[=].display = ##34#A.1.5.2 Author name##34#</v>
      </c>
    </row>
    <row r="67" spans="2:2" x14ac:dyDescent="0.75">
      <c r="B67" s="14" t="str">
        <f>IF('Author-ConceptMap-1'!S29=0,"//---END",'Author-ConceptMap-1'!S29)</f>
        <v>* group[=].element[=].target.code = #DiagnosticReport.resultsInterpreter.resolve().ofType(Practictioner).name</v>
      </c>
    </row>
    <row r="68" spans="2:2" x14ac:dyDescent="0.75">
      <c r="B68" s="14" t="str">
        <f>IF('Author-ConceptMap-1'!S30=0,"//---END",'Author-ConceptMap-1'!S30)</f>
        <v>* group[=].element[=].target.display = ##34###34#</v>
      </c>
    </row>
    <row r="69" spans="2:2" x14ac:dyDescent="0.75">
      <c r="B69" s="14" t="str">
        <f>IF('Author-ConceptMap-1'!S31=0,"//---END",'Author-ConceptMap-1'!S31)</f>
        <v>* group[=].element[=].target.equivalence = #relatedto</v>
      </c>
    </row>
    <row r="70" spans="2:2" x14ac:dyDescent="0.75">
      <c r="B70" s="14" t="str">
        <f>IF('Author-ConceptMap-1'!S32=0,"//---END",'Author-ConceptMap-1'!S32)</f>
        <v>* group[=].element[=].target.comment = ##34#If the author is the interpreter##34#</v>
      </c>
    </row>
    <row r="71" spans="2:2" x14ac:dyDescent="0.75">
      <c r="B71" s="14" t="str">
        <f>IF('Author-ConceptMap-1'!S33=0,"//---END",'Author-ConceptMap-1'!S33)</f>
        <v>* group[=].element[+].code = #Author.name</v>
      </c>
    </row>
    <row r="72" spans="2:2" x14ac:dyDescent="0.75">
      <c r="B72" s="14" t="str">
        <f>IF('Author-ConceptMap-1'!S34=0,"//---END",'Author-ConceptMap-1'!S34)</f>
        <v>* group[=].element[=].display = ##34#A.1.5.2 Author name##34#</v>
      </c>
    </row>
    <row r="73" spans="2:2" x14ac:dyDescent="0.75">
      <c r="B73" s="14" t="str">
        <f>IF('Author-ConceptMap-1'!S35=0,"//---END",'Author-ConceptMap-1'!S35)</f>
        <v>* group[=].element[=].target.code = #DiagnosticReport.resultsInterpreter.resolve().ofType(PractictionerRole).practictioner.resolve().name</v>
      </c>
    </row>
    <row r="74" spans="2:2" x14ac:dyDescent="0.75">
      <c r="B74" s="14" t="str">
        <f>IF('Author-ConceptMap-1'!S36=0,"//---END",'Author-ConceptMap-1'!S36)</f>
        <v>* group[=].element[=].target.display = ##34###34#</v>
      </c>
    </row>
    <row r="75" spans="2:2" x14ac:dyDescent="0.75">
      <c r="B75" s="14" t="str">
        <f>IF('Author-ConceptMap-1'!S37=0,"//---END",'Author-ConceptMap-1'!S37)</f>
        <v>* group[=].element[=].target.equivalence = #relatedto</v>
      </c>
    </row>
    <row r="76" spans="2:2" x14ac:dyDescent="0.75">
      <c r="B76" s="14" t="str">
        <f>IF('Author-ConceptMap-1'!S38=0,"//---END",'Author-ConceptMap-1'!S38)</f>
        <v>* group[=].element[=].target.comment = ##34#If the author is the interpreter##34#</v>
      </c>
    </row>
    <row r="77" spans="2:2" x14ac:dyDescent="0.75">
      <c r="B77" s="14" t="str">
        <f>IF('Author-ConceptMap-1'!S39=0,"//---END",'Author-ConceptMap-1'!S39)</f>
        <v>* group[=].element[+].code = #Author.organization</v>
      </c>
    </row>
    <row r="78" spans="2:2" x14ac:dyDescent="0.75">
      <c r="B78" s="14" t="str">
        <f>IF('Author-ConceptMap-1'!S40=0,"//---END",'Author-ConceptMap-1'!S40)</f>
        <v>* group[=].element[=].display = ##34#A.1.5.3 Author organization##34#</v>
      </c>
    </row>
    <row r="79" spans="2:2" x14ac:dyDescent="0.75">
      <c r="B79" s="14" t="str">
        <f>IF('Author-ConceptMap-1'!S41=0,"//---END",'Author-ConceptMap-1'!S41)</f>
        <v>* group[=].element[=].target.code = #DiagnosticReport.resultsInterpreter.resolve().ofType(PractictionerRole).organization.resolve()</v>
      </c>
    </row>
    <row r="80" spans="2:2" x14ac:dyDescent="0.75">
      <c r="B80" s="14" t="str">
        <f>IF('Author-ConceptMap-1'!S42=0,"//---END",'Author-ConceptMap-1'!S42)</f>
        <v>* group[=].element[=].target.display = ##34###34#</v>
      </c>
    </row>
    <row r="81" spans="2:2" x14ac:dyDescent="0.75">
      <c r="B81" s="14" t="str">
        <f>IF('Author-ConceptMap-1'!S43=0,"//---END",'Author-ConceptMap-1'!S43)</f>
        <v>* group[=].element[=].target.equivalence = #relatedto</v>
      </c>
    </row>
    <row r="82" spans="2:2" x14ac:dyDescent="0.75">
      <c r="B82" s="14" t="str">
        <f>IF('Author-ConceptMap-1'!S44=0,"//---END",'Author-ConceptMap-1'!S44)</f>
        <v>* group[=].element[=].target.comment = ##34#If the author is the interpreter##34#</v>
      </c>
    </row>
    <row r="83" spans="2:2" x14ac:dyDescent="0.75">
      <c r="B83" s="14" t="str">
        <f>IF('Author-ConceptMap-1'!S45=0,"//---END",'Author-ConceptMap-1'!S45)</f>
        <v>//---END</v>
      </c>
    </row>
    <row r="84" spans="2:2" x14ac:dyDescent="0.75">
      <c r="B84" s="14" t="str">
        <f>IF('Author-ConceptMap-1'!S46=0,"//---END",'Author-ConceptMap-1'!S46)</f>
        <v>//---END</v>
      </c>
    </row>
    <row r="85" spans="2:2" x14ac:dyDescent="0.75">
      <c r="B85" s="14" t="str">
        <f>IF('Author-ConceptMap-1'!S47=0,"//---END",'Author-ConceptMap-1'!S47)</f>
        <v>//---END</v>
      </c>
    </row>
    <row r="86" spans="2:2" x14ac:dyDescent="0.75">
      <c r="B86" s="14" t="str">
        <f>IF('Author-ConceptMap-1'!S48=0,"//---END",'Author-ConceptMap-1'!S48)</f>
        <v>//---END</v>
      </c>
    </row>
    <row r="87" spans="2:2" x14ac:dyDescent="0.75">
      <c r="B87" s="14" t="str">
        <f>IF('Author-ConceptMap-1'!S49=0,"//---END",'Author-ConceptMap-1'!S49)</f>
        <v>//---END</v>
      </c>
    </row>
    <row r="88" spans="2:2" x14ac:dyDescent="0.75">
      <c r="B88" s="14" t="str">
        <f>IF('Author-ConceptMap-1'!S50=0,"//---END",'Author-ConceptMap-1'!S50)</f>
        <v>//---END</v>
      </c>
    </row>
    <row r="91" spans="2:2" x14ac:dyDescent="0.75">
      <c r="B91" s="77"/>
    </row>
    <row r="92" spans="2:2" x14ac:dyDescent="0.75">
      <c r="B92" s="79" t="str">
        <f>"* group[+].source = ##34#"&amp;'Author-ConceptMap-2'!E6&amp;"##34#"</f>
        <v>* group[+].source = ##34#http://hl7.eu/fhir/laboratory/StructureDefinition/Author##34#</v>
      </c>
    </row>
    <row r="93" spans="2:2" x14ac:dyDescent="0.75">
      <c r="B93" s="79" t="str">
        <f>"* group[=].target = ##34#"&amp;'Author-ConceptMap-2'!E7&amp;"##34#"</f>
        <v>* group[=].target = ##34#http://hl7.eu/fhir/laboratory/StructureDefinition/DiagnosticReport-eu-lab##34#</v>
      </c>
    </row>
    <row r="94" spans="2:2" x14ac:dyDescent="0.75">
      <c r="B94" s="81"/>
    </row>
    <row r="95" spans="2:2" x14ac:dyDescent="0.75">
      <c r="B95" s="14" t="str">
        <f>IF('Author-ConceptMap-2'!S15=0,"//---END",'Author-ConceptMap-2'!S15)</f>
        <v>* group[=].element[+].code = #Author.$this</v>
      </c>
    </row>
    <row r="96" spans="2:2" x14ac:dyDescent="0.75">
      <c r="B96" s="14" t="str">
        <f>IF('Author-ConceptMap-2'!S16=0,"//---END",'Author-ConceptMap-2'!S16)</f>
        <v>* group[=].element[=].display = ##34#A.1.5 Author##34#</v>
      </c>
    </row>
    <row r="97" spans="2:2" x14ac:dyDescent="0.75">
      <c r="B97" s="14" t="str">
        <f>IF('Author-ConceptMap-2'!S17=0,"//---END",'Author-ConceptMap-2'!S17)</f>
        <v>* group[=].element[=].target.code = #DiagnosticReport.performer.resolve()</v>
      </c>
    </row>
    <row r="98" spans="2:2" x14ac:dyDescent="0.75">
      <c r="B98" s="14" t="str">
        <f>IF('Author-ConceptMap-2'!S18=0,"//---END",'Author-ConceptMap-2'!S18)</f>
        <v>* group[=].element[=].target.display = ##34###34#</v>
      </c>
    </row>
    <row r="99" spans="2:2" x14ac:dyDescent="0.75">
      <c r="B99" s="14" t="str">
        <f>IF('Author-ConceptMap-2'!S19=0,"//---END",'Author-ConceptMap-2'!S19)</f>
        <v>* group[=].element[=].target.equivalence = #relatedto</v>
      </c>
    </row>
    <row r="100" spans="2:2" x14ac:dyDescent="0.75">
      <c r="B100" s="14" t="str">
        <f>IF('Author-ConceptMap-2'!S20=0,"//---END",'Author-ConceptMap-2'!S20)</f>
        <v>* group[=].element[=].target.comment = ##34#If the author is the performer##34#</v>
      </c>
    </row>
    <row r="101" spans="2:2" x14ac:dyDescent="0.75">
      <c r="B101" s="14" t="str">
        <f>IF('Author-ConceptMap-2'!S21=0,"//---END",'Author-ConceptMap-2'!S21)</f>
        <v>* group[=].element[+].code = #Author.name</v>
      </c>
    </row>
    <row r="102" spans="2:2" x14ac:dyDescent="0.75">
      <c r="B102" s="14" t="str">
        <f>IF('Author-ConceptMap-2'!S22=0,"//---END",'Author-ConceptMap-2'!S22)</f>
        <v>* group[=].element[=].display = ##34#A.1.5.2 Author name##34#</v>
      </c>
    </row>
    <row r="103" spans="2:2" x14ac:dyDescent="0.75">
      <c r="B103" s="14" t="str">
        <f>IF('Author-ConceptMap-2'!S23=0,"//---END",'Author-ConceptMap-2'!S23)</f>
        <v>* group[=].element[=].target.code = #DiagnosticReport.performer.resolve().ofType(Practictioner).name</v>
      </c>
    </row>
    <row r="104" spans="2:2" x14ac:dyDescent="0.75">
      <c r="B104" s="14" t="str">
        <f>IF('Author-ConceptMap-2'!S24=0,"//---END",'Author-ConceptMap-2'!S24)</f>
        <v>* group[=].element[=].target.display = ##34###34#</v>
      </c>
    </row>
    <row r="105" spans="2:2" x14ac:dyDescent="0.75">
      <c r="B105" s="14" t="str">
        <f>IF('Author-ConceptMap-2'!S25=0,"//---END",'Author-ConceptMap-2'!S25)</f>
        <v>* group[=].element[=].target.equivalence = #relatedto</v>
      </c>
    </row>
    <row r="106" spans="2:2" x14ac:dyDescent="0.75">
      <c r="B106" s="14" t="str">
        <f>IF('Author-ConceptMap-2'!S26=0,"//---END",'Author-ConceptMap-2'!S26)</f>
        <v>* group[=].element[=].target.comment = ##34#If the author is the performer##34#</v>
      </c>
    </row>
    <row r="107" spans="2:2" x14ac:dyDescent="0.75">
      <c r="B107" s="14" t="str">
        <f>IF('Author-ConceptMap-2'!S27=0,"//---END",'Author-ConceptMap-2'!S27)</f>
        <v>* group[=].element[+].code = #Author.name</v>
      </c>
    </row>
    <row r="108" spans="2:2" x14ac:dyDescent="0.75">
      <c r="B108" s="14" t="str">
        <f>IF('Author-ConceptMap-2'!S28=0,"//---END",'Author-ConceptMap-2'!S28)</f>
        <v>* group[=].element[=].display = ##34#A.1.5.2 Author name##34#</v>
      </c>
    </row>
    <row r="109" spans="2:2" x14ac:dyDescent="0.75">
      <c r="B109" s="14" t="str">
        <f>IF('Author-ConceptMap-2'!S29=0,"//---END",'Author-ConceptMap-2'!S29)</f>
        <v>* group[=].element[=].target.code = #DiagnosticReport.performer.resolve().ofType(PractictionerRole).practictioner.resolve().name</v>
      </c>
    </row>
    <row r="110" spans="2:2" x14ac:dyDescent="0.75">
      <c r="B110" s="14" t="str">
        <f>IF('Author-ConceptMap-2'!S30=0,"//---END",'Author-ConceptMap-2'!S30)</f>
        <v>* group[=].element[=].target.display = ##34###34#</v>
      </c>
    </row>
    <row r="111" spans="2:2" x14ac:dyDescent="0.75">
      <c r="B111" s="14" t="str">
        <f>IF('Author-ConceptMap-2'!S31=0,"//---END",'Author-ConceptMap-2'!S31)</f>
        <v>* group[=].element[=].target.equivalence = #relatedto</v>
      </c>
    </row>
    <row r="112" spans="2:2" x14ac:dyDescent="0.75">
      <c r="B112" s="14" t="str">
        <f>IF('Author-ConceptMap-2'!S32=0,"//---END",'Author-ConceptMap-2'!S32)</f>
        <v>* group[=].element[=].target.comment = ##34#If the author is the performer##34#</v>
      </c>
    </row>
    <row r="113" spans="2:2" x14ac:dyDescent="0.75">
      <c r="B113" s="14" t="str">
        <f>IF('Author-ConceptMap-2'!S33=0,"//---END",'Author-ConceptMap-2'!S33)</f>
        <v>* group[=].element[+].code = #Author.organization</v>
      </c>
    </row>
    <row r="114" spans="2:2" x14ac:dyDescent="0.75">
      <c r="B114" s="14" t="str">
        <f>IF('Author-ConceptMap-2'!S34=0,"//---END",'Author-ConceptMap-2'!S34)</f>
        <v>* group[=].element[=].display = ##34#A.1.5.3 Author organization##34#</v>
      </c>
    </row>
    <row r="115" spans="2:2" x14ac:dyDescent="0.75">
      <c r="B115" s="14" t="str">
        <f>IF('Author-ConceptMap-2'!S35=0,"//---END",'Author-ConceptMap-2'!S35)</f>
        <v>* group[=].element[=].target.code = #DiagnosticReport.performer.resolve().ofType(PractictionerRole).organization.resolve()</v>
      </c>
    </row>
    <row r="116" spans="2:2" x14ac:dyDescent="0.75">
      <c r="B116" s="14" t="str">
        <f>IF('Author-ConceptMap-2'!S36=0,"//---END",'Author-ConceptMap-2'!S36)</f>
        <v>* group[=].element[=].target.display = ##34###34#</v>
      </c>
    </row>
    <row r="117" spans="2:2" x14ac:dyDescent="0.75">
      <c r="B117" s="14" t="str">
        <f>IF('Author-ConceptMap-2'!S37=0,"//---END",'Author-ConceptMap-2'!S37)</f>
        <v>* group[=].element[=].target.equivalence = #relatedto</v>
      </c>
    </row>
    <row r="118" spans="2:2" x14ac:dyDescent="0.75">
      <c r="B118" s="14" t="str">
        <f>IF('Author-ConceptMap-2'!S38=0,"//---END",'Author-ConceptMap-2'!S38)</f>
        <v>* group[=].element[=].target.comment = ##34#If the author is the performer##34#</v>
      </c>
    </row>
    <row r="119" spans="2:2" x14ac:dyDescent="0.75">
      <c r="B119" s="14" t="str">
        <f>IF('Author-ConceptMap-2'!S39=0,"//---END",'Author-ConceptMap-2'!S39)</f>
        <v>//---END</v>
      </c>
    </row>
    <row r="120" spans="2:2" x14ac:dyDescent="0.75">
      <c r="B120" s="14" t="str">
        <f>IF('Author-ConceptMap-2'!S40=0,"//---END",'Author-ConceptMap-2'!S40)</f>
        <v>//---END</v>
      </c>
    </row>
    <row r="121" spans="2:2" x14ac:dyDescent="0.75">
      <c r="B121" s="14" t="str">
        <f>IF('Author-ConceptMap-2'!S41=0,"//---END",'Author-ConceptMap-2'!S41)</f>
        <v>//---END</v>
      </c>
    </row>
    <row r="122" spans="2:2" x14ac:dyDescent="0.75">
      <c r="B122" s="14" t="str">
        <f>IF('Author-ConceptMap-2'!S42=0,"//---END",'Author-ConceptMap-2'!S42)</f>
        <v>//---END</v>
      </c>
    </row>
    <row r="123" spans="2:2" x14ac:dyDescent="0.75">
      <c r="B123" s="14" t="str">
        <f>IF('Author-ConceptMap-2'!S43=0,"//---END",'Author-ConceptMap-2'!S43)</f>
        <v>//---END</v>
      </c>
    </row>
    <row r="124" spans="2:2" x14ac:dyDescent="0.75">
      <c r="B124" s="14" t="str">
        <f>IF('Author-ConceptMap-2'!S44=0,"//---END",'Author-ConceptMap-2'!S44)</f>
        <v>//---END</v>
      </c>
    </row>
    <row r="125" spans="2:2" x14ac:dyDescent="0.75">
      <c r="B125" s="14" t="str">
        <f>IF('Author-ConceptMap-2'!S45=0,"//---END",'Author-ConceptMap-2'!S45)</f>
        <v>//---END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18113"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33C045-FBD2-4C15-B379-F710F7977725}">
  <sheetPr codeName="Foglio34">
    <tabColor theme="7" tint="0.39997558519241921"/>
  </sheetPr>
  <dimension ref="A1:L30"/>
  <sheetViews>
    <sheetView workbookViewId="0"/>
  </sheetViews>
  <sheetFormatPr defaultRowHeight="14.75" x14ac:dyDescent="0.75"/>
  <cols>
    <col min="1" max="1" width="16.54296875" customWidth="1"/>
    <col min="2" max="2" width="59.5" customWidth="1"/>
    <col min="3" max="3" width="44.6328125" customWidth="1"/>
    <col min="4" max="4" width="71.58984375" style="1" bestFit="1" customWidth="1"/>
    <col min="5" max="5" width="10.816406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11" x14ac:dyDescent="0.75">
      <c r="I1" s="32" t="s">
        <v>37</v>
      </c>
    </row>
    <row r="2" spans="1:11" x14ac:dyDescent="0.75">
      <c r="I2" s="33" t="s">
        <v>36</v>
      </c>
    </row>
    <row r="3" spans="1:11" ht="15.5" thickBot="1" x14ac:dyDescent="0.9">
      <c r="I3" s="33" t="str">
        <f>I1</f>
        <v>// -------------------------------------------------------------------------------</v>
      </c>
    </row>
    <row r="4" spans="1:11" x14ac:dyDescent="0.75">
      <c r="A4" s="6" t="s">
        <v>14</v>
      </c>
      <c r="B4" s="17" t="s">
        <v>388</v>
      </c>
      <c r="I4" s="25" t="str">
        <f>CONCATENATE("Logical: ",B4)</f>
        <v>Logical: LegalAuthenticatorLabEhn</v>
      </c>
    </row>
    <row r="5" spans="1:11" x14ac:dyDescent="0.75">
      <c r="A5" s="18" t="s">
        <v>19</v>
      </c>
      <c r="B5" s="34" t="s">
        <v>399</v>
      </c>
      <c r="I5" s="25" t="str">
        <f>CONCATENATE("Id: ",B5)</f>
        <v>Id: LegalAuthenticator</v>
      </c>
    </row>
    <row r="6" spans="1:11" x14ac:dyDescent="0.75">
      <c r="A6" s="18" t="s">
        <v>13</v>
      </c>
      <c r="B6" s="19" t="s">
        <v>435</v>
      </c>
      <c r="I6" s="26" t="str">
        <f>CONCATENATE("Title: ##34#",B6,"##34#")</f>
        <v>Title: ##34#Legal authenticator (A.1.6)##34#</v>
      </c>
    </row>
    <row r="7" spans="1:11" ht="29.5" x14ac:dyDescent="0.75">
      <c r="A7" s="46" t="s">
        <v>5</v>
      </c>
      <c r="B7" s="58" t="s">
        <v>102</v>
      </c>
      <c r="C7" s="12"/>
      <c r="D7" s="2"/>
      <c r="E7" s="57"/>
      <c r="F7" s="3" t="s">
        <v>9</v>
      </c>
      <c r="G7" s="3" t="s">
        <v>10</v>
      </c>
      <c r="I7" s="26" t="str">
        <f>CONCATENATE("Description: "," ##334#",B7,"##334#",)</f>
        <v>Description:  ##334#A.1.6 Legal authenticator (The person taking responsibility for the medical content of the document)##334#</v>
      </c>
    </row>
    <row r="8" spans="1:11" ht="74.5" customHeight="1" x14ac:dyDescent="0.75">
      <c r="A8" s="9">
        <v>1</v>
      </c>
      <c r="B8" s="9" t="s">
        <v>367</v>
      </c>
      <c r="C8" s="9" t="s">
        <v>383</v>
      </c>
      <c r="D8" s="14" t="s">
        <v>539</v>
      </c>
      <c r="E8" s="9">
        <v>0</v>
      </c>
      <c r="F8" s="9">
        <v>1</v>
      </c>
      <c r="G8" s="9" t="s">
        <v>0</v>
      </c>
      <c r="H8" s="23"/>
      <c r="I8" s="14" t="str">
        <f>CONCATENATE("* ",B8, " ",E8,"..",F8," ",G8," ##34#",C8,"##34# ##334#",D8,"##334#")</f>
        <v>* identifier 0..1 Identifier ##34#A.1.6.1 Legal authenticator identifier##34# ##334#The health professional identification number. Either an internal identifier assigned by a healthcare provider institution or (preferably) a national health professional ID such as the license or registration number.  - Preferred system(s): ##334#</v>
      </c>
    </row>
    <row r="9" spans="1:11" ht="80.75" customHeight="1" x14ac:dyDescent="0.75">
      <c r="A9" s="9">
        <v>2</v>
      </c>
      <c r="B9" s="9" t="s">
        <v>368</v>
      </c>
      <c r="C9" s="9" t="s">
        <v>384</v>
      </c>
      <c r="D9" s="14" t="s">
        <v>379</v>
      </c>
      <c r="E9" s="9">
        <v>0</v>
      </c>
      <c r="F9" s="9" t="s">
        <v>11</v>
      </c>
      <c r="G9" s="9" t="s">
        <v>414</v>
      </c>
      <c r="H9" s="23"/>
      <c r="I9" s="14" t="str">
        <f t="shared" ref="I9:I14" si="0">CONCATENATE("* ",B9, " ",E9,"..",F9," ",G9," ##34#",C9,"##34# ##334#",D9,"##334#")</f>
        <v>* name 0..* HumanName ##34#A.1.6.2 Legal authenticator name##34# ##334#Person name. - Preferred system(s): ##334#</v>
      </c>
    </row>
    <row r="10" spans="1:11" ht="30.25" customHeight="1" x14ac:dyDescent="0.75">
      <c r="A10" s="9">
        <v>3</v>
      </c>
      <c r="B10" s="9" t="s">
        <v>369</v>
      </c>
      <c r="C10" s="9" t="s">
        <v>538</v>
      </c>
      <c r="D10" s="14" t="s">
        <v>386</v>
      </c>
      <c r="E10" s="9">
        <v>0</v>
      </c>
      <c r="F10" s="9" t="s">
        <v>11</v>
      </c>
      <c r="G10" s="9" t="s">
        <v>370</v>
      </c>
      <c r="H10" s="23"/>
      <c r="I10" s="14" t="str">
        <f t="shared" si="0"/>
        <v>* organization 0..* Organization ##34#A.1.6.3 Legal authenticator organization##34# ##334#The healthcare provider organization information. - Preferred system(s): ##334#</v>
      </c>
    </row>
    <row r="11" spans="1:11" ht="45" customHeight="1" x14ac:dyDescent="0.75">
      <c r="A11" s="59">
        <v>4</v>
      </c>
      <c r="B11" s="59" t="s">
        <v>2</v>
      </c>
      <c r="C11" t="s">
        <v>385</v>
      </c>
      <c r="D11" s="60" t="s">
        <v>387</v>
      </c>
      <c r="E11" s="59">
        <v>0</v>
      </c>
      <c r="F11" s="59">
        <v>1</v>
      </c>
      <c r="G11" s="59" t="s">
        <v>2</v>
      </c>
      <c r="H11" s="23"/>
      <c r="I11" s="14" t="str">
        <f t="shared" si="0"/>
        <v>* dateTime 0..1 dateTime ##34#A.1.6.4 Authentication date and time##34# ##334#Date and time when the document was authorized. - Preferred system(s): ISO 8601##334#</v>
      </c>
    </row>
    <row r="12" spans="1:11" x14ac:dyDescent="0.75">
      <c r="A12" s="9">
        <v>5</v>
      </c>
      <c r="B12" s="9"/>
      <c r="C12" s="9"/>
      <c r="D12" s="14"/>
      <c r="E12" s="9"/>
      <c r="F12" s="9"/>
      <c r="G12" s="9"/>
      <c r="H12" s="23"/>
      <c r="I12" s="14" t="str">
        <f t="shared" si="0"/>
        <v>*  ..  ##34###34# ##334###334#</v>
      </c>
    </row>
    <row r="13" spans="1:11" x14ac:dyDescent="0.75">
      <c r="A13" s="9">
        <v>6</v>
      </c>
      <c r="B13" s="9"/>
      <c r="C13" s="16"/>
      <c r="D13" s="14"/>
      <c r="E13" s="9"/>
      <c r="F13" s="9"/>
      <c r="G13" s="9"/>
      <c r="H13" s="23"/>
      <c r="I13" s="14" t="str">
        <f t="shared" si="0"/>
        <v>*  ..  ##34###34# ##334###334#</v>
      </c>
    </row>
    <row r="14" spans="1:11" x14ac:dyDescent="0.75">
      <c r="A14" s="9">
        <v>7</v>
      </c>
      <c r="B14" s="9"/>
      <c r="C14" s="16"/>
      <c r="D14" s="52"/>
      <c r="E14" s="9"/>
      <c r="F14" s="9"/>
      <c r="G14" s="9"/>
      <c r="H14" s="23"/>
      <c r="I14" s="14" t="str">
        <f t="shared" si="0"/>
        <v>*  ..  ##34###34# ##334###334#</v>
      </c>
    </row>
    <row r="15" spans="1:11" x14ac:dyDescent="0.75">
      <c r="A15" s="9">
        <v>8</v>
      </c>
      <c r="B15" s="9"/>
      <c r="C15" s="9"/>
      <c r="D15" s="14"/>
      <c r="E15" s="9"/>
      <c r="F15" s="9"/>
      <c r="G15" s="9"/>
      <c r="H15" s="23"/>
      <c r="I15" s="14"/>
      <c r="J15" s="16"/>
      <c r="K15" s="9"/>
    </row>
    <row r="16" spans="1:11" ht="29.5" customHeight="1" x14ac:dyDescent="0.75">
      <c r="A16" s="9">
        <v>9</v>
      </c>
      <c r="B16" s="9"/>
      <c r="C16" s="9"/>
      <c r="D16" s="14"/>
      <c r="E16" s="9"/>
      <c r="F16" s="9"/>
      <c r="G16" s="53"/>
      <c r="H16" s="9"/>
      <c r="I16" s="14"/>
    </row>
    <row r="17" spans="2:9" x14ac:dyDescent="0.75">
      <c r="I17" s="14"/>
    </row>
    <row r="18" spans="2:9" x14ac:dyDescent="0.75">
      <c r="I18" s="14"/>
    </row>
    <row r="19" spans="2:9" x14ac:dyDescent="0.75">
      <c r="I19" s="14"/>
    </row>
    <row r="20" spans="2:9" x14ac:dyDescent="0.75">
      <c r="I20" s="14"/>
    </row>
    <row r="21" spans="2:9" x14ac:dyDescent="0.75">
      <c r="B21" t="str">
        <f t="shared" ref="B21" si="1">CONCATENATE(C21," ",D21)</f>
        <v xml:space="preserve"> </v>
      </c>
      <c r="I21"/>
    </row>
    <row r="25" spans="2:9" ht="15.5" thickBot="1" x14ac:dyDescent="0.9"/>
    <row r="26" spans="2:9" ht="16.75" customHeight="1" thickBot="1" x14ac:dyDescent="0.9">
      <c r="C26" s="91" t="s">
        <v>102</v>
      </c>
      <c r="D26" s="92"/>
      <c r="E26" s="92"/>
      <c r="F26" s="93"/>
    </row>
    <row r="27" spans="2:9" ht="384.75" customHeight="1" thickBot="1" x14ac:dyDescent="0.9">
      <c r="B27" t="str">
        <f t="shared" ref="B27:B30" si="2">CONCATENATE(C27," ",D27)</f>
        <v>A.1.6.1 Legal authenticator identifier</v>
      </c>
      <c r="C27" s="36" t="s">
        <v>103</v>
      </c>
      <c r="D27" s="39" t="s">
        <v>104</v>
      </c>
      <c r="E27" s="37" t="s">
        <v>540</v>
      </c>
      <c r="F27" s="42"/>
      <c r="I27" s="1" t="str">
        <f t="shared" ref="I27:I30" si="3">CONCATENATE(E27," - Preferred system(s): ",F27)</f>
        <v xml:space="preserve">The health professional identification number. Either an internal identifier assigned by a healthcare provider institution or (preferably) a national health professional ID such as the license or registration number.  - Preferred system(s): </v>
      </c>
    </row>
    <row r="28" spans="2:9" ht="32.75" thickBot="1" x14ac:dyDescent="0.9">
      <c r="B28" t="str">
        <f t="shared" si="2"/>
        <v>A.1.6.2 Legal authenticator name</v>
      </c>
      <c r="C28" s="36" t="s">
        <v>106</v>
      </c>
      <c r="D28" s="39" t="s">
        <v>107</v>
      </c>
      <c r="E28" s="37" t="s">
        <v>89</v>
      </c>
      <c r="F28" s="42"/>
      <c r="I28" s="1" t="str">
        <f t="shared" si="3"/>
        <v xml:space="preserve">Person name. - Preferred system(s): </v>
      </c>
    </row>
    <row r="29" spans="2:9" ht="112.75" thickBot="1" x14ac:dyDescent="0.9">
      <c r="B29" t="str">
        <f t="shared" si="2"/>
        <v xml:space="preserve">A.1.6.3 Legal authenticator organization </v>
      </c>
      <c r="C29" s="36" t="s">
        <v>108</v>
      </c>
      <c r="D29" s="39" t="s">
        <v>541</v>
      </c>
      <c r="E29" s="37" t="s">
        <v>92</v>
      </c>
      <c r="F29" s="42"/>
      <c r="I29" s="1" t="str">
        <f t="shared" si="3"/>
        <v xml:space="preserve">The healthcare provider organization information. - Preferred system(s): </v>
      </c>
    </row>
    <row r="30" spans="2:9" ht="112.75" thickBot="1" x14ac:dyDescent="0.9">
      <c r="B30" t="str">
        <f t="shared" si="2"/>
        <v>A.1.6.4 Authentication date and time</v>
      </c>
      <c r="C30" s="36" t="s">
        <v>110</v>
      </c>
      <c r="D30" s="39" t="s">
        <v>111</v>
      </c>
      <c r="E30" s="37" t="s">
        <v>112</v>
      </c>
      <c r="F30" s="39" t="s">
        <v>113</v>
      </c>
      <c r="I30" s="1" t="str">
        <f t="shared" si="3"/>
        <v>Date and time when the document was authorized. - Preferred system(s): ISO 8601</v>
      </c>
    </row>
  </sheetData>
  <mergeCells count="1">
    <mergeCell ref="C26:F26"/>
  </mergeCells>
  <pageMargins left="0.7" right="0.7" top="0.75" bottom="0.75" header="0.3" footer="0.3"/>
  <pageSetup paperSize="9" orientation="portrait"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4D4670-1A9B-48C4-AA82-18EEE92EF706}">
  <sheetPr codeName="Foglio35"/>
  <dimension ref="A1:O33"/>
  <sheetViews>
    <sheetView workbookViewId="0"/>
  </sheetViews>
  <sheetFormatPr defaultRowHeight="14.75" x14ac:dyDescent="0.75"/>
  <cols>
    <col min="2" max="2" width="31.6796875" bestFit="1" customWidth="1"/>
    <col min="3" max="3" width="78.2265625" customWidth="1"/>
    <col min="4" max="4" width="8.04296875" customWidth="1"/>
    <col min="5" max="5" width="71.58984375" style="1" customWidth="1"/>
    <col min="6" max="6" width="10.76953125" customWidth="1"/>
    <col min="7" max="7" width="45.26953125" customWidth="1"/>
  </cols>
  <sheetData>
    <row r="1" spans="1:15" x14ac:dyDescent="0.75">
      <c r="E1" s="24" t="s">
        <v>37</v>
      </c>
      <c r="H1" s="10"/>
      <c r="I1" s="10"/>
      <c r="J1" s="10"/>
      <c r="K1" s="10"/>
      <c r="L1" s="10"/>
      <c r="M1" s="10"/>
      <c r="N1" s="10"/>
      <c r="O1" s="10"/>
    </row>
    <row r="2" spans="1:15" x14ac:dyDescent="0.75">
      <c r="E2" s="31" t="s">
        <v>38</v>
      </c>
      <c r="H2" s="10"/>
      <c r="I2" s="10"/>
      <c r="J2" s="10"/>
      <c r="K2" s="10"/>
      <c r="L2" s="10"/>
      <c r="M2" s="10"/>
      <c r="N2" s="10"/>
      <c r="O2" s="10"/>
    </row>
    <row r="3" spans="1:15" ht="15.5" thickBot="1" x14ac:dyDescent="0.9">
      <c r="E3" s="31" t="str">
        <f>E1</f>
        <v>// -------------------------------------------------------------------------------</v>
      </c>
      <c r="H3" s="10"/>
      <c r="I3" s="10"/>
      <c r="J3" s="10"/>
      <c r="K3" s="10"/>
      <c r="L3" s="10"/>
      <c r="M3" s="10"/>
      <c r="N3" s="10"/>
      <c r="O3" s="10"/>
    </row>
    <row r="4" spans="1:15" ht="15.5" thickBot="1" x14ac:dyDescent="0.9">
      <c r="B4" s="13" t="s">
        <v>34</v>
      </c>
      <c r="C4" s="7" t="s">
        <v>389</v>
      </c>
      <c r="E4" s="28" t="str">
        <f>CONCATENATE("Mapping: ",C4)</f>
        <v>Mapping: eHNLabLegalAuthenticator2Fhir</v>
      </c>
      <c r="G4" t="s">
        <v>20</v>
      </c>
      <c r="H4" s="10"/>
      <c r="I4" s="10"/>
      <c r="J4" s="10"/>
      <c r="K4" s="10"/>
      <c r="L4" s="10"/>
      <c r="M4" s="10"/>
      <c r="N4" s="10"/>
      <c r="O4" s="10"/>
    </row>
    <row r="5" spans="1:15" ht="15.5" thickBot="1" x14ac:dyDescent="0.9">
      <c r="B5" s="13" t="s">
        <v>19</v>
      </c>
      <c r="C5" s="5" t="s">
        <v>16</v>
      </c>
      <c r="E5" s="29" t="str">
        <f>CONCATENATE("Id: ",C5)</f>
        <v>Id: fhir</v>
      </c>
      <c r="G5" s="1" t="s">
        <v>21</v>
      </c>
      <c r="H5" s="10"/>
      <c r="I5" s="10"/>
      <c r="J5" s="10"/>
      <c r="K5" s="10"/>
      <c r="L5" s="10"/>
      <c r="M5" s="10"/>
      <c r="N5" s="10"/>
      <c r="O5" s="10"/>
    </row>
    <row r="6" spans="1:15" ht="15.5" thickBot="1" x14ac:dyDescent="0.9">
      <c r="B6" s="13" t="s">
        <v>13</v>
      </c>
      <c r="C6" s="22" t="s">
        <v>390</v>
      </c>
      <c r="E6" s="29" t="str">
        <f>CONCATENATE("Title: ##34#",C6,"##34#")</f>
        <v>Title: ##34#eHN Lab LegalAuthenticator model to FHIR R4 Map##34#</v>
      </c>
      <c r="G6" s="1" t="s">
        <v>22</v>
      </c>
      <c r="H6" s="10"/>
      <c r="I6" s="10"/>
      <c r="J6" s="10"/>
      <c r="K6" s="10"/>
      <c r="L6" s="10"/>
      <c r="M6" s="10"/>
      <c r="N6" s="10"/>
      <c r="O6" s="10"/>
    </row>
    <row r="7" spans="1:15" ht="15.5" thickBot="1" x14ac:dyDescent="0.9">
      <c r="B7" s="13" t="s">
        <v>35</v>
      </c>
      <c r="C7" s="11" t="str">
        <f>B9</f>
        <v>LegalAuthenticator</v>
      </c>
      <c r="E7" s="29" t="str">
        <f>CONCATENATE("Source: ",C7)</f>
        <v>Source: LegalAuthenticator</v>
      </c>
      <c r="G7" s="1" t="s">
        <v>23</v>
      </c>
      <c r="H7" s="10"/>
      <c r="I7" s="10"/>
      <c r="J7" s="10"/>
      <c r="K7" s="10"/>
      <c r="L7" s="10"/>
      <c r="M7" s="10"/>
      <c r="N7" s="10"/>
      <c r="O7" s="10"/>
    </row>
    <row r="8" spans="1:15" ht="15.5" thickBot="1" x14ac:dyDescent="0.9">
      <c r="B8" s="27" t="s">
        <v>18</v>
      </c>
      <c r="C8" t="s">
        <v>15</v>
      </c>
      <c r="E8" s="30" t="str">
        <f>CONCATENATE("Target: ##34#",C8,"##34#")</f>
        <v>Target: ##34#hl7.org/fhir/r4##34#</v>
      </c>
      <c r="G8" s="1" t="s">
        <v>24</v>
      </c>
      <c r="H8" s="10"/>
      <c r="I8" s="10"/>
      <c r="J8" s="10"/>
      <c r="K8" s="10"/>
      <c r="L8" s="10"/>
      <c r="M8" s="10"/>
      <c r="N8" s="10"/>
      <c r="O8" s="10"/>
    </row>
    <row r="9" spans="1:15" ht="29.5" x14ac:dyDescent="0.75">
      <c r="A9" s="9"/>
      <c r="B9" s="9" t="str">
        <f>'A1.6 LegalAuth'!B5</f>
        <v>LegalAuthenticator</v>
      </c>
      <c r="C9" s="8" t="s">
        <v>408</v>
      </c>
      <c r="E9" s="4" t="str">
        <f>CONCATENATE("* -&gt; ##34#",C9,"##34#")</f>
        <v>* -&gt; ##34#Composition.attester.where(mode=http://hl7.org/fhir/composition-attestation-mode#legal)##34#</v>
      </c>
      <c r="H9" s="10"/>
      <c r="I9" s="10"/>
      <c r="J9" s="10"/>
      <c r="K9" s="10"/>
      <c r="L9" s="10"/>
      <c r="M9" s="10"/>
      <c r="N9" s="10"/>
      <c r="O9" s="10"/>
    </row>
    <row r="10" spans="1:15" x14ac:dyDescent="0.75">
      <c r="A10" s="9"/>
      <c r="B10" s="62" t="str">
        <f>'A1.6 LegalAuth'!$B$8</f>
        <v>identifier</v>
      </c>
      <c r="C10" s="9" t="s">
        <v>586</v>
      </c>
      <c r="E10" s="14" t="str">
        <f>IF(B10=0,"*  -&gt; ##34###34#",CONCATENATE("* ",B10," -&gt; ##34#",C10,"##34#"))</f>
        <v>* identifier -&gt; ##34#.party.resolve().ofType(PractictionerRole).identifier##34#</v>
      </c>
      <c r="G10" s="1" t="s">
        <v>25</v>
      </c>
      <c r="H10" s="10"/>
      <c r="I10" s="10"/>
      <c r="J10" s="10"/>
      <c r="K10" s="10"/>
      <c r="L10" s="10"/>
      <c r="M10" s="10"/>
      <c r="N10" s="10"/>
      <c r="O10" s="10"/>
    </row>
    <row r="11" spans="1:15" ht="44.25" x14ac:dyDescent="0.75">
      <c r="A11" s="9"/>
      <c r="B11" s="62" t="str">
        <f>'A1.6 LegalAuth'!$B$8</f>
        <v>identifier</v>
      </c>
      <c r="C11" s="9" t="s">
        <v>587</v>
      </c>
      <c r="E11" s="14" t="str">
        <f t="shared" ref="E11:E19" si="0">IF(B11=0,"*  -&gt; ##34###34#",CONCATENATE("* ",B11," -&gt; ##34#",C11,"##34#"))</f>
        <v>* identifier -&gt; ##34#.party.resolve().ofType(PractictionerRole).practictioner.resolve().identifier##34#</v>
      </c>
      <c r="G11" s="1"/>
      <c r="H11" s="10"/>
      <c r="I11" s="10"/>
      <c r="J11" s="10"/>
      <c r="K11" s="10"/>
      <c r="L11" s="10"/>
      <c r="M11" s="10"/>
      <c r="N11" s="10"/>
      <c r="O11" s="10"/>
    </row>
    <row r="12" spans="1:15" ht="29.5" x14ac:dyDescent="0.75">
      <c r="A12" s="9"/>
      <c r="B12" s="9" t="str">
        <f>'A1.6 LegalAuth'!B9</f>
        <v>name</v>
      </c>
      <c r="C12" s="9" t="s">
        <v>588</v>
      </c>
      <c r="E12" s="14" t="str">
        <f t="shared" si="0"/>
        <v>* name -&gt; ##34#.party.resolve().ofType(PractictionerRole).practictioner.resolve().name##34#</v>
      </c>
      <c r="G12" s="1" t="s">
        <v>26</v>
      </c>
      <c r="H12" s="10"/>
      <c r="I12" s="10"/>
      <c r="J12" s="10"/>
      <c r="K12" s="10"/>
      <c r="L12" s="10"/>
      <c r="M12" s="10"/>
      <c r="N12" s="10"/>
      <c r="O12" s="10"/>
    </row>
    <row r="13" spans="1:15" ht="44.25" x14ac:dyDescent="0.75">
      <c r="A13" s="9"/>
      <c r="B13" s="62" t="str">
        <f>'A1.6 LegalAuth'!$B$10</f>
        <v>organization</v>
      </c>
      <c r="C13" s="9" t="s">
        <v>589</v>
      </c>
      <c r="E13" s="14" t="str">
        <f t="shared" si="0"/>
        <v>* organization -&gt; ##34#.party.resolve().ofType(PractictionerRole).organization.resolve()##34#</v>
      </c>
      <c r="G13" s="1" t="s">
        <v>27</v>
      </c>
      <c r="H13" s="10"/>
      <c r="I13" s="10"/>
      <c r="J13" s="10"/>
      <c r="K13" s="10"/>
      <c r="L13" s="10"/>
      <c r="M13" s="10"/>
      <c r="N13" s="10"/>
      <c r="O13" s="10"/>
    </row>
    <row r="14" spans="1:15" x14ac:dyDescent="0.75">
      <c r="A14" s="9"/>
      <c r="B14" s="62" t="str">
        <f>'A1.6 LegalAuth'!$B$10</f>
        <v>organization</v>
      </c>
      <c r="C14" s="9" t="s">
        <v>590</v>
      </c>
      <c r="E14" s="14" t="str">
        <f t="shared" si="0"/>
        <v>* organization -&gt; ##34#.party.resolve().ofType(Organization)##34#</v>
      </c>
      <c r="G14" s="1"/>
      <c r="H14" s="10"/>
      <c r="I14" s="10"/>
      <c r="J14" s="10"/>
      <c r="K14" s="10"/>
      <c r="L14" s="10"/>
      <c r="M14" s="10"/>
      <c r="N14" s="10"/>
      <c r="O14" s="10"/>
    </row>
    <row r="15" spans="1:15" x14ac:dyDescent="0.75">
      <c r="A15" s="9"/>
      <c r="B15" s="9" t="str">
        <f>'A1.6 LegalAuth'!B11</f>
        <v>dateTime</v>
      </c>
      <c r="C15" s="9" t="s">
        <v>591</v>
      </c>
      <c r="E15" s="14" t="str">
        <f t="shared" si="0"/>
        <v>* dateTime -&gt; ##34#.time##34#</v>
      </c>
      <c r="G15" s="1" t="s">
        <v>28</v>
      </c>
      <c r="H15" s="10"/>
      <c r="I15" s="10"/>
      <c r="J15" s="10"/>
      <c r="K15" s="10"/>
      <c r="L15" s="10"/>
      <c r="M15" s="10"/>
      <c r="N15" s="10"/>
      <c r="O15" s="10"/>
    </row>
    <row r="16" spans="1:15" x14ac:dyDescent="0.75">
      <c r="A16" s="9"/>
      <c r="B16" s="9">
        <f>'A1.6 LegalAuth'!B12</f>
        <v>0</v>
      </c>
      <c r="C16" s="9"/>
      <c r="E16" s="14" t="str">
        <f t="shared" si="0"/>
        <v>*  -&gt; ##34###34#</v>
      </c>
      <c r="G16" s="1" t="s">
        <v>29</v>
      </c>
      <c r="H16" s="10"/>
      <c r="I16" s="10"/>
      <c r="J16" s="10"/>
      <c r="K16" s="10"/>
      <c r="L16" s="10"/>
      <c r="M16" s="10"/>
      <c r="N16" s="10"/>
      <c r="O16" s="10"/>
    </row>
    <row r="17" spans="1:15" ht="29.5" x14ac:dyDescent="0.75">
      <c r="A17" s="9"/>
      <c r="B17" s="9">
        <f>'A1.6 LegalAuth'!B13</f>
        <v>0</v>
      </c>
      <c r="C17" s="9"/>
      <c r="E17" s="14" t="str">
        <f t="shared" si="0"/>
        <v>*  -&gt; ##34###34#</v>
      </c>
      <c r="G17" s="1" t="s">
        <v>30</v>
      </c>
      <c r="H17" s="10"/>
      <c r="I17" s="10"/>
      <c r="J17" s="10"/>
      <c r="K17" s="10"/>
      <c r="L17" s="10"/>
      <c r="M17" s="10"/>
      <c r="N17" s="10"/>
      <c r="O17" s="10"/>
    </row>
    <row r="18" spans="1:15" ht="29.5" x14ac:dyDescent="0.75">
      <c r="A18" s="9"/>
      <c r="B18" s="9"/>
      <c r="C18" s="9"/>
      <c r="E18" s="14" t="str">
        <f t="shared" si="0"/>
        <v>*  -&gt; ##34###34#</v>
      </c>
      <c r="G18" s="1" t="s">
        <v>31</v>
      </c>
      <c r="H18" s="10"/>
      <c r="I18" s="10"/>
      <c r="J18" s="10"/>
      <c r="K18" s="10"/>
      <c r="L18" s="10"/>
      <c r="M18" s="10"/>
      <c r="N18" s="10"/>
      <c r="O18" s="10"/>
    </row>
    <row r="19" spans="1:15" ht="29.5" x14ac:dyDescent="0.75">
      <c r="A19" s="9"/>
      <c r="B19" s="9"/>
      <c r="C19" s="9"/>
      <c r="E19" s="14" t="str">
        <f t="shared" si="0"/>
        <v>*  -&gt; ##34###34#</v>
      </c>
      <c r="G19" s="1" t="s">
        <v>32</v>
      </c>
    </row>
    <row r="20" spans="1:15" x14ac:dyDescent="0.75">
      <c r="A20" s="9"/>
      <c r="B20" s="9"/>
      <c r="C20" s="9"/>
      <c r="E20" s="14" t="str">
        <f>IF(B20=0,"*  -&gt; ##34###34#",CONCATENATE("* ",B20," -&gt; ##34#",C20,"##34#"))</f>
        <v>*  -&gt; ##34###34#</v>
      </c>
      <c r="G20" s="1" t="s">
        <v>33</v>
      </c>
    </row>
    <row r="21" spans="1:15" x14ac:dyDescent="0.75">
      <c r="A21" s="9"/>
      <c r="B21" s="9"/>
      <c r="C21" s="9"/>
      <c r="E21" s="14"/>
    </row>
    <row r="22" spans="1:15" x14ac:dyDescent="0.75">
      <c r="A22" s="9"/>
      <c r="B22" s="9"/>
      <c r="C22" s="14"/>
      <c r="E22" s="14"/>
    </row>
    <row r="23" spans="1:15" x14ac:dyDescent="0.75">
      <c r="B23" s="9"/>
      <c r="E23" s="14"/>
    </row>
    <row r="24" spans="1:15" x14ac:dyDescent="0.75">
      <c r="B24" s="9"/>
      <c r="E24" s="14"/>
    </row>
    <row r="25" spans="1:15" x14ac:dyDescent="0.75">
      <c r="E25" s="14"/>
    </row>
    <row r="26" spans="1:15" x14ac:dyDescent="0.75">
      <c r="E26" s="22"/>
    </row>
    <row r="30" spans="1:15" x14ac:dyDescent="0.75">
      <c r="C30" s="9" t="s">
        <v>582</v>
      </c>
    </row>
    <row r="31" spans="1:15" x14ac:dyDescent="0.75">
      <c r="C31" s="9" t="s">
        <v>583</v>
      </c>
      <c r="E31" s="22"/>
    </row>
    <row r="32" spans="1:15" x14ac:dyDescent="0.75">
      <c r="C32" s="9" t="s">
        <v>584</v>
      </c>
    </row>
    <row r="33" spans="3:3" x14ac:dyDescent="0.75">
      <c r="C33" s="9" t="s">
        <v>585</v>
      </c>
    </row>
  </sheetData>
  <pageMargins left="0.7" right="0.7" top="0.75" bottom="0.75" header="0.3" footer="0.3"/>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E74F95-873A-46C7-A935-0F335E46C676}">
  <sheetPr codeName="Foglio11">
    <tabColor theme="8" tint="-0.249977111117893"/>
  </sheetPr>
  <dimension ref="C1:G48"/>
  <sheetViews>
    <sheetView workbookViewId="0"/>
  </sheetViews>
  <sheetFormatPr defaultRowHeight="14.75" x14ac:dyDescent="0.75"/>
  <cols>
    <col min="3" max="3" width="108.2265625" style="14" customWidth="1"/>
    <col min="4" max="4" width="5.26953125" customWidth="1"/>
    <col min="5" max="5" width="4.81640625" customWidth="1"/>
    <col min="7" max="7" width="37.08984375" customWidth="1"/>
  </cols>
  <sheetData>
    <row r="1" spans="3:7" ht="15.5" thickBot="1" x14ac:dyDescent="0.9">
      <c r="C1" s="32" t="str">
        <f>'A1.6 LegalAuth'!I1</f>
        <v>// -------------------------------------------------------------------------------</v>
      </c>
    </row>
    <row r="2" spans="3:7" ht="16.75" thickBot="1" x14ac:dyDescent="0.9">
      <c r="C2" s="33" t="str">
        <f>'A1.6 LegalAuth'!I2</f>
        <v>//  Logical Model</v>
      </c>
      <c r="G2" s="56" t="s">
        <v>391</v>
      </c>
    </row>
    <row r="3" spans="3:7" x14ac:dyDescent="0.75">
      <c r="C3" s="33" t="str">
        <f>'A1.6 LegalAuth'!I3</f>
        <v>// -------------------------------------------------------------------------------</v>
      </c>
    </row>
    <row r="4" spans="3:7" x14ac:dyDescent="0.75">
      <c r="C4" s="25" t="str">
        <f>'A1.6 LegalAuth'!I4</f>
        <v>Logical: LegalAuthenticatorLabEhn</v>
      </c>
    </row>
    <row r="5" spans="3:7" x14ac:dyDescent="0.75">
      <c r="C5" s="25" t="str">
        <f>'A1.6 LegalAuth'!I5</f>
        <v>Id: LegalAuthenticator</v>
      </c>
    </row>
    <row r="6" spans="3:7" x14ac:dyDescent="0.75">
      <c r="C6" s="25" t="str">
        <f>'A1.6 LegalAuth'!I6</f>
        <v>Title: ##34#Legal authenticator (A.1.6)##34#</v>
      </c>
    </row>
    <row r="7" spans="3:7" ht="29.5" x14ac:dyDescent="0.75">
      <c r="C7" s="25" t="str">
        <f>'A1.6 LegalAuth'!I7</f>
        <v>Description:  ##334#A.1.6 Legal authenticator (The person taking responsibility for the medical content of the document)##334#</v>
      </c>
    </row>
    <row r="8" spans="3:7" ht="44.25" x14ac:dyDescent="0.75">
      <c r="C8" s="14" t="str">
        <f>IF('A1.6 LegalAuth'!I8="*  ..  ##34###34# ##334###334#","//--- END",'A1.6 LegalAuth'!I8)</f>
        <v>* identifier 0..1 Identifier ##34#A.1.6.1 Legal authenticator identifier##34# ##334#The health professional identification number. Either an internal identifier assigned by a healthcare provider institution or (preferably) a national health professional ID such as the license or registration number.  - Preferred system(s): ##334#</v>
      </c>
    </row>
    <row r="9" spans="3:7" x14ac:dyDescent="0.75">
      <c r="C9" s="14" t="str">
        <f>IF('A1.6 LegalAuth'!I9="*  ..  ##34###34# ##334###334#","//--- END",'A1.6 LegalAuth'!I9)</f>
        <v>* name 0..* HumanName ##34#A.1.6.2 Legal authenticator name##34# ##334#Person name. - Preferred system(s): ##334#</v>
      </c>
    </row>
    <row r="10" spans="3:7" ht="29.5" x14ac:dyDescent="0.75">
      <c r="C10" s="14" t="str">
        <f>IF('A1.6 LegalAuth'!I10="*  ..  ##34###34# ##334###334#","//--- END",'A1.6 LegalAuth'!I10)</f>
        <v>* organization 0..* Organization ##34#A.1.6.3 Legal authenticator organization##34# ##334#The healthcare provider organization information. - Preferred system(s): ##334#</v>
      </c>
      <c r="E10" t="s">
        <v>307</v>
      </c>
    </row>
    <row r="11" spans="3:7" ht="29.5" x14ac:dyDescent="0.75">
      <c r="C11" s="14" t="str">
        <f>IF('A1.6 LegalAuth'!I11="*  ..  ##34###34# ##334###334#","//--- END",'A1.6 LegalAuth'!I11)</f>
        <v>* dateTime 0..1 dateTime ##34#A.1.6.4 Authentication date and time##34# ##334#Date and time when the document was authorized. - Preferred system(s): ISO 8601##334#</v>
      </c>
    </row>
    <row r="12" spans="3:7" x14ac:dyDescent="0.75">
      <c r="C12" s="14" t="str">
        <f>IF('A1.6 LegalAuth'!I12="*  ..  ##34###34# ##334###334#","//--- END",'A1.6 LegalAuth'!I12)</f>
        <v>//--- END</v>
      </c>
    </row>
    <row r="13" spans="3:7" x14ac:dyDescent="0.75">
      <c r="C13" s="14" t="str">
        <f>IF('A1.6 LegalAuth'!I13="*  ..  ##34###34# ##334###334#","//--- END",'A1.6 LegalAuth'!I13)</f>
        <v>//--- END</v>
      </c>
    </row>
    <row r="14" spans="3:7" x14ac:dyDescent="0.75">
      <c r="C14" s="14" t="str">
        <f>IF('A1.6 LegalAuth'!I14="*  ..  ##34###34# ##334###334#","//--- END",'A1.6 LegalAuth'!I14)</f>
        <v>//--- END</v>
      </c>
    </row>
    <row r="30" spans="3:3" x14ac:dyDescent="0.75">
      <c r="C30" s="32" t="str">
        <f>'LegalAuth-Map-1'!E1</f>
        <v>// -------------------------------------------------------------------------------</v>
      </c>
    </row>
    <row r="31" spans="3:3" x14ac:dyDescent="0.75">
      <c r="C31" s="33" t="str">
        <f>'LegalAuth-Map-1'!E2</f>
        <v>//  Map to FHIR R4</v>
      </c>
    </row>
    <row r="32" spans="3:3" x14ac:dyDescent="0.75">
      <c r="C32" s="33" t="str">
        <f>'LegalAuth-Map-1'!E3</f>
        <v>// -------------------------------------------------------------------------------</v>
      </c>
    </row>
    <row r="33" spans="3:7" x14ac:dyDescent="0.75">
      <c r="C33" s="14" t="str">
        <f>'LegalAuth-Map-1'!E4</f>
        <v>Mapping: eHNLabLegalAuthenticator2Fhir</v>
      </c>
    </row>
    <row r="34" spans="3:7" x14ac:dyDescent="0.75">
      <c r="C34" s="14" t="str">
        <f>'LegalAuth-Map-1'!E5</f>
        <v>Id: fhir</v>
      </c>
    </row>
    <row r="35" spans="3:7" x14ac:dyDescent="0.75">
      <c r="C35" s="14" t="str">
        <f>'LegalAuth-Map-1'!E6</f>
        <v>Title: ##34#eHN Lab LegalAuthenticator model to FHIR R4 Map##34#</v>
      </c>
    </row>
    <row r="36" spans="3:7" x14ac:dyDescent="0.75">
      <c r="C36" s="14" t="str">
        <f>'LegalAuth-Map-1'!E7</f>
        <v>Source: LegalAuthenticator</v>
      </c>
    </row>
    <row r="37" spans="3:7" x14ac:dyDescent="0.75">
      <c r="C37" s="14" t="str">
        <f>'LegalAuth-Map-1'!E8</f>
        <v>Target: ##34#hl7.org/fhir/r4##34#</v>
      </c>
    </row>
    <row r="39" spans="3:7" x14ac:dyDescent="0.75">
      <c r="C39" s="14" t="str">
        <f>'LegalAuth-Map-1'!E9</f>
        <v>* -&gt; ##34#Composition.attester.where(mode=http://hl7.org/fhir/composition-attestation-mode#legal)##34#</v>
      </c>
    </row>
    <row r="40" spans="3:7" x14ac:dyDescent="0.75">
      <c r="C40" s="14" t="str">
        <f>IF('LegalAuth-Map-1'!E10="*  -&gt; ##34###34#","// --END",'LegalAuth-Map-1'!E10)</f>
        <v>* identifier -&gt; ##34#.party.resolve().ofType(PractictionerRole).identifier##34#</v>
      </c>
    </row>
    <row r="41" spans="3:7" x14ac:dyDescent="0.75">
      <c r="C41" s="14" t="str">
        <f>IF('LegalAuth-Map-1'!E12="*  -&gt; ##34###34#","// --END",'LegalAuth-Map-1'!E12)</f>
        <v>* name -&gt; ##34#.party.resolve().ofType(PractictionerRole).practictioner.resolve().name##34#</v>
      </c>
    </row>
    <row r="42" spans="3:7" x14ac:dyDescent="0.75">
      <c r="C42" s="14" t="str">
        <f>IF('LegalAuth-Map-1'!E13="*  -&gt; ##34###34#","// --END",'LegalAuth-Map-1'!E13)</f>
        <v>* organization -&gt; ##34#.party.resolve().ofType(PractictionerRole).organization.resolve()##34#</v>
      </c>
    </row>
    <row r="43" spans="3:7" x14ac:dyDescent="0.75">
      <c r="C43" s="14" t="str">
        <f>IF('LegalAuth-Map-1'!E14="*  -&gt; ##34###34#","// --END",'LegalAuth-Map-1'!E14)</f>
        <v>* organization -&gt; ##34#.party.resolve().ofType(Organization)##34#</v>
      </c>
    </row>
    <row r="44" spans="3:7" x14ac:dyDescent="0.75">
      <c r="C44" s="14" t="str">
        <f>IF('LegalAuth-Map-1'!E15="*  -&gt; ##34###34#","// --END",'LegalAuth-Map-1'!E15)</f>
        <v>* dateTime -&gt; ##34#.time##34#</v>
      </c>
    </row>
    <row r="45" spans="3:7" x14ac:dyDescent="0.75">
      <c r="C45" s="14" t="str">
        <f>IF('LegalAuth-Map-1'!E16="*  -&gt; ##34###34#","// --END",'LegalAuth-Map-1'!E16)</f>
        <v>// --END</v>
      </c>
    </row>
    <row r="46" spans="3:7" x14ac:dyDescent="0.75">
      <c r="C46" s="14" t="str">
        <f>IF('LegalAuth-Map-1'!E17="*  -&gt; ##34###34#","// --END",'LegalAuth-Map-1'!E17)</f>
        <v>// --END</v>
      </c>
    </row>
    <row r="47" spans="3:7" x14ac:dyDescent="0.75">
      <c r="C47" s="14" t="str">
        <f>IF('LegalAuth-Map-1'!E18="*  -&gt; ##34###34#","// --END",'LegalAuth-Map-1'!E18)</f>
        <v>// --END</v>
      </c>
    </row>
    <row r="48" spans="3:7" x14ac:dyDescent="0.75">
      <c r="G48" s="10"/>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6561" r:id="rId3" name="Button 1">
              <controlPr defaultSize="0" print="0" autoFill="0" autoPict="0" macro="[0]!export">
                <anchor moveWithCells="1">
                  <from>
                    <xdr:col>4</xdr:col>
                    <xdr:colOff>222250</xdr:colOff>
                    <xdr:row>0</xdr:row>
                    <xdr:rowOff>171450</xdr:rowOff>
                  </from>
                  <to>
                    <xdr:col>5</xdr:col>
                    <xdr:colOff>558800</xdr:colOff>
                    <xdr:row>2</xdr:row>
                    <xdr:rowOff>44450</xdr:rowOff>
                  </to>
                </anchor>
              </controlPr>
            </control>
          </mc:Choice>
        </mc:AlternateContent>
      </controls>
    </mc:Choice>
  </mc:AlternateContent>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3D7B32-D23B-482C-AEB7-20461DD655DD}">
  <sheetPr codeName="Foglio51">
    <tabColor theme="0" tint="-0.499984740745262"/>
  </sheetPr>
  <dimension ref="A2:T46"/>
  <sheetViews>
    <sheetView workbookViewId="0">
      <selection activeCell="D15" sqref="D15:D19"/>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73" t="s">
        <v>34</v>
      </c>
      <c r="C3" s="54" t="s">
        <v>786</v>
      </c>
      <c r="D3" s="73" t="s">
        <v>688</v>
      </c>
      <c r="E3" s="112" t="str">
        <f>"http://hl7.eu/fhir/laboratory/StructureDefinition/"&amp;'A1.6 LegalAuth'!B5</f>
        <v>http://hl7.eu/fhir/laboratory/StructureDefinition/LegalAuthenticator</v>
      </c>
      <c r="F3" s="111"/>
      <c r="G3" s="111"/>
    </row>
    <row r="4" spans="1:19" x14ac:dyDescent="0.75">
      <c r="B4" s="73" t="s">
        <v>19</v>
      </c>
      <c r="C4" s="54" t="s">
        <v>767</v>
      </c>
      <c r="D4" s="73" t="s">
        <v>689</v>
      </c>
      <c r="E4" s="112" t="s">
        <v>693</v>
      </c>
      <c r="F4" s="111"/>
      <c r="G4" s="111"/>
    </row>
    <row r="5" spans="1:19" x14ac:dyDescent="0.75">
      <c r="B5" s="73" t="s">
        <v>13</v>
      </c>
      <c r="C5" s="10" t="s">
        <v>738</v>
      </c>
      <c r="D5" s="73"/>
      <c r="E5" s="10"/>
    </row>
    <row r="6" spans="1:19" x14ac:dyDescent="0.75">
      <c r="B6" s="73" t="s">
        <v>35</v>
      </c>
      <c r="C6" s="72"/>
      <c r="D6" s="73" t="s">
        <v>685</v>
      </c>
      <c r="E6" s="112" t="str">
        <f>E3</f>
        <v>http://hl7.eu/fhir/laboratory/StructureDefinition/LegalAuthenticator</v>
      </c>
      <c r="F6" s="111"/>
      <c r="G6" s="111"/>
    </row>
    <row r="7" spans="1:19" x14ac:dyDescent="0.75">
      <c r="B7" s="73" t="s">
        <v>18</v>
      </c>
      <c r="C7" s="80"/>
      <c r="D7" s="73" t="s">
        <v>686</v>
      </c>
      <c r="E7" s="112" t="str">
        <f>E4</f>
        <v>http://hl7.eu/fhir/laboratory/StructureDefinition/Composition-eu-lab</v>
      </c>
      <c r="F7" s="111"/>
      <c r="G7" s="111"/>
    </row>
    <row r="8" spans="1:19" ht="44.25" x14ac:dyDescent="0.75">
      <c r="B8" s="73" t="s">
        <v>679</v>
      </c>
      <c r="C8" s="10" t="s">
        <v>772</v>
      </c>
      <c r="D8" s="73"/>
      <c r="E8"/>
      <c r="I8" s="14" t="s">
        <v>647</v>
      </c>
      <c r="J8" s="14" t="s">
        <v>648</v>
      </c>
      <c r="K8" s="14" t="s">
        <v>649</v>
      </c>
      <c r="L8" s="14" t="s">
        <v>650</v>
      </c>
      <c r="M8" s="9" t="s">
        <v>651</v>
      </c>
      <c r="P8" s="69" t="s">
        <v>652</v>
      </c>
      <c r="Q8" s="69">
        <v>6</v>
      </c>
    </row>
    <row r="9" spans="1:19" ht="29.5" x14ac:dyDescent="0.75">
      <c r="B9" s="73" t="s">
        <v>680</v>
      </c>
      <c r="C9" s="1" t="s">
        <v>773</v>
      </c>
      <c r="D9" s="73"/>
      <c r="E9"/>
      <c r="I9" s="14"/>
      <c r="J9" s="9"/>
      <c r="K9" s="9"/>
      <c r="L9" s="9"/>
      <c r="M9" s="9"/>
    </row>
    <row r="10" spans="1:19" x14ac:dyDescent="0.75">
      <c r="B10" s="73"/>
      <c r="D10" s="73"/>
      <c r="E10"/>
      <c r="I10" s="14"/>
      <c r="J10" s="9"/>
      <c r="K10" s="9"/>
      <c r="L10" s="9"/>
      <c r="M10" s="9"/>
    </row>
    <row r="11" spans="1:19" x14ac:dyDescent="0.75">
      <c r="E11" s="10"/>
      <c r="I11" s="25" t="s">
        <v>653</v>
      </c>
      <c r="J11" s="70" t="s">
        <v>654</v>
      </c>
      <c r="K11" s="25" t="s">
        <v>655</v>
      </c>
      <c r="L11" s="70" t="s">
        <v>656</v>
      </c>
      <c r="M11" s="71" t="s">
        <v>657</v>
      </c>
      <c r="N11" s="74" t="s">
        <v>644</v>
      </c>
    </row>
    <row r="12" spans="1:19" x14ac:dyDescent="0.75">
      <c r="E12" s="72"/>
      <c r="I12" s="14"/>
      <c r="J12" s="9"/>
      <c r="K12" s="9"/>
      <c r="L12" s="9"/>
      <c r="M12" s="9"/>
    </row>
    <row r="13" spans="1:19" x14ac:dyDescent="0.75">
      <c r="D13" s="14"/>
      <c r="E13" s="9"/>
      <c r="F13" s="71" t="s">
        <v>657</v>
      </c>
      <c r="G13" s="74" t="s">
        <v>644</v>
      </c>
      <c r="H13" s="74"/>
      <c r="I13" s="14"/>
      <c r="J13" s="9"/>
      <c r="K13" s="71"/>
      <c r="L13" s="71"/>
      <c r="M13" s="71"/>
      <c r="N13" s="74"/>
    </row>
    <row r="14" spans="1:19" x14ac:dyDescent="0.75">
      <c r="A14" s="23"/>
      <c r="B14" s="8" t="str">
        <f>'A1.6 LegalAuth'!B5</f>
        <v>LegalAuthenticator</v>
      </c>
      <c r="C14" s="9"/>
      <c r="D14" t="s">
        <v>805</v>
      </c>
      <c r="E14" s="8"/>
      <c r="F14" s="9"/>
      <c r="G14" s="9"/>
      <c r="I14" s="14"/>
      <c r="J14" s="9"/>
      <c r="K14" s="9"/>
      <c r="L14" s="9"/>
      <c r="M14" s="71"/>
      <c r="N14" s="74"/>
    </row>
    <row r="15" spans="1:19" ht="73.75" x14ac:dyDescent="0.75">
      <c r="A15" s="23"/>
      <c r="B15" s="9" t="str">
        <f>'A1.6 LegalAuth'!B8</f>
        <v>identifier</v>
      </c>
      <c r="C15" s="9" t="str">
        <f>'A1.6 LegalAuth'!C8</f>
        <v>A.1.6.1 Legal authenticator identifier</v>
      </c>
      <c r="D15" s="14" t="s">
        <v>808</v>
      </c>
      <c r="E15" s="9"/>
      <c r="F15" s="75" t="s">
        <v>658</v>
      </c>
      <c r="G15" s="75"/>
      <c r="H15" s="76"/>
      <c r="I15" s="14" t="str">
        <f>"* group[=].element[+].code = #"&amp;$B$14&amp;"."&amp;B15</f>
        <v>* group[=].element[+].code = #LegalAuthenticator.identifier</v>
      </c>
      <c r="J15" s="14" t="str">
        <f t="shared" ref="J15" si="0">"* group[=].element[=].display = ##34#"&amp;C15&amp;"##34#"</f>
        <v>* group[=].element[=].display = ##34#A.1.6.1 Legal authenticator identifier##34#</v>
      </c>
      <c r="K15" s="14" t="str">
        <f t="shared" ref="K15" si="1">IF(F15="unmatched","//-- unmatched","* group[=].element[=].target.code = #"&amp;$D$14&amp;"."&amp;D15)</f>
        <v>* group[=].element[=].target.code = #Composition.attester.where(mode='legal').party.resolve().identifier</v>
      </c>
      <c r="L15" s="14" t="str">
        <f t="shared" ref="L15" si="2">IF(F15="unmatched","//-- unmatched","* group[=].element[=].target.display = ##34#"&amp;E15&amp;"##34#")</f>
        <v>* group[=].element[=].target.display = ##34###34#</v>
      </c>
      <c r="M15" s="14" t="str">
        <f t="shared" ref="M15" si="3">"* group[=].element[=].target.equivalence = #"&amp;F15</f>
        <v>* group[=].element[=].target.equivalence = #equivalent</v>
      </c>
      <c r="N15" s="4" t="str">
        <f t="shared" ref="N15" si="4">IF(G15&lt;&gt;"",CONCATENATE("* group[=].element[=].target.comment = ","##34#",G15,"##34#"),"")</f>
        <v/>
      </c>
      <c r="P15" s="9">
        <v>1</v>
      </c>
      <c r="Q15" s="9">
        <f>IF(MOD(P15,$Q$8)=0,P15/$Q$8-1,INT(P15/$Q$8))</f>
        <v>0</v>
      </c>
      <c r="R15" s="9">
        <f>IF(MOD(P15,$Q$8)=0,$Q$8,MOD(P15,$Q$8))</f>
        <v>1</v>
      </c>
      <c r="S15" s="14" t="str" cm="1">
        <f t="array" ref="S15">INDEX('LegalAuth-ConceptMap-1'!$I$15:$N$126,Q15+1,R15)</f>
        <v>* group[=].element[+].code = #LegalAuthenticator.identifier</v>
      </c>
    </row>
    <row r="16" spans="1:19" ht="88.5" x14ac:dyDescent="0.75">
      <c r="A16" s="23"/>
      <c r="B16" s="9" t="str">
        <f>'A1.6 LegalAuth'!B9</f>
        <v>name</v>
      </c>
      <c r="C16" s="9" t="str">
        <f>'A1.6 LegalAuth'!C9</f>
        <v>A.1.6.2 Legal authenticator name</v>
      </c>
      <c r="D16" s="14" t="s">
        <v>809</v>
      </c>
      <c r="E16" s="9"/>
      <c r="F16" s="75" t="s">
        <v>658</v>
      </c>
      <c r="G16" s="75"/>
      <c r="H16" s="76"/>
      <c r="I16" s="14" t="str">
        <f t="shared" ref="I16:I19" si="5">"* group[=].element[+].code = #"&amp;$B$14&amp;"."&amp;B16</f>
        <v>* group[=].element[+].code = #LegalAuthenticator.name</v>
      </c>
      <c r="J16" s="14" t="str">
        <f t="shared" ref="J16:J19" si="6">"* group[=].element[=].display = ##34#"&amp;C16&amp;"##34#"</f>
        <v>* group[=].element[=].display = ##34#A.1.6.2 Legal authenticator name##34#</v>
      </c>
      <c r="K16" s="14" t="str">
        <f t="shared" ref="K16:K19" si="7">IF(F16="unmatched","//-- unmatched","* group[=].element[=].target.code = #"&amp;$D$14&amp;"."&amp;D16)</f>
        <v>* group[=].element[=].target.code = #Composition.attester.where(mode='legal').party.resolve().ofType(Practictioner).name</v>
      </c>
      <c r="L16" s="14" t="str">
        <f t="shared" ref="L16:L19" si="8">IF(F16="unmatched","//-- unmatched","* group[=].element[=].target.display = ##34#"&amp;E16&amp;"##34#")</f>
        <v>* group[=].element[=].target.display = ##34###34#</v>
      </c>
      <c r="M16" s="14" t="str">
        <f t="shared" ref="M16:M19" si="9">"* group[=].element[=].target.equivalence = #"&amp;F16</f>
        <v>* group[=].element[=].target.equivalence = #equivalent</v>
      </c>
      <c r="N16" s="4" t="str">
        <f t="shared" ref="N16:N21" si="10">IF(G16&lt;&gt;"",CONCATENATE("* group[=].element[=].target.comment = ","##34#",G16,"##34#"),"")</f>
        <v/>
      </c>
      <c r="P16" s="9">
        <v>2</v>
      </c>
      <c r="Q16" s="9">
        <f t="shared" ref="Q16:Q46" si="11">IF(MOD(P16,$Q$8)=0,P16/$Q$8-1,INT(P16/$Q$8))</f>
        <v>0</v>
      </c>
      <c r="R16" s="9">
        <f t="shared" ref="R16:R18" si="12">IF(MOD(P16,$Q$8)=0,$Q$8,MOD(P16,$Q$8))</f>
        <v>2</v>
      </c>
      <c r="S16" s="14" t="str" cm="1">
        <f t="array" ref="S16">INDEX('LegalAuth-ConceptMap-1'!$I$15:$N$126,Q16+1,R16)</f>
        <v>* group[=].element[=].display = ##34#A.1.6.1 Legal authenticator identifier##34#</v>
      </c>
    </row>
    <row r="17" spans="1:19" ht="88.5" x14ac:dyDescent="0.75">
      <c r="A17" s="23"/>
      <c r="B17" s="9" t="str">
        <f>'A1.6 LegalAuth'!B9</f>
        <v>name</v>
      </c>
      <c r="C17" s="9" t="str">
        <f>'A1.6 LegalAuth'!C9</f>
        <v>A.1.6.2 Legal authenticator name</v>
      </c>
      <c r="D17" s="14" t="s">
        <v>810</v>
      </c>
      <c r="E17" s="9"/>
      <c r="F17" s="75" t="s">
        <v>658</v>
      </c>
      <c r="G17" s="75"/>
      <c r="H17" s="76"/>
      <c r="I17" s="14" t="str">
        <f t="shared" si="5"/>
        <v>* group[=].element[+].code = #LegalAuthenticator.name</v>
      </c>
      <c r="J17" s="14" t="str">
        <f t="shared" si="6"/>
        <v>* group[=].element[=].display = ##34#A.1.6.2 Legal authenticator name##34#</v>
      </c>
      <c r="K17" s="14" t="str">
        <f t="shared" si="7"/>
        <v>* group[=].element[=].target.code = #Composition.attester.where(mode='legal').party.resolve().ofType(PractictionerRole).practictioner.resolve().name</v>
      </c>
      <c r="L17" s="14" t="str">
        <f t="shared" si="8"/>
        <v>* group[=].element[=].target.display = ##34###34#</v>
      </c>
      <c r="M17" s="14" t="str">
        <f t="shared" si="9"/>
        <v>* group[=].element[=].target.equivalence = #equivalent</v>
      </c>
      <c r="N17" s="4" t="str">
        <f t="shared" si="10"/>
        <v/>
      </c>
      <c r="P17" s="9">
        <v>3</v>
      </c>
      <c r="Q17" s="9">
        <f t="shared" si="11"/>
        <v>0</v>
      </c>
      <c r="R17" s="9">
        <f t="shared" si="12"/>
        <v>3</v>
      </c>
      <c r="S17" s="14" t="str" cm="1">
        <f t="array" ref="S17">INDEX('LegalAuth-ConceptMap-1'!$I$15:$N$126,Q17+1,R17)</f>
        <v>* group[=].element[=].target.code = #Composition.attester.where(mode='legal').party.resolve().identifier</v>
      </c>
    </row>
    <row r="18" spans="1:19" ht="88.5" x14ac:dyDescent="0.75">
      <c r="A18" s="23"/>
      <c r="B18" s="9" t="str">
        <f>'A1.6 LegalAuth'!B10</f>
        <v>organization</v>
      </c>
      <c r="C18" s="9" t="str">
        <f>'A1.6 LegalAuth'!C10</f>
        <v>A.1.6.3 Legal authenticator organization</v>
      </c>
      <c r="D18" s="14" t="s">
        <v>811</v>
      </c>
      <c r="E18" s="9"/>
      <c r="F18" s="75" t="s">
        <v>658</v>
      </c>
      <c r="G18" s="75"/>
      <c r="H18" s="76"/>
      <c r="I18" s="14" t="str">
        <f t="shared" si="5"/>
        <v>* group[=].element[+].code = #LegalAuthenticator.organization</v>
      </c>
      <c r="J18" s="14" t="str">
        <f t="shared" si="6"/>
        <v>* group[=].element[=].display = ##34#A.1.6.3 Legal authenticator organization##34#</v>
      </c>
      <c r="K18" s="14" t="str">
        <f t="shared" si="7"/>
        <v>* group[=].element[=].target.code = #Composition.attester.where(mode='legal').party.resolve().ofType(PractictionerRole).organization.resolve()</v>
      </c>
      <c r="L18" s="14" t="str">
        <f t="shared" si="8"/>
        <v>* group[=].element[=].target.display = ##34###34#</v>
      </c>
      <c r="M18" s="14" t="str">
        <f t="shared" si="9"/>
        <v>* group[=].element[=].target.equivalence = #equivalent</v>
      </c>
      <c r="N18" s="4" t="str">
        <f t="shared" si="10"/>
        <v/>
      </c>
      <c r="P18" s="9">
        <v>4</v>
      </c>
      <c r="Q18" s="9">
        <f t="shared" si="11"/>
        <v>0</v>
      </c>
      <c r="R18" s="9">
        <f t="shared" si="12"/>
        <v>4</v>
      </c>
      <c r="S18" s="14" t="str" cm="1">
        <f t="array" ref="S18">INDEX('LegalAuth-ConceptMap-1'!$I$15:$N$126,Q18+1,R18)</f>
        <v>* group[=].element[=].target.display = ##34###34#</v>
      </c>
    </row>
    <row r="19" spans="1:19" ht="73.75" x14ac:dyDescent="0.75">
      <c r="A19" s="23"/>
      <c r="B19" s="9" t="str">
        <f>'A1.6 LegalAuth'!B11</f>
        <v>dateTime</v>
      </c>
      <c r="C19" s="9" t="str">
        <f>'A1.6 LegalAuth'!C11</f>
        <v>A.1.6.4 Authentication date and time</v>
      </c>
      <c r="D19" s="9" t="s">
        <v>806</v>
      </c>
      <c r="E19" s="9"/>
      <c r="F19" s="75" t="s">
        <v>658</v>
      </c>
      <c r="G19" s="75"/>
      <c r="H19" s="76"/>
      <c r="I19" s="14" t="str">
        <f t="shared" si="5"/>
        <v>* group[=].element[+].code = #LegalAuthenticator.dateTime</v>
      </c>
      <c r="J19" s="14" t="str">
        <f t="shared" si="6"/>
        <v>* group[=].element[=].display = ##34#A.1.6.4 Authentication date and time##34#</v>
      </c>
      <c r="K19" s="14" t="str">
        <f t="shared" si="7"/>
        <v>* group[=].element[=].target.code = #Composition.attester.where(mode='legal').time</v>
      </c>
      <c r="L19" s="14" t="str">
        <f t="shared" si="8"/>
        <v>* group[=].element[=].target.display = ##34###34#</v>
      </c>
      <c r="M19" s="14" t="str">
        <f t="shared" si="9"/>
        <v>* group[=].element[=].target.equivalence = #equivalent</v>
      </c>
      <c r="N19" s="4" t="str">
        <f t="shared" si="10"/>
        <v/>
      </c>
      <c r="P19" s="9">
        <v>5</v>
      </c>
      <c r="Q19" s="9">
        <f t="shared" si="11"/>
        <v>0</v>
      </c>
      <c r="R19" s="9">
        <f t="shared" ref="R19:R46" si="13">IF(MOD(P19,$Q$8)=0,$Q$8,MOD(P19,$Q$8))</f>
        <v>5</v>
      </c>
      <c r="S19" s="14" t="str" cm="1">
        <f t="array" ref="S19">INDEX('LegalAuth-ConceptMap-1'!$I$15:$N$126,Q19+1,R19)</f>
        <v>* group[=].element[=].target.equivalence = #equivalent</v>
      </c>
    </row>
    <row r="20" spans="1:19" x14ac:dyDescent="0.75">
      <c r="A20" s="23"/>
      <c r="B20" s="9">
        <f>'A1.6 LegalAuth'!B12</f>
        <v>0</v>
      </c>
      <c r="C20" s="9">
        <f>'A1.6 LegalAuth'!C12</f>
        <v>0</v>
      </c>
      <c r="D20" s="9"/>
      <c r="E20" s="9"/>
      <c r="F20" s="75"/>
      <c r="G20" s="75"/>
      <c r="H20" s="76"/>
      <c r="I20" s="14"/>
      <c r="J20" s="14"/>
      <c r="K20" s="14"/>
      <c r="L20" s="14"/>
      <c r="M20" s="14"/>
      <c r="N20" s="4" t="str">
        <f t="shared" si="10"/>
        <v/>
      </c>
      <c r="P20" s="9">
        <v>6</v>
      </c>
      <c r="Q20" s="9">
        <f t="shared" si="11"/>
        <v>0</v>
      </c>
      <c r="R20" s="9">
        <f t="shared" si="13"/>
        <v>6</v>
      </c>
      <c r="S20" s="14" t="str" cm="1">
        <f t="array" ref="S20">INDEX('LegalAuth-ConceptMap-1'!$I$15:$N$126,Q20+1,R20)</f>
        <v/>
      </c>
    </row>
    <row r="21" spans="1:19" x14ac:dyDescent="0.75">
      <c r="A21" s="23"/>
      <c r="B21" s="9"/>
      <c r="C21" s="9"/>
      <c r="D21" s="9"/>
      <c r="E21" s="9"/>
      <c r="F21" s="75"/>
      <c r="G21" s="75"/>
      <c r="H21" s="76"/>
      <c r="I21" s="14"/>
      <c r="J21" s="14"/>
      <c r="K21" s="14"/>
      <c r="L21" s="14"/>
      <c r="M21" s="14"/>
      <c r="N21" s="4" t="str">
        <f t="shared" si="10"/>
        <v/>
      </c>
      <c r="P21" s="9">
        <v>7</v>
      </c>
      <c r="Q21" s="9">
        <f t="shared" si="11"/>
        <v>1</v>
      </c>
      <c r="R21" s="9">
        <f t="shared" si="13"/>
        <v>1</v>
      </c>
      <c r="S21" s="14" t="str" cm="1">
        <f t="array" ref="S21">INDEX('LegalAuth-ConceptMap-1'!$I$15:$N$126,Q21+1,R21)</f>
        <v>* group[=].element[+].code = #LegalAuthenticator.name</v>
      </c>
    </row>
    <row r="22" spans="1:19" x14ac:dyDescent="0.75">
      <c r="A22" s="23"/>
      <c r="B22" s="9"/>
      <c r="C22" s="9"/>
      <c r="D22" s="9"/>
      <c r="E22" s="9"/>
      <c r="F22" s="75"/>
      <c r="G22" s="75"/>
      <c r="H22" s="76"/>
      <c r="I22" s="14"/>
      <c r="J22" s="14"/>
      <c r="K22" s="14"/>
      <c r="L22" s="14"/>
      <c r="M22" s="14"/>
      <c r="N22" s="4"/>
      <c r="P22" s="9">
        <v>8</v>
      </c>
      <c r="Q22" s="9">
        <f t="shared" si="11"/>
        <v>1</v>
      </c>
      <c r="R22" s="9">
        <f t="shared" si="13"/>
        <v>2</v>
      </c>
      <c r="S22" s="14" t="str" cm="1">
        <f t="array" ref="S22">INDEX('LegalAuth-ConceptMap-1'!$I$15:$N$126,Q22+1,R22)</f>
        <v>* group[=].element[=].display = ##34#A.1.6.2 Legal authenticator name##34#</v>
      </c>
    </row>
    <row r="23" spans="1:19" ht="29.5" x14ac:dyDescent="0.75">
      <c r="A23" s="23"/>
      <c r="B23" s="9"/>
      <c r="C23" s="9"/>
      <c r="D23" s="53"/>
      <c r="E23" s="9"/>
      <c r="F23" s="75"/>
      <c r="G23" s="75"/>
      <c r="H23" s="76"/>
      <c r="I23" s="14"/>
      <c r="J23" s="14"/>
      <c r="K23" s="14"/>
      <c r="L23" s="14"/>
      <c r="M23" s="14"/>
      <c r="N23" s="4"/>
      <c r="P23" s="9">
        <v>9</v>
      </c>
      <c r="Q23" s="9">
        <f t="shared" si="11"/>
        <v>1</v>
      </c>
      <c r="R23" s="9">
        <f t="shared" si="13"/>
        <v>3</v>
      </c>
      <c r="S23" s="14" t="str" cm="1">
        <f t="array" ref="S23">INDEX('LegalAuth-ConceptMap-1'!$I$15:$N$126,Q23+1,R23)</f>
        <v>* group[=].element[=].target.code = #Composition.attester.where(mode='legal').party.resolve().ofType(Practictioner).name</v>
      </c>
    </row>
    <row r="24" spans="1:19" x14ac:dyDescent="0.75">
      <c r="A24" s="23"/>
      <c r="B24" s="9"/>
      <c r="C24" s="14"/>
      <c r="D24" s="9"/>
      <c r="E24" s="14"/>
      <c r="F24" s="75"/>
      <c r="G24" s="75"/>
      <c r="H24" s="76"/>
      <c r="I24" s="14"/>
      <c r="J24" s="14"/>
      <c r="K24" s="14"/>
      <c r="L24" s="14"/>
      <c r="M24" s="14"/>
      <c r="N24" s="4"/>
      <c r="P24" s="9">
        <v>10</v>
      </c>
      <c r="Q24" s="9">
        <f t="shared" si="11"/>
        <v>1</v>
      </c>
      <c r="R24" s="9">
        <f t="shared" si="13"/>
        <v>4</v>
      </c>
      <c r="S24" s="14" t="str" cm="1">
        <f t="array" ref="S24">INDEX('LegalAuth-ConceptMap-1'!$I$15:$N$126,Q24+1,R24)</f>
        <v>* group[=].element[=].target.display = ##34###34#</v>
      </c>
    </row>
    <row r="25" spans="1:19" x14ac:dyDescent="0.75">
      <c r="A25" s="23"/>
      <c r="B25" s="9"/>
      <c r="C25" s="14"/>
      <c r="D25" s="14"/>
      <c r="E25" s="14"/>
      <c r="F25" s="75"/>
      <c r="G25" s="75"/>
      <c r="H25" s="76"/>
      <c r="I25" s="14"/>
      <c r="J25" s="14"/>
      <c r="K25" s="14"/>
      <c r="L25" s="14"/>
      <c r="M25" s="14"/>
      <c r="N25" s="4"/>
      <c r="P25" s="9">
        <v>11</v>
      </c>
      <c r="Q25" s="9">
        <f t="shared" si="11"/>
        <v>1</v>
      </c>
      <c r="R25" s="9">
        <f t="shared" si="13"/>
        <v>5</v>
      </c>
      <c r="S25" s="14" t="str" cm="1">
        <f t="array" ref="S25">INDEX('LegalAuth-ConceptMap-1'!$I$15:$N$126,Q25+1,R25)</f>
        <v>* group[=].element[=].target.equivalence = #equivalent</v>
      </c>
    </row>
    <row r="26" spans="1:19" x14ac:dyDescent="0.75">
      <c r="B26" s="9"/>
      <c r="C26" s="14"/>
      <c r="D26" s="14"/>
      <c r="E26" s="14"/>
      <c r="F26" s="75"/>
      <c r="G26" s="75"/>
      <c r="H26" s="76"/>
      <c r="I26" s="14"/>
      <c r="J26" s="14"/>
      <c r="K26" s="14"/>
      <c r="L26" s="14"/>
      <c r="M26" s="14"/>
      <c r="N26" s="4"/>
      <c r="P26" s="9">
        <v>12</v>
      </c>
      <c r="Q26" s="9">
        <f t="shared" si="11"/>
        <v>1</v>
      </c>
      <c r="R26" s="9">
        <f t="shared" si="13"/>
        <v>6</v>
      </c>
      <c r="S26" s="14" t="str" cm="1">
        <f t="array" ref="S26">INDEX('LegalAuth-ConceptMap-1'!$I$15:$N$126,Q26+1,R26)</f>
        <v/>
      </c>
    </row>
    <row r="27" spans="1:19" x14ac:dyDescent="0.75">
      <c r="B27" s="9"/>
      <c r="C27" s="9"/>
      <c r="D27" s="14"/>
      <c r="E27" s="14"/>
      <c r="F27" s="75"/>
      <c r="G27" s="75"/>
      <c r="H27" s="76"/>
      <c r="I27" s="14"/>
      <c r="J27" s="14"/>
      <c r="K27" s="14"/>
      <c r="L27" s="14"/>
      <c r="M27" s="14"/>
      <c r="N27" s="4"/>
      <c r="P27" s="9">
        <v>13</v>
      </c>
      <c r="Q27" s="9">
        <f t="shared" si="11"/>
        <v>2</v>
      </c>
      <c r="R27" s="9">
        <f t="shared" si="13"/>
        <v>1</v>
      </c>
      <c r="S27" s="14" t="str" cm="1">
        <f t="array" ref="S27">INDEX('LegalAuth-ConceptMap-1'!$I$15:$N$126,Q27+1,R27)</f>
        <v>* group[=].element[+].code = #LegalAuthenticator.name</v>
      </c>
    </row>
    <row r="28" spans="1:19" x14ac:dyDescent="0.75">
      <c r="B28" s="9"/>
      <c r="C28" s="9"/>
      <c r="D28" s="14"/>
      <c r="E28" s="14"/>
      <c r="F28" s="75"/>
      <c r="G28" s="75"/>
      <c r="H28" s="76"/>
      <c r="I28" s="14"/>
      <c r="J28" s="14"/>
      <c r="K28" s="14"/>
      <c r="L28" s="14"/>
      <c r="M28" s="14"/>
      <c r="N28" s="4"/>
      <c r="P28" s="9">
        <v>14</v>
      </c>
      <c r="Q28" s="9">
        <f t="shared" si="11"/>
        <v>2</v>
      </c>
      <c r="R28" s="9">
        <f t="shared" si="13"/>
        <v>2</v>
      </c>
      <c r="S28" s="14" t="str" cm="1">
        <f t="array" ref="S28">INDEX('LegalAuth-ConceptMap-1'!$I$15:$N$126,Q28+1,R28)</f>
        <v>* group[=].element[=].display = ##34#A.1.6.2 Legal authenticator name##34#</v>
      </c>
    </row>
    <row r="29" spans="1:19" ht="44.25" x14ac:dyDescent="0.75">
      <c r="B29" s="9"/>
      <c r="C29" s="9"/>
      <c r="D29" s="14"/>
      <c r="E29" s="14"/>
      <c r="F29" s="75"/>
      <c r="G29" s="75"/>
      <c r="H29" s="76"/>
      <c r="I29" s="14"/>
      <c r="J29" s="14"/>
      <c r="K29" s="14"/>
      <c r="L29" s="14"/>
      <c r="M29" s="14"/>
      <c r="N29" s="4"/>
      <c r="P29" s="9">
        <v>15</v>
      </c>
      <c r="Q29" s="9">
        <f t="shared" si="11"/>
        <v>2</v>
      </c>
      <c r="R29" s="9">
        <f t="shared" si="13"/>
        <v>3</v>
      </c>
      <c r="S29" s="14" t="str" cm="1">
        <f t="array" ref="S29">INDEX('LegalAuth-ConceptMap-1'!$I$15:$N$126,Q29+1,R29)</f>
        <v>* group[=].element[=].target.code = #Composition.attester.where(mode='legal').party.resolve().ofType(PractictionerRole).practictioner.resolve().name</v>
      </c>
    </row>
    <row r="30" spans="1:19" x14ac:dyDescent="0.75">
      <c r="B30" s="9"/>
      <c r="C30" s="9"/>
      <c r="D30" s="14"/>
      <c r="E30" s="14"/>
      <c r="F30" s="75"/>
      <c r="G30" s="75"/>
      <c r="H30" s="76"/>
      <c r="I30" s="14"/>
      <c r="J30" s="14"/>
      <c r="K30" s="14"/>
      <c r="L30" s="14"/>
      <c r="M30" s="14"/>
      <c r="N30" s="4"/>
      <c r="P30" s="9">
        <v>16</v>
      </c>
      <c r="Q30" s="9">
        <f t="shared" si="11"/>
        <v>2</v>
      </c>
      <c r="R30" s="9">
        <f t="shared" si="13"/>
        <v>4</v>
      </c>
      <c r="S30" s="14" t="str" cm="1">
        <f t="array" ref="S30">INDEX('LegalAuth-ConceptMap-1'!$I$15:$N$126,Q30+1,R30)</f>
        <v>* group[=].element[=].target.display = ##34###34#</v>
      </c>
    </row>
    <row r="31" spans="1:19" x14ac:dyDescent="0.75">
      <c r="B31" s="9"/>
      <c r="C31" s="9"/>
      <c r="D31" s="14"/>
      <c r="E31" s="14"/>
      <c r="F31" s="75"/>
      <c r="G31" s="75"/>
      <c r="H31" s="76"/>
      <c r="I31" s="14"/>
      <c r="J31" s="14"/>
      <c r="K31" s="14"/>
      <c r="L31" s="14"/>
      <c r="M31" s="14"/>
      <c r="N31" s="4"/>
      <c r="P31" s="9">
        <v>17</v>
      </c>
      <c r="Q31" s="9">
        <f t="shared" si="11"/>
        <v>2</v>
      </c>
      <c r="R31" s="9">
        <f t="shared" si="13"/>
        <v>5</v>
      </c>
      <c r="S31" s="14" t="str" cm="1">
        <f t="array" ref="S31">INDEX('LegalAuth-ConceptMap-1'!$I$15:$N$126,Q31+1,R31)</f>
        <v>* group[=].element[=].target.equivalence = #equivalent</v>
      </c>
    </row>
    <row r="32" spans="1:19" x14ac:dyDescent="0.75">
      <c r="B32" s="9"/>
      <c r="C32" s="9"/>
      <c r="D32" s="14"/>
      <c r="E32" s="14"/>
      <c r="F32" s="75"/>
      <c r="G32" s="75"/>
      <c r="H32" s="76"/>
      <c r="I32" s="14"/>
      <c r="J32" s="14"/>
      <c r="K32" s="14"/>
      <c r="L32" s="14"/>
      <c r="M32" s="14"/>
      <c r="N32" s="4"/>
      <c r="P32" s="9">
        <v>18</v>
      </c>
      <c r="Q32" s="9">
        <f t="shared" si="11"/>
        <v>2</v>
      </c>
      <c r="R32" s="9">
        <f t="shared" si="13"/>
        <v>6</v>
      </c>
      <c r="S32" s="14" t="str" cm="1">
        <f t="array" ref="S32">INDEX('LegalAuth-ConceptMap-1'!$I$15:$N$126,Q32+1,R32)</f>
        <v/>
      </c>
    </row>
    <row r="33" spans="1:20" x14ac:dyDescent="0.75">
      <c r="B33" s="9"/>
      <c r="C33" s="9"/>
      <c r="D33" s="14"/>
      <c r="E33" s="14"/>
      <c r="F33" s="75"/>
      <c r="G33" s="75"/>
      <c r="H33" s="76"/>
      <c r="I33" s="14"/>
      <c r="J33" s="14"/>
      <c r="K33" s="14"/>
      <c r="L33" s="14"/>
      <c r="M33" s="14"/>
      <c r="N33" s="4"/>
      <c r="P33" s="9">
        <v>19</v>
      </c>
      <c r="Q33" s="9">
        <f t="shared" si="11"/>
        <v>3</v>
      </c>
      <c r="R33" s="9">
        <f t="shared" si="13"/>
        <v>1</v>
      </c>
      <c r="S33" s="14" t="str" cm="1">
        <f t="array" ref="S33">INDEX('LegalAuth-ConceptMap-1'!$I$15:$N$126,Q33+1,R33)</f>
        <v>* group[=].element[+].code = #LegalAuthenticator.organization</v>
      </c>
    </row>
    <row r="34" spans="1:20" x14ac:dyDescent="0.75">
      <c r="B34" s="9"/>
      <c r="C34" s="9"/>
      <c r="D34" s="14"/>
      <c r="E34" s="14"/>
      <c r="F34" s="75"/>
      <c r="G34" s="75"/>
      <c r="H34" s="76"/>
      <c r="I34" s="14"/>
      <c r="J34" s="14"/>
      <c r="K34" s="14"/>
      <c r="L34" s="14"/>
      <c r="M34" s="14"/>
      <c r="N34" s="4"/>
      <c r="P34" s="9">
        <v>20</v>
      </c>
      <c r="Q34" s="9">
        <f t="shared" si="11"/>
        <v>3</v>
      </c>
      <c r="R34" s="9">
        <f t="shared" si="13"/>
        <v>2</v>
      </c>
      <c r="S34" s="14" t="str" cm="1">
        <f t="array" ref="S34">INDEX('LegalAuth-ConceptMap-1'!$I$15:$N$126,Q34+1,R34)</f>
        <v>* group[=].element[=].display = ##34#A.1.6.3 Legal authenticator organization##34#</v>
      </c>
    </row>
    <row r="35" spans="1:20" ht="44.25" x14ac:dyDescent="0.75">
      <c r="B35" s="9"/>
      <c r="C35" s="9"/>
      <c r="D35" s="14"/>
      <c r="E35" s="14"/>
      <c r="F35" s="75"/>
      <c r="G35" s="75"/>
      <c r="H35" s="76"/>
      <c r="I35" s="14"/>
      <c r="J35" s="14"/>
      <c r="K35" s="14"/>
      <c r="L35" s="14"/>
      <c r="M35" s="14"/>
      <c r="N35" s="4"/>
      <c r="P35" s="9">
        <v>21</v>
      </c>
      <c r="Q35" s="9">
        <f t="shared" si="11"/>
        <v>3</v>
      </c>
      <c r="R35" s="9">
        <f t="shared" si="13"/>
        <v>3</v>
      </c>
      <c r="S35" s="14" t="str" cm="1">
        <f t="array" ref="S35">INDEX('LegalAuth-ConceptMap-1'!$I$15:$N$126,Q35+1,R35)</f>
        <v>* group[=].element[=].target.code = #Composition.attester.where(mode='legal').party.resolve().ofType(PractictionerRole).organization.resolve()</v>
      </c>
    </row>
    <row r="36" spans="1:20" x14ac:dyDescent="0.75">
      <c r="B36" s="9"/>
      <c r="C36" s="9"/>
      <c r="D36" s="14"/>
      <c r="E36" s="14"/>
      <c r="F36" s="75"/>
      <c r="G36" s="75"/>
      <c r="H36" s="76"/>
      <c r="I36" s="14"/>
      <c r="J36" s="14"/>
      <c r="K36" s="14"/>
      <c r="L36" s="14"/>
      <c r="M36" s="14"/>
      <c r="N36" s="4"/>
      <c r="P36" s="9">
        <v>22</v>
      </c>
      <c r="Q36" s="9">
        <f t="shared" si="11"/>
        <v>3</v>
      </c>
      <c r="R36" s="9">
        <f t="shared" si="13"/>
        <v>4</v>
      </c>
      <c r="S36" s="14" t="str" cm="1">
        <f t="array" ref="S36">INDEX('LegalAuth-ConceptMap-1'!$I$15:$N$126,Q36+1,R36)</f>
        <v>* group[=].element[=].target.display = ##34###34#</v>
      </c>
    </row>
    <row r="37" spans="1:20" x14ac:dyDescent="0.75">
      <c r="B37" s="9"/>
      <c r="C37" s="9"/>
      <c r="D37" s="14"/>
      <c r="E37" s="14"/>
      <c r="F37" s="75"/>
      <c r="G37" s="75"/>
      <c r="H37" s="76"/>
      <c r="I37" s="14"/>
      <c r="J37" s="14"/>
      <c r="K37" s="14"/>
      <c r="L37" s="14"/>
      <c r="M37" s="14"/>
      <c r="N37" s="4"/>
      <c r="P37" s="9">
        <v>23</v>
      </c>
      <c r="Q37" s="9">
        <f t="shared" si="11"/>
        <v>3</v>
      </c>
      <c r="R37" s="9">
        <f t="shared" si="13"/>
        <v>5</v>
      </c>
      <c r="S37" s="14" t="str" cm="1">
        <f t="array" ref="S37">INDEX('LegalAuth-ConceptMap-1'!$I$15:$N$126,Q37+1,R37)</f>
        <v>* group[=].element[=].target.equivalence = #equivalent</v>
      </c>
    </row>
    <row r="38" spans="1:20" s="1" customFormat="1" x14ac:dyDescent="0.75">
      <c r="A38"/>
      <c r="B38" s="9"/>
      <c r="C38" s="9"/>
      <c r="D38" s="14"/>
      <c r="E38" s="14"/>
      <c r="F38" s="75"/>
      <c r="G38" s="76"/>
      <c r="H38" s="76"/>
      <c r="I38" s="14"/>
      <c r="J38" s="14"/>
      <c r="K38" s="14"/>
      <c r="L38" s="14"/>
      <c r="M38" s="14"/>
      <c r="N38" s="4"/>
      <c r="P38" s="9">
        <v>24</v>
      </c>
      <c r="Q38" s="9">
        <f t="shared" si="11"/>
        <v>3</v>
      </c>
      <c r="R38" s="9">
        <f t="shared" si="13"/>
        <v>6</v>
      </c>
      <c r="S38" s="14" t="str" cm="1">
        <f t="array" ref="S38">INDEX('LegalAuth-ConceptMap-1'!$I$15:$N$126,Q38+1,R38)</f>
        <v/>
      </c>
      <c r="T38"/>
    </row>
    <row r="39" spans="1:20" s="1" customFormat="1" x14ac:dyDescent="0.75">
      <c r="A39"/>
      <c r="B39" s="9"/>
      <c r="C39" s="9"/>
      <c r="D39" s="60"/>
      <c r="F39" s="76"/>
      <c r="G39" s="76"/>
      <c r="H39" s="76"/>
      <c r="I39" s="14"/>
      <c r="J39" s="14"/>
      <c r="K39" s="14"/>
      <c r="L39" s="14"/>
      <c r="M39" s="14"/>
      <c r="N39" s="4"/>
      <c r="P39" s="9">
        <v>25</v>
      </c>
      <c r="Q39" s="9">
        <f t="shared" si="11"/>
        <v>4</v>
      </c>
      <c r="R39" s="9">
        <f t="shared" si="13"/>
        <v>1</v>
      </c>
      <c r="S39" s="14" t="str" cm="1">
        <f t="array" ref="S39">INDEX('LegalAuth-ConceptMap-1'!$I$15:$N$126,Q39+1,R39)</f>
        <v>* group[=].element[+].code = #LegalAuthenticator.dateTime</v>
      </c>
      <c r="T39"/>
    </row>
    <row r="40" spans="1:20" s="1" customFormat="1" x14ac:dyDescent="0.75">
      <c r="A40"/>
      <c r="B40" s="9"/>
      <c r="C40" s="9"/>
      <c r="F40" s="76"/>
      <c r="G40" s="76"/>
      <c r="H40" s="76"/>
      <c r="I40" s="14"/>
      <c r="J40" s="14"/>
      <c r="K40" s="14"/>
      <c r="L40" s="14"/>
      <c r="M40" s="14"/>
      <c r="N40" s="4"/>
      <c r="P40" s="9">
        <v>26</v>
      </c>
      <c r="Q40" s="9">
        <f t="shared" si="11"/>
        <v>4</v>
      </c>
      <c r="R40" s="9">
        <f t="shared" si="13"/>
        <v>2</v>
      </c>
      <c r="S40" s="14" t="str" cm="1">
        <f t="array" ref="S40">INDEX('LegalAuth-ConceptMap-1'!$I$15:$N$126,Q40+1,R40)</f>
        <v>* group[=].element[=].display = ##34#A.1.6.4 Authentication date and time##34#</v>
      </c>
      <c r="T40"/>
    </row>
    <row r="41" spans="1:20" s="1" customFormat="1" x14ac:dyDescent="0.75">
      <c r="A41"/>
      <c r="B41" s="9"/>
      <c r="C41" s="9"/>
      <c r="F41" s="76"/>
      <c r="G41" s="76"/>
      <c r="H41" s="76"/>
      <c r="I41" s="14"/>
      <c r="J41" s="14"/>
      <c r="K41" s="14"/>
      <c r="L41" s="14"/>
      <c r="M41" s="14"/>
      <c r="N41" s="4"/>
      <c r="P41" s="9">
        <v>27</v>
      </c>
      <c r="Q41" s="9">
        <f t="shared" si="11"/>
        <v>4</v>
      </c>
      <c r="R41" s="9">
        <f t="shared" si="13"/>
        <v>3</v>
      </c>
      <c r="S41" s="14" t="str" cm="1">
        <f t="array" ref="S41">INDEX('LegalAuth-ConceptMap-1'!$I$15:$N$126,Q41+1,R41)</f>
        <v>* group[=].element[=].target.code = #Composition.attester.where(mode='legal').time</v>
      </c>
      <c r="T41"/>
    </row>
    <row r="42" spans="1:20" s="1" customFormat="1" x14ac:dyDescent="0.75">
      <c r="A42"/>
      <c r="B42" s="9"/>
      <c r="C42" s="9"/>
      <c r="F42" s="76"/>
      <c r="G42" s="76"/>
      <c r="H42" s="76"/>
      <c r="I42" s="14"/>
      <c r="J42" s="14"/>
      <c r="K42" s="14"/>
      <c r="L42" s="14"/>
      <c r="M42" s="14"/>
      <c r="N42" s="4"/>
      <c r="P42" s="9">
        <v>28</v>
      </c>
      <c r="Q42" s="9">
        <f t="shared" si="11"/>
        <v>4</v>
      </c>
      <c r="R42" s="9">
        <f t="shared" si="13"/>
        <v>4</v>
      </c>
      <c r="S42" s="14" t="str" cm="1">
        <f t="array" ref="S42">INDEX('LegalAuth-ConceptMap-1'!$I$15:$N$126,Q42+1,R42)</f>
        <v>* group[=].element[=].target.display = ##34###34#</v>
      </c>
      <c r="T42"/>
    </row>
    <row r="43" spans="1:20" s="1" customFormat="1" x14ac:dyDescent="0.75">
      <c r="A43"/>
      <c r="B43" s="9"/>
      <c r="C43" s="9"/>
      <c r="F43" s="76"/>
      <c r="G43" s="76"/>
      <c r="H43" s="76"/>
      <c r="I43" s="14"/>
      <c r="J43" s="14"/>
      <c r="K43" s="14"/>
      <c r="L43" s="14"/>
      <c r="M43" s="14"/>
      <c r="N43" s="4"/>
      <c r="P43" s="9">
        <v>29</v>
      </c>
      <c r="Q43" s="9">
        <f t="shared" si="11"/>
        <v>4</v>
      </c>
      <c r="R43" s="9">
        <f t="shared" si="13"/>
        <v>5</v>
      </c>
      <c r="S43" s="14" t="str" cm="1">
        <f t="array" ref="S43">INDEX('LegalAuth-ConceptMap-1'!$I$15:$N$126,Q43+1,R43)</f>
        <v>* group[=].element[=].target.equivalence = #equivalent</v>
      </c>
      <c r="T43"/>
    </row>
    <row r="44" spans="1:20" s="1" customFormat="1" x14ac:dyDescent="0.75">
      <c r="A44"/>
      <c r="B44" s="9"/>
      <c r="C44" s="9"/>
      <c r="F44" s="76"/>
      <c r="G44" s="76"/>
      <c r="H44" s="76"/>
      <c r="I44" s="14"/>
      <c r="J44" s="14"/>
      <c r="K44" s="14"/>
      <c r="L44" s="14"/>
      <c r="M44" s="14"/>
      <c r="N44" s="4"/>
      <c r="P44" s="9">
        <v>30</v>
      </c>
      <c r="Q44" s="9">
        <f t="shared" si="11"/>
        <v>4</v>
      </c>
      <c r="R44" s="9">
        <f t="shared" si="13"/>
        <v>6</v>
      </c>
      <c r="S44" s="14" t="str" cm="1">
        <f t="array" ref="S44">INDEX('LegalAuth-ConceptMap-1'!$I$15:$N$126,Q44+1,R44)</f>
        <v/>
      </c>
      <c r="T44"/>
    </row>
    <row r="45" spans="1:20" s="1" customFormat="1" x14ac:dyDescent="0.75">
      <c r="A45"/>
      <c r="B45" s="9"/>
      <c r="C45"/>
      <c r="F45" s="76"/>
      <c r="G45" s="76"/>
      <c r="H45" s="76"/>
      <c r="I45" s="14"/>
      <c r="J45" s="14"/>
      <c r="K45" s="14"/>
      <c r="L45" s="14"/>
      <c r="M45" s="14"/>
      <c r="N45" s="4"/>
      <c r="P45" s="9">
        <v>31</v>
      </c>
      <c r="Q45" s="9">
        <f t="shared" si="11"/>
        <v>5</v>
      </c>
      <c r="R45" s="9">
        <f t="shared" si="13"/>
        <v>1</v>
      </c>
      <c r="S45" s="14" cm="1">
        <f t="array" ref="S45">INDEX('LegalAuth-ConceptMap-1'!$I$15:$N$126,Q45+1,R45)</f>
        <v>0</v>
      </c>
      <c r="T45"/>
    </row>
    <row r="46" spans="1:20" s="1" customFormat="1" x14ac:dyDescent="0.75">
      <c r="A46"/>
      <c r="B46" s="9"/>
      <c r="C46"/>
      <c r="F46" s="76"/>
      <c r="G46" s="76"/>
      <c r="H46" s="76"/>
      <c r="I46" s="14"/>
      <c r="J46" s="14"/>
      <c r="K46" s="14"/>
      <c r="L46" s="14"/>
      <c r="M46" s="14"/>
      <c r="N46" s="4"/>
      <c r="P46" s="9">
        <v>32</v>
      </c>
      <c r="Q46" s="9">
        <f t="shared" si="11"/>
        <v>5</v>
      </c>
      <c r="R46" s="9">
        <f t="shared" si="13"/>
        <v>2</v>
      </c>
      <c r="S46" s="14" cm="1">
        <f t="array" ref="S46">INDEX('LegalAuth-ConceptMap-1'!$I$15:$N$126,Q46+1,R46)</f>
        <v>0</v>
      </c>
      <c r="T46"/>
    </row>
  </sheetData>
  <mergeCells count="4">
    <mergeCell ref="E3:G3"/>
    <mergeCell ref="E6:G6"/>
    <mergeCell ref="E7:G7"/>
    <mergeCell ref="E4:G4"/>
  </mergeCells>
  <hyperlinks>
    <hyperlink ref="E3" r:id="rId1" display="http://hl7.eu/fhir/laboratory/StructureDefinition/LeaglAu" xr:uid="{C4F8CFFB-ABBA-4686-A129-CFC880AAC2BD}"/>
    <hyperlink ref="E6" r:id="rId2" display="http://hl7.eu/fhir/laboratory/StructureDefinition/Recipient" xr:uid="{BB1C6035-2FF3-4FA4-BDB4-ECB606C23FFD}"/>
    <hyperlink ref="E7" r:id="rId3" display="http://hl7.eu/fhir/StructureDefinition/information-recipient" xr:uid="{6735B67E-26DE-432C-8D93-C840C6C49FE4}"/>
    <hyperlink ref="E4" r:id="rId4" xr:uid="{88519EB9-7477-40CF-8772-68AC55C1E55C}"/>
  </hyperlinks>
  <pageMargins left="0.7" right="0.7" top="0.75" bottom="0.75" header="0.3" footer="0.3"/>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509649-088E-4E04-B891-BA99B0E607BE}">
  <sheetPr codeName="Foglio22">
    <tabColor theme="0" tint="-0.34998626667073579"/>
  </sheetPr>
  <dimension ref="B1:G208"/>
  <sheetViews>
    <sheetView workbookViewId="0">
      <selection activeCell="K47" sqref="A47:T191"/>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2" t="s">
        <v>37</v>
      </c>
    </row>
    <row r="2" spans="2:7" ht="16.75" thickBot="1" x14ac:dyDescent="0.9">
      <c r="B2" s="33" t="s">
        <v>661</v>
      </c>
      <c r="G2" s="56" t="s">
        <v>770</v>
      </c>
    </row>
    <row r="3" spans="2:7" x14ac:dyDescent="0.75">
      <c r="B3" s="33" t="s">
        <v>37</v>
      </c>
    </row>
    <row r="4" spans="2:7" x14ac:dyDescent="0.75">
      <c r="B4" s="77" t="str">
        <f>"Instance: "&amp;'LegalAuth-ConceptMap-1'!C4</f>
        <v>Instance: ConceptMap-eu-legalAuth2FHIR</v>
      </c>
    </row>
    <row r="5" spans="2:7" x14ac:dyDescent="0.75">
      <c r="B5" s="77" t="s">
        <v>662</v>
      </c>
    </row>
    <row r="6" spans="2:7" x14ac:dyDescent="0.75">
      <c r="B6" s="77" t="s">
        <v>663</v>
      </c>
    </row>
    <row r="7" spans="2:7" x14ac:dyDescent="0.75">
      <c r="B7" s="77" t="s">
        <v>677</v>
      </c>
    </row>
    <row r="8" spans="2:7" x14ac:dyDescent="0.75">
      <c r="B8" s="77" t="str">
        <f>"* name = ##34#"&amp;'LegalAuth-ConceptMap-1'!C3&amp;"##34#"</f>
        <v>* name = ##34#LegalAuth2Fhir##34#</v>
      </c>
    </row>
    <row r="9" spans="2:7" x14ac:dyDescent="0.75">
      <c r="B9" s="77" t="str">
        <f>"* title = ##34#"&amp;'LegalAuth-ConceptMap-1'!C5&amp;"##34#"</f>
        <v>* title = ##34#eHN Recipient to this guide Map##34#</v>
      </c>
    </row>
    <row r="10" spans="2:7" x14ac:dyDescent="0.75">
      <c r="B10" s="77" t="s">
        <v>664</v>
      </c>
    </row>
    <row r="11" spans="2:7" x14ac:dyDescent="0.75">
      <c r="B11" s="77" t="s">
        <v>665</v>
      </c>
    </row>
    <row r="12" spans="2:7" x14ac:dyDescent="0.75">
      <c r="B12" s="77" t="str">
        <f>"* description = ##34#"&amp;'LegalAuth-ConceptMap-1'!C8&amp;"##34#"</f>
        <v>* description = ##34#eHN Legal Authenticator Model to this guide Map##34#</v>
      </c>
    </row>
    <row r="13" spans="2:7" x14ac:dyDescent="0.75">
      <c r="B13" s="77" t="str">
        <f>"* purpose = ##34#"&amp;'LegalAuth-ConceptMap-1'!C9&amp;"##34#"</f>
        <v>* purpose = ##34#It shows how theLegal Authenticator Recipient data set defined by the EU eHN guidelines is mapped into this guide##34#</v>
      </c>
    </row>
    <row r="14" spans="2:7" x14ac:dyDescent="0.75">
      <c r="B14" s="78" t="str">
        <f>"* sourceUri = ##34#"&amp;'LegalAuth-ConceptMap-1'!E3&amp;"##34#"</f>
        <v>* sourceUri = ##34#http://hl7.eu/fhir/laboratory/StructureDefinition/LegalAuthenticator##34#</v>
      </c>
    </row>
    <row r="15" spans="2:7" x14ac:dyDescent="0.75">
      <c r="B15" s="78" t="str">
        <f>"* targetUri = ##34#"&amp;'LegalAuth-ConceptMap-1'!E4&amp;"##34#"</f>
        <v>* targetUri = ##34#http://hl7.eu/fhir/laboratory/StructureDefinition/Composition-eu-lab##34#</v>
      </c>
    </row>
    <row r="16" spans="2:7" x14ac:dyDescent="0.75">
      <c r="B16" s="77"/>
    </row>
    <row r="17" spans="2:7" x14ac:dyDescent="0.75">
      <c r="B17" s="79" t="str">
        <f>"* group[+].source = ##34#"&amp;'LegalAuth-ConceptMap-1'!E6&amp;"##34#"</f>
        <v>* group[+].source = ##34#http://hl7.eu/fhir/laboratory/StructureDefinition/LegalAuthenticator##34#</v>
      </c>
    </row>
    <row r="18" spans="2:7" x14ac:dyDescent="0.75">
      <c r="B18" s="79" t="str">
        <f>"* group[=].target = ##34#"&amp;'LegalAuth-ConceptMap-1'!E7&amp;"##34#"</f>
        <v>* group[=].target = ##34#http://hl7.eu/fhir/laboratory/StructureDefinition/Composition-eu-lab##34#</v>
      </c>
    </row>
    <row r="19" spans="2:7" x14ac:dyDescent="0.75">
      <c r="B19" s="81"/>
    </row>
    <row r="20" spans="2:7" x14ac:dyDescent="0.75">
      <c r="B20" s="14" t="str">
        <f>IF('LegalAuth-ConceptMap-1'!S15=0,"//---END",'LegalAuth-ConceptMap-1'!S15)</f>
        <v>* group[=].element[+].code = #LegalAuthenticator.identifier</v>
      </c>
    </row>
    <row r="21" spans="2:7" x14ac:dyDescent="0.75">
      <c r="B21" s="14" t="str">
        <f>IF('LegalAuth-ConceptMap-1'!S16=0,"//---END",'LegalAuth-ConceptMap-1'!S16)</f>
        <v>* group[=].element[=].display = ##34#A.1.6.1 Legal authenticator identifier##34#</v>
      </c>
    </row>
    <row r="22" spans="2:7" x14ac:dyDescent="0.75">
      <c r="B22" s="14" t="str">
        <f>IF('LegalAuth-ConceptMap-1'!S17=0,"//---END",'LegalAuth-ConceptMap-1'!S17)</f>
        <v>* group[=].element[=].target.code = #Composition.attester.where(mode='legal').party.resolve().identifier</v>
      </c>
    </row>
    <row r="23" spans="2:7" x14ac:dyDescent="0.75">
      <c r="B23" s="14" t="str">
        <f>IF('LegalAuth-ConceptMap-1'!S18=0,"//---END",'LegalAuth-ConceptMap-1'!S18)</f>
        <v>* group[=].element[=].target.display = ##34###34#</v>
      </c>
    </row>
    <row r="24" spans="2:7" x14ac:dyDescent="0.75">
      <c r="B24" s="14" t="str">
        <f>IF('LegalAuth-ConceptMap-1'!S19=0,"//---END",'LegalAuth-ConceptMap-1'!S19)</f>
        <v>* group[=].element[=].target.equivalence = #equivalent</v>
      </c>
    </row>
    <row r="25" spans="2:7" x14ac:dyDescent="0.75">
      <c r="B25" s="14" t="str">
        <f>IF('LegalAuth-ConceptMap-1'!S20=0,"//---END",'LegalAuth-ConceptMap-1'!S20)</f>
        <v/>
      </c>
      <c r="G25" s="10"/>
    </row>
    <row r="26" spans="2:7" x14ac:dyDescent="0.75">
      <c r="B26" s="14" t="str">
        <f>IF('LegalAuth-ConceptMap-1'!S21=0,"//---END",'LegalAuth-ConceptMap-1'!S21)</f>
        <v>* group[=].element[+].code = #LegalAuthenticator.name</v>
      </c>
    </row>
    <row r="27" spans="2:7" x14ac:dyDescent="0.75">
      <c r="B27" s="14" t="str">
        <f>IF('LegalAuth-ConceptMap-1'!S22=0,"//---END",'LegalAuth-ConceptMap-1'!S22)</f>
        <v>* group[=].element[=].display = ##34#A.1.6.2 Legal authenticator name##34#</v>
      </c>
    </row>
    <row r="28" spans="2:7" x14ac:dyDescent="0.75">
      <c r="B28" s="14" t="str">
        <f>IF('LegalAuth-ConceptMap-1'!S23=0,"//---END",'LegalAuth-ConceptMap-1'!S23)</f>
        <v>* group[=].element[=].target.code = #Composition.attester.where(mode='legal').party.resolve().ofType(Practictioner).name</v>
      </c>
    </row>
    <row r="29" spans="2:7" x14ac:dyDescent="0.75">
      <c r="B29" s="14" t="str">
        <f>IF('LegalAuth-ConceptMap-1'!S24=0,"//---END",'LegalAuth-ConceptMap-1'!S24)</f>
        <v>* group[=].element[=].target.display = ##34###34#</v>
      </c>
    </row>
    <row r="30" spans="2:7" x14ac:dyDescent="0.75">
      <c r="B30" s="14" t="str">
        <f>IF('LegalAuth-ConceptMap-1'!S25=0,"//---END",'LegalAuth-ConceptMap-1'!S25)</f>
        <v>* group[=].element[=].target.equivalence = #equivalent</v>
      </c>
    </row>
    <row r="31" spans="2:7" x14ac:dyDescent="0.75">
      <c r="B31" s="14" t="str">
        <f>IF('LegalAuth-ConceptMap-1'!S26=0,"//---END",'LegalAuth-ConceptMap-1'!S26)</f>
        <v/>
      </c>
    </row>
    <row r="32" spans="2:7" x14ac:dyDescent="0.75">
      <c r="B32" s="14" t="str">
        <f>IF('LegalAuth-ConceptMap-1'!S27=0,"//---END",'LegalAuth-ConceptMap-1'!S27)</f>
        <v>* group[=].element[+].code = #LegalAuthenticator.name</v>
      </c>
    </row>
    <row r="33" spans="2:2" x14ac:dyDescent="0.75">
      <c r="B33" s="14" t="str">
        <f>IF('LegalAuth-ConceptMap-1'!S28=0,"//---END",'LegalAuth-ConceptMap-1'!S28)</f>
        <v>* group[=].element[=].display = ##34#A.1.6.2 Legal authenticator name##34#</v>
      </c>
    </row>
    <row r="34" spans="2:2" x14ac:dyDescent="0.75">
      <c r="B34" s="14" t="str">
        <f>IF('LegalAuth-ConceptMap-1'!S29=0,"//---END",'LegalAuth-ConceptMap-1'!S29)</f>
        <v>* group[=].element[=].target.code = #Composition.attester.where(mode='legal').party.resolve().ofType(PractictionerRole).practictioner.resolve().name</v>
      </c>
    </row>
    <row r="35" spans="2:2" x14ac:dyDescent="0.75">
      <c r="B35" s="14" t="str">
        <f>IF('LegalAuth-ConceptMap-1'!S30=0,"//---END",'LegalAuth-ConceptMap-1'!S30)</f>
        <v>* group[=].element[=].target.display = ##34###34#</v>
      </c>
    </row>
    <row r="36" spans="2:2" x14ac:dyDescent="0.75">
      <c r="B36" s="14" t="str">
        <f>IF('LegalAuth-ConceptMap-1'!S31=0,"//---END",'LegalAuth-ConceptMap-1'!S31)</f>
        <v>* group[=].element[=].target.equivalence = #equivalent</v>
      </c>
    </row>
    <row r="37" spans="2:2" x14ac:dyDescent="0.75">
      <c r="B37" s="14" t="str">
        <f>IF('LegalAuth-ConceptMap-1'!S32=0,"//---END",'LegalAuth-ConceptMap-1'!S32)</f>
        <v/>
      </c>
    </row>
    <row r="38" spans="2:2" x14ac:dyDescent="0.75">
      <c r="B38" s="14" t="str">
        <f>IF('LegalAuth-ConceptMap-1'!S33=0,"//---END",'LegalAuth-ConceptMap-1'!S33)</f>
        <v>* group[=].element[+].code = #LegalAuthenticator.organization</v>
      </c>
    </row>
    <row r="39" spans="2:2" x14ac:dyDescent="0.75">
      <c r="B39" s="14" t="str">
        <f>IF('LegalAuth-ConceptMap-1'!S34=0,"//---END",'LegalAuth-ConceptMap-1'!S34)</f>
        <v>* group[=].element[=].display = ##34#A.1.6.3 Legal authenticator organization##34#</v>
      </c>
    </row>
    <row r="40" spans="2:2" x14ac:dyDescent="0.75">
      <c r="B40" s="14" t="str">
        <f>IF('LegalAuth-ConceptMap-1'!S35=0,"//---END",'LegalAuth-ConceptMap-1'!S35)</f>
        <v>* group[=].element[=].target.code = #Composition.attester.where(mode='legal').party.resolve().ofType(PractictionerRole).organization.resolve()</v>
      </c>
    </row>
    <row r="41" spans="2:2" x14ac:dyDescent="0.75">
      <c r="B41" s="14" t="str">
        <f>IF('LegalAuth-ConceptMap-1'!S36=0,"//---END",'LegalAuth-ConceptMap-1'!S36)</f>
        <v>* group[=].element[=].target.display = ##34###34#</v>
      </c>
    </row>
    <row r="42" spans="2:2" x14ac:dyDescent="0.75">
      <c r="B42" s="14" t="str">
        <f>IF('LegalAuth-ConceptMap-1'!S37=0,"//---END",'LegalAuth-ConceptMap-1'!S37)</f>
        <v>* group[=].element[=].target.equivalence = #equivalent</v>
      </c>
    </row>
    <row r="43" spans="2:2" x14ac:dyDescent="0.75">
      <c r="B43" s="14" t="str">
        <f>IF('LegalAuth-ConceptMap-1'!S38=0,"//---END",'LegalAuth-ConceptMap-1'!S38)</f>
        <v/>
      </c>
    </row>
    <row r="44" spans="2:2" x14ac:dyDescent="0.75">
      <c r="B44" s="14" t="str">
        <f>IF('LegalAuth-ConceptMap-1'!S39=0,"//---END",'LegalAuth-ConceptMap-1'!S39)</f>
        <v>* group[=].element[+].code = #LegalAuthenticator.dateTime</v>
      </c>
    </row>
    <row r="45" spans="2:2" x14ac:dyDescent="0.75">
      <c r="B45" s="14" t="str">
        <f>IF('LegalAuth-ConceptMap-1'!S40=0,"//---END",'LegalAuth-ConceptMap-1'!S40)</f>
        <v>* group[=].element[=].display = ##34#A.1.6.4 Authentication date and time##34#</v>
      </c>
    </row>
    <row r="46" spans="2:2" x14ac:dyDescent="0.75">
      <c r="B46" s="14" t="str">
        <f>IF('LegalAuth-ConceptMap-1'!S41=0,"//---END",'LegalAuth-ConceptMap-1'!S41)</f>
        <v>* group[=].element[=].target.code = #Composition.attester.where(mode='legal').time</v>
      </c>
    </row>
    <row r="47" spans="2:2" x14ac:dyDescent="0.75">
      <c r="B47" s="14" t="str">
        <f>IF('LegalAuth-ConceptMap-1'!S42=0,"//---END",'LegalAuth-ConceptMap-1'!S42)</f>
        <v>* group[=].element[=].target.display = ##34###34#</v>
      </c>
    </row>
    <row r="48" spans="2:2" x14ac:dyDescent="0.75">
      <c r="B48" s="14" t="str">
        <f>IF('LegalAuth-ConceptMap-1'!S43=0,"//---END",'LegalAuth-ConceptMap-1'!S43)</f>
        <v>* group[=].element[=].target.equivalence = #equivalent</v>
      </c>
    </row>
    <row r="49" spans="2:2" x14ac:dyDescent="0.75">
      <c r="B49" s="14" t="str">
        <f>IF('LegalAuth-ConceptMap-1'!S44=0,"//---END",'LegalAuth-ConceptMap-1'!S44)</f>
        <v/>
      </c>
    </row>
    <row r="50" spans="2:2" x14ac:dyDescent="0.75">
      <c r="B50" s="14" t="str">
        <f>IF('LegalAuth-ConceptMap-1'!S45=0,"//---END",'LegalAuth-ConceptMap-1'!S45)</f>
        <v>//---END</v>
      </c>
    </row>
    <row r="51" spans="2:2" x14ac:dyDescent="0.75">
      <c r="B51" s="14" t="str">
        <f>IF('LegalAuth-ConceptMap-1'!S46=0,"//---END",'LegalAuth-ConceptMap-1'!S46)</f>
        <v>//---END</v>
      </c>
    </row>
    <row r="52" spans="2:2" x14ac:dyDescent="0.75">
      <c r="B52" s="14" t="str">
        <f>IF('LegalAuth-ConceptMap-1'!S47=0,"//---END",'LegalAuth-ConceptMap-1'!S47)</f>
        <v>//---END</v>
      </c>
    </row>
    <row r="53" spans="2:2" x14ac:dyDescent="0.75">
      <c r="B53" s="14" t="str">
        <f>IF('LegalAuth-ConceptMap-1'!S48=0,"//---END",'LegalAuth-ConceptMap-1'!S48)</f>
        <v>//---END</v>
      </c>
    </row>
    <row r="54" spans="2:2" x14ac:dyDescent="0.75">
      <c r="B54" s="14" t="str">
        <f>IF('LegalAuth-ConceptMap-1'!S49=0,"//---END",'LegalAuth-ConceptMap-1'!S49)</f>
        <v>//---END</v>
      </c>
    </row>
    <row r="55" spans="2:2" x14ac:dyDescent="0.75">
      <c r="B55" s="14" t="str">
        <f>IF('LegalAuth-ConceptMap-1'!S50=0,"//---END",'LegalAuth-ConceptMap-1'!S50)</f>
        <v>//---END</v>
      </c>
    </row>
    <row r="85" spans="2:2" x14ac:dyDescent="0.75">
      <c r="B85" s="77"/>
    </row>
    <row r="86" spans="2:2" x14ac:dyDescent="0.75">
      <c r="B86" s="79"/>
    </row>
    <row r="87" spans="2:2" x14ac:dyDescent="0.75">
      <c r="B87" s="79"/>
    </row>
    <row r="88" spans="2:2" x14ac:dyDescent="0.75">
      <c r="B88" s="81"/>
    </row>
    <row r="90" spans="2:2" x14ac:dyDescent="0.75">
      <c r="B90" s="14"/>
    </row>
    <row r="91" spans="2:2" x14ac:dyDescent="0.75">
      <c r="B91" s="14"/>
    </row>
    <row r="92" spans="2:2" x14ac:dyDescent="0.75">
      <c r="B92" s="14"/>
    </row>
    <row r="93" spans="2:2" x14ac:dyDescent="0.75">
      <c r="B93" s="14"/>
    </row>
    <row r="94" spans="2:2" x14ac:dyDescent="0.75">
      <c r="B94" s="14"/>
    </row>
    <row r="95" spans="2:2" x14ac:dyDescent="0.75">
      <c r="B95" s="14"/>
    </row>
    <row r="96" spans="2:2" x14ac:dyDescent="0.75">
      <c r="B96" s="14"/>
    </row>
    <row r="97" spans="2:2" x14ac:dyDescent="0.75">
      <c r="B97" s="14"/>
    </row>
    <row r="98" spans="2:2" x14ac:dyDescent="0.75">
      <c r="B98" s="14"/>
    </row>
    <row r="99" spans="2:2" x14ac:dyDescent="0.75">
      <c r="B99" s="14"/>
    </row>
    <row r="100" spans="2:2" x14ac:dyDescent="0.75">
      <c r="B100" s="14"/>
    </row>
    <row r="101" spans="2:2" x14ac:dyDescent="0.75">
      <c r="B101" s="14"/>
    </row>
    <row r="102" spans="2:2" x14ac:dyDescent="0.75">
      <c r="B102" s="14"/>
    </row>
    <row r="103" spans="2:2" x14ac:dyDescent="0.75">
      <c r="B103" s="14"/>
    </row>
    <row r="104" spans="2:2" x14ac:dyDescent="0.75">
      <c r="B104" s="14"/>
    </row>
    <row r="105" spans="2:2" x14ac:dyDescent="0.75">
      <c r="B105" s="14"/>
    </row>
    <row r="106" spans="2:2" x14ac:dyDescent="0.75">
      <c r="B106" s="14"/>
    </row>
    <row r="107" spans="2:2" x14ac:dyDescent="0.75">
      <c r="B107" s="14"/>
    </row>
    <row r="108" spans="2:2" x14ac:dyDescent="0.75">
      <c r="B108" s="14"/>
    </row>
    <row r="109" spans="2:2" x14ac:dyDescent="0.75">
      <c r="B109" s="14"/>
    </row>
    <row r="110" spans="2:2" x14ac:dyDescent="0.75">
      <c r="B110" s="14"/>
    </row>
    <row r="111" spans="2:2" x14ac:dyDescent="0.75">
      <c r="B111" s="14"/>
    </row>
    <row r="112" spans="2:2" x14ac:dyDescent="0.75">
      <c r="B112" s="14"/>
    </row>
    <row r="113" spans="2:2" x14ac:dyDescent="0.75">
      <c r="B113" s="14"/>
    </row>
    <row r="114" spans="2:2" x14ac:dyDescent="0.75">
      <c r="B114" s="14"/>
    </row>
    <row r="115" spans="2:2" x14ac:dyDescent="0.75">
      <c r="B115" s="14"/>
    </row>
    <row r="116" spans="2:2" x14ac:dyDescent="0.75">
      <c r="B116" s="14"/>
    </row>
    <row r="117" spans="2:2" x14ac:dyDescent="0.75">
      <c r="B117" s="14"/>
    </row>
    <row r="118" spans="2:2" x14ac:dyDescent="0.75">
      <c r="B118" s="14"/>
    </row>
    <row r="119" spans="2:2" x14ac:dyDescent="0.75">
      <c r="B119" s="14"/>
    </row>
    <row r="120" spans="2:2" x14ac:dyDescent="0.75">
      <c r="B120" s="14"/>
    </row>
    <row r="121" spans="2:2" x14ac:dyDescent="0.75">
      <c r="B121" s="14"/>
    </row>
    <row r="122" spans="2:2" x14ac:dyDescent="0.75">
      <c r="B122" s="14"/>
    </row>
    <row r="123" spans="2:2" x14ac:dyDescent="0.75">
      <c r="B123" s="14"/>
    </row>
    <row r="124" spans="2:2" x14ac:dyDescent="0.75">
      <c r="B124" s="14"/>
    </row>
    <row r="125" spans="2:2" x14ac:dyDescent="0.75">
      <c r="B125" s="14"/>
    </row>
    <row r="126" spans="2:2" x14ac:dyDescent="0.75">
      <c r="B126" s="14"/>
    </row>
    <row r="127" spans="2:2" x14ac:dyDescent="0.75">
      <c r="B127" s="14"/>
    </row>
    <row r="128" spans="2:2" x14ac:dyDescent="0.75">
      <c r="B128" s="14"/>
    </row>
    <row r="129" spans="2:2" x14ac:dyDescent="0.75">
      <c r="B129" s="14"/>
    </row>
    <row r="130" spans="2:2" x14ac:dyDescent="0.75">
      <c r="B130" s="14"/>
    </row>
    <row r="131" spans="2:2" x14ac:dyDescent="0.75">
      <c r="B131" s="14"/>
    </row>
    <row r="132" spans="2:2" x14ac:dyDescent="0.75">
      <c r="B132" s="14"/>
    </row>
    <row r="133" spans="2:2" x14ac:dyDescent="0.75">
      <c r="B133" s="14"/>
    </row>
    <row r="134" spans="2:2" x14ac:dyDescent="0.75">
      <c r="B134" s="14"/>
    </row>
    <row r="135" spans="2:2" x14ac:dyDescent="0.75">
      <c r="B135" s="14"/>
    </row>
    <row r="136" spans="2:2" x14ac:dyDescent="0.75">
      <c r="B136" s="14"/>
    </row>
    <row r="137" spans="2:2" x14ac:dyDescent="0.75">
      <c r="B137" s="14"/>
    </row>
    <row r="138" spans="2:2" x14ac:dyDescent="0.75">
      <c r="B138" s="14"/>
    </row>
    <row r="139" spans="2:2" x14ac:dyDescent="0.75">
      <c r="B139" s="14"/>
    </row>
    <row r="140" spans="2:2" x14ac:dyDescent="0.75">
      <c r="B140" s="14"/>
    </row>
    <row r="141" spans="2:2" x14ac:dyDescent="0.75">
      <c r="B141" s="14"/>
    </row>
    <row r="142" spans="2:2" x14ac:dyDescent="0.75">
      <c r="B142" s="14"/>
    </row>
    <row r="143" spans="2:2" x14ac:dyDescent="0.75">
      <c r="B143" s="14"/>
    </row>
    <row r="144" spans="2:2" x14ac:dyDescent="0.75">
      <c r="B144" s="14"/>
    </row>
    <row r="145" spans="2:2" x14ac:dyDescent="0.75">
      <c r="B145" s="14"/>
    </row>
    <row r="146" spans="2:2" x14ac:dyDescent="0.75">
      <c r="B146" s="14"/>
    </row>
    <row r="147" spans="2:2" x14ac:dyDescent="0.75">
      <c r="B147" s="14"/>
    </row>
    <row r="148" spans="2:2" x14ac:dyDescent="0.75">
      <c r="B148" s="14"/>
    </row>
    <row r="149" spans="2:2" x14ac:dyDescent="0.75">
      <c r="B149" s="14"/>
    </row>
    <row r="150" spans="2:2" x14ac:dyDescent="0.75">
      <c r="B150" s="14"/>
    </row>
    <row r="151" spans="2:2" x14ac:dyDescent="0.75">
      <c r="B151" s="14"/>
    </row>
    <row r="152" spans="2:2" x14ac:dyDescent="0.75">
      <c r="B152" s="14"/>
    </row>
    <row r="153" spans="2:2" x14ac:dyDescent="0.75">
      <c r="B153" s="14"/>
    </row>
    <row r="154" spans="2:2" x14ac:dyDescent="0.75">
      <c r="B154" s="14"/>
    </row>
    <row r="155" spans="2:2" x14ac:dyDescent="0.75">
      <c r="B155" s="14"/>
    </row>
    <row r="156" spans="2:2" x14ac:dyDescent="0.75">
      <c r="B156" s="14"/>
    </row>
    <row r="157" spans="2:2" x14ac:dyDescent="0.75">
      <c r="B157" s="14"/>
    </row>
    <row r="158" spans="2:2" x14ac:dyDescent="0.75">
      <c r="B158" s="14"/>
    </row>
    <row r="159" spans="2:2" x14ac:dyDescent="0.75">
      <c r="B159" s="14"/>
    </row>
    <row r="160" spans="2:2" x14ac:dyDescent="0.75">
      <c r="B160" s="14"/>
    </row>
    <row r="161" spans="2:2" x14ac:dyDescent="0.75">
      <c r="B161" s="14"/>
    </row>
    <row r="162" spans="2:2" x14ac:dyDescent="0.75">
      <c r="B162" s="14"/>
    </row>
    <row r="163" spans="2:2" x14ac:dyDescent="0.75">
      <c r="B163" s="14"/>
    </row>
    <row r="164" spans="2:2" x14ac:dyDescent="0.75">
      <c r="B164" s="14"/>
    </row>
    <row r="165" spans="2:2" x14ac:dyDescent="0.75">
      <c r="B165" s="14"/>
    </row>
    <row r="166" spans="2:2" x14ac:dyDescent="0.75">
      <c r="B166" s="14"/>
    </row>
    <row r="167" spans="2:2" x14ac:dyDescent="0.75">
      <c r="B167" s="14"/>
    </row>
    <row r="168" spans="2:2" x14ac:dyDescent="0.75">
      <c r="B168" s="14"/>
    </row>
    <row r="169" spans="2:2" x14ac:dyDescent="0.75">
      <c r="B169" s="14"/>
    </row>
    <row r="170" spans="2:2" x14ac:dyDescent="0.75">
      <c r="B170" s="14"/>
    </row>
    <row r="171" spans="2:2" x14ac:dyDescent="0.75">
      <c r="B171" s="14"/>
    </row>
    <row r="172" spans="2:2" x14ac:dyDescent="0.75">
      <c r="B172" s="14"/>
    </row>
    <row r="173" spans="2:2" x14ac:dyDescent="0.75">
      <c r="B173" s="14"/>
    </row>
    <row r="174" spans="2:2" x14ac:dyDescent="0.75">
      <c r="B174" s="14"/>
    </row>
    <row r="175" spans="2:2" x14ac:dyDescent="0.75">
      <c r="B175" s="14"/>
    </row>
    <row r="176" spans="2:2" x14ac:dyDescent="0.75">
      <c r="B176" s="14"/>
    </row>
    <row r="177" spans="2:2" x14ac:dyDescent="0.75">
      <c r="B177" s="14"/>
    </row>
    <row r="178" spans="2:2" x14ac:dyDescent="0.75">
      <c r="B178" s="14"/>
    </row>
    <row r="179" spans="2:2" x14ac:dyDescent="0.75">
      <c r="B179" s="14"/>
    </row>
    <row r="180" spans="2:2" x14ac:dyDescent="0.75">
      <c r="B180" s="14"/>
    </row>
    <row r="181" spans="2:2" x14ac:dyDescent="0.75">
      <c r="B181" s="14"/>
    </row>
    <row r="182" spans="2:2" x14ac:dyDescent="0.75">
      <c r="B182" s="14"/>
    </row>
    <row r="183" spans="2:2" x14ac:dyDescent="0.75">
      <c r="B183" s="14"/>
    </row>
    <row r="184" spans="2:2" x14ac:dyDescent="0.75">
      <c r="B184" s="14"/>
    </row>
    <row r="185" spans="2:2" x14ac:dyDescent="0.75">
      <c r="B185" s="14"/>
    </row>
    <row r="186" spans="2:2" x14ac:dyDescent="0.75">
      <c r="B186" s="14"/>
    </row>
    <row r="187" spans="2:2" x14ac:dyDescent="0.75">
      <c r="B187" s="14"/>
    </row>
    <row r="188" spans="2:2" x14ac:dyDescent="0.75">
      <c r="B188" s="14"/>
    </row>
    <row r="189" spans="2:2" x14ac:dyDescent="0.75">
      <c r="B189" s="14"/>
    </row>
    <row r="190" spans="2:2" x14ac:dyDescent="0.75">
      <c r="B190" s="14"/>
    </row>
    <row r="191" spans="2:2" x14ac:dyDescent="0.75">
      <c r="B191" s="14"/>
    </row>
    <row r="192" spans="2:2" x14ac:dyDescent="0.75">
      <c r="B192" s="14"/>
    </row>
    <row r="193" spans="2:2" x14ac:dyDescent="0.75">
      <c r="B193" s="14"/>
    </row>
    <row r="194" spans="2:2" x14ac:dyDescent="0.75">
      <c r="B194" s="14"/>
    </row>
    <row r="195" spans="2:2" x14ac:dyDescent="0.75">
      <c r="B195" s="14"/>
    </row>
    <row r="196" spans="2:2" x14ac:dyDescent="0.75">
      <c r="B196" s="14"/>
    </row>
    <row r="197" spans="2:2" x14ac:dyDescent="0.75">
      <c r="B197" s="14"/>
    </row>
    <row r="198" spans="2:2" x14ac:dyDescent="0.75">
      <c r="B198" s="14"/>
    </row>
    <row r="199" spans="2:2" x14ac:dyDescent="0.75">
      <c r="B199" s="14"/>
    </row>
    <row r="200" spans="2:2" x14ac:dyDescent="0.75">
      <c r="B200" s="14"/>
    </row>
    <row r="201" spans="2:2" x14ac:dyDescent="0.75">
      <c r="B201" s="14"/>
    </row>
    <row r="202" spans="2:2" x14ac:dyDescent="0.75">
      <c r="B202" s="14"/>
    </row>
    <row r="203" spans="2:2" x14ac:dyDescent="0.75">
      <c r="B203" s="14"/>
    </row>
    <row r="204" spans="2:2" x14ac:dyDescent="0.75">
      <c r="B204" s="14"/>
    </row>
    <row r="205" spans="2:2" x14ac:dyDescent="0.75">
      <c r="B205" s="14"/>
    </row>
    <row r="206" spans="2:2" x14ac:dyDescent="0.75">
      <c r="B206" s="14"/>
    </row>
    <row r="207" spans="2:2" x14ac:dyDescent="0.75">
      <c r="B207" s="14"/>
    </row>
    <row r="208" spans="2:2" x14ac:dyDescent="0.75">
      <c r="B208" s="14"/>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11969"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0F6FCC-CC6B-4F3D-8B6F-2F9955BC9416}">
  <sheetPr codeName="Foglio32">
    <tabColor theme="7" tint="0.39997558519241921"/>
  </sheetPr>
  <dimension ref="A1:L30"/>
  <sheetViews>
    <sheetView workbookViewId="0"/>
  </sheetViews>
  <sheetFormatPr defaultRowHeight="14.75" x14ac:dyDescent="0.75"/>
  <cols>
    <col min="1" max="1" width="16.54296875" customWidth="1"/>
    <col min="2" max="2" width="59.5" customWidth="1"/>
    <col min="3" max="3" width="44.6328125" customWidth="1"/>
    <col min="4" max="4" width="71.58984375" style="1" bestFit="1" customWidth="1"/>
    <col min="5" max="5" width="10.816406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11" x14ac:dyDescent="0.75">
      <c r="I1" s="32" t="s">
        <v>37</v>
      </c>
    </row>
    <row r="2" spans="1:11" x14ac:dyDescent="0.75">
      <c r="I2" s="33" t="s">
        <v>36</v>
      </c>
    </row>
    <row r="3" spans="1:11" ht="15.5" thickBot="1" x14ac:dyDescent="0.9">
      <c r="I3" s="33" t="str">
        <f>I1</f>
        <v>// -------------------------------------------------------------------------------</v>
      </c>
    </row>
    <row r="4" spans="1:11" x14ac:dyDescent="0.75">
      <c r="A4" s="6" t="s">
        <v>14</v>
      </c>
      <c r="B4" s="17" t="s">
        <v>374</v>
      </c>
      <c r="I4" s="25" t="str">
        <f>CONCATENATE("Logical: ",B4)</f>
        <v>Logical: ValidatorLabEhn</v>
      </c>
    </row>
    <row r="5" spans="1:11" x14ac:dyDescent="0.75">
      <c r="A5" s="18" t="s">
        <v>19</v>
      </c>
      <c r="B5" s="34" t="s">
        <v>415</v>
      </c>
      <c r="I5" s="25" t="str">
        <f>CONCATENATE("Id: ",B5)</f>
        <v>Id: Validator</v>
      </c>
    </row>
    <row r="6" spans="1:11" x14ac:dyDescent="0.75">
      <c r="A6" s="18" t="s">
        <v>13</v>
      </c>
      <c r="B6" s="19" t="s">
        <v>636</v>
      </c>
      <c r="I6" s="26" t="str">
        <f>CONCATENATE("Title: ##34#",B6,"##34#")</f>
        <v>Title: ##34#Result validator (A.1.7)##34#</v>
      </c>
    </row>
    <row r="7" spans="1:11" x14ac:dyDescent="0.75">
      <c r="A7" s="46" t="s">
        <v>5</v>
      </c>
      <c r="B7" s="58" t="s">
        <v>114</v>
      </c>
      <c r="C7" s="12"/>
      <c r="D7" s="2"/>
      <c r="E7" s="57"/>
      <c r="F7" s="3" t="s">
        <v>9</v>
      </c>
      <c r="G7" s="3" t="s">
        <v>10</v>
      </c>
      <c r="I7" s="26" t="str">
        <f>CONCATENATE("Description: "," ##334#",B7,"##334#",)</f>
        <v>Description:  ##334#A.1.7 Result validator##334#</v>
      </c>
    </row>
    <row r="8" spans="1:11" ht="74.5" customHeight="1" x14ac:dyDescent="0.75">
      <c r="A8" s="9">
        <v>1</v>
      </c>
      <c r="B8" s="9" t="s">
        <v>367</v>
      </c>
      <c r="C8" s="9" t="s">
        <v>377</v>
      </c>
      <c r="D8" s="14" t="s">
        <v>542</v>
      </c>
      <c r="E8" s="9">
        <v>0</v>
      </c>
      <c r="F8" s="9">
        <v>1</v>
      </c>
      <c r="G8" s="9" t="s">
        <v>0</v>
      </c>
      <c r="H8" s="23"/>
      <c r="I8" s="14" t="str">
        <f>CONCATENATE("* ",B8, " ",E8,"..",F8," ",G8," ##34#",C8,"##34# ##334#",D8,"##334#")</f>
        <v>* identifier 0..1 Identifier ##34#A.1.7.1 Result validator identifier##34# ##334#The health professional identification number. Either an internal identifier assign by a healthcare provider institution or (preferably) a national health professional ID such as the license or registration number.  - Preferred system(s): ##334#</v>
      </c>
    </row>
    <row r="9" spans="1:11" ht="80.75" customHeight="1" x14ac:dyDescent="0.75">
      <c r="A9" s="9">
        <v>2</v>
      </c>
      <c r="B9" s="9" t="s">
        <v>368</v>
      </c>
      <c r="C9" s="9" t="s">
        <v>543</v>
      </c>
      <c r="D9" s="14" t="s">
        <v>379</v>
      </c>
      <c r="E9" s="9">
        <v>0</v>
      </c>
      <c r="F9" s="9" t="s">
        <v>11</v>
      </c>
      <c r="G9" s="9" t="s">
        <v>414</v>
      </c>
      <c r="H9" s="23"/>
      <c r="I9" s="14" t="str">
        <f t="shared" ref="I9:I14" si="0">CONCATENATE("* ",B9, " ",E9,"..",F9," ",G9," ##34#",C9,"##34# ##334#",D9,"##334#")</f>
        <v>* name 0..* HumanName ##34#A.1.7.2 Result validator name##34# ##334#Person name. - Preferred system(s): ##334#</v>
      </c>
    </row>
    <row r="10" spans="1:11" ht="30.25" customHeight="1" x14ac:dyDescent="0.75">
      <c r="A10" s="9">
        <v>3</v>
      </c>
      <c r="B10" s="9" t="s">
        <v>369</v>
      </c>
      <c r="C10" s="9" t="s">
        <v>547</v>
      </c>
      <c r="D10" s="14" t="s">
        <v>380</v>
      </c>
      <c r="E10" s="9">
        <v>0</v>
      </c>
      <c r="F10" s="9" t="s">
        <v>11</v>
      </c>
      <c r="G10" s="9" t="s">
        <v>370</v>
      </c>
      <c r="H10" s="23"/>
      <c r="I10" s="14" t="str">
        <f t="shared" si="0"/>
        <v>* organization 0..* Organization ##34#A.1.7.3 Result validator organisation##34# ##334#The healthcare provider organisation information. - Preferred system(s): ##334#</v>
      </c>
    </row>
    <row r="11" spans="1:11" ht="45" customHeight="1" x14ac:dyDescent="0.75">
      <c r="A11" s="59">
        <v>4</v>
      </c>
      <c r="B11" s="59" t="s">
        <v>2</v>
      </c>
      <c r="C11" t="s">
        <v>378</v>
      </c>
      <c r="D11" s="60" t="s">
        <v>381</v>
      </c>
      <c r="E11" s="59">
        <v>0</v>
      </c>
      <c r="F11" s="59">
        <v>1</v>
      </c>
      <c r="G11" s="59" t="s">
        <v>2</v>
      </c>
      <c r="H11" s="23"/>
      <c r="I11" s="14" t="str">
        <f t="shared" si="0"/>
        <v>* dateTime 0..1 dateTime ##34#A.1.7.4 Validation date and time##34# ##334#Date and time when the document was validated. - Preferred system(s): ISO 8601##334#</v>
      </c>
    </row>
    <row r="12" spans="1:11" x14ac:dyDescent="0.75">
      <c r="A12" s="9">
        <v>5</v>
      </c>
      <c r="B12" s="9"/>
      <c r="C12" s="9"/>
      <c r="D12" s="14"/>
      <c r="E12" s="9"/>
      <c r="F12" s="9"/>
      <c r="G12" s="9"/>
      <c r="H12" s="23"/>
      <c r="I12" s="14" t="str">
        <f t="shared" si="0"/>
        <v>*  ..  ##34###34# ##334###334#</v>
      </c>
    </row>
    <row r="13" spans="1:11" x14ac:dyDescent="0.75">
      <c r="A13" s="9">
        <v>6</v>
      </c>
      <c r="B13" s="9"/>
      <c r="C13" s="16"/>
      <c r="D13" s="14"/>
      <c r="E13" s="9"/>
      <c r="F13" s="9"/>
      <c r="G13" s="9"/>
      <c r="H13" s="23"/>
      <c r="I13" s="14" t="str">
        <f t="shared" si="0"/>
        <v>*  ..  ##34###34# ##334###334#</v>
      </c>
    </row>
    <row r="14" spans="1:11" x14ac:dyDescent="0.75">
      <c r="A14" s="9">
        <v>7</v>
      </c>
      <c r="B14" s="9"/>
      <c r="C14" s="16"/>
      <c r="D14" s="52"/>
      <c r="E14" s="9"/>
      <c r="F14" s="9"/>
      <c r="G14" s="9"/>
      <c r="H14" s="23"/>
      <c r="I14" s="14" t="str">
        <f t="shared" si="0"/>
        <v>*  ..  ##34###34# ##334###334#</v>
      </c>
    </row>
    <row r="15" spans="1:11" x14ac:dyDescent="0.75">
      <c r="A15" s="9">
        <v>8</v>
      </c>
      <c r="B15" s="9"/>
      <c r="C15" s="9"/>
      <c r="D15" s="14"/>
      <c r="E15" s="9"/>
      <c r="F15" s="9"/>
      <c r="G15" s="9"/>
      <c r="H15" s="23"/>
      <c r="I15" s="14"/>
      <c r="J15" s="16"/>
      <c r="K15" s="9"/>
    </row>
    <row r="16" spans="1:11" ht="29.5" customHeight="1" x14ac:dyDescent="0.75">
      <c r="A16" s="9">
        <v>9</v>
      </c>
      <c r="B16" s="9"/>
      <c r="C16" s="9"/>
      <c r="D16" s="14"/>
      <c r="E16" s="9"/>
      <c r="F16" s="9"/>
      <c r="G16" s="53"/>
      <c r="H16" s="9"/>
      <c r="I16" s="14"/>
    </row>
    <row r="17" spans="2:9" x14ac:dyDescent="0.75">
      <c r="I17" s="14"/>
    </row>
    <row r="18" spans="2:9" x14ac:dyDescent="0.75">
      <c r="I18" s="14"/>
    </row>
    <row r="19" spans="2:9" x14ac:dyDescent="0.75">
      <c r="I19" s="14"/>
    </row>
    <row r="20" spans="2:9" x14ac:dyDescent="0.75">
      <c r="I20" s="14"/>
    </row>
    <row r="21" spans="2:9" x14ac:dyDescent="0.75">
      <c r="B21" t="str">
        <f t="shared" ref="B21" si="1">CONCATENATE(C21," ",D21)</f>
        <v xml:space="preserve"> </v>
      </c>
      <c r="I21"/>
    </row>
    <row r="25" spans="2:9" ht="15.5" thickBot="1" x14ac:dyDescent="0.9"/>
    <row r="26" spans="2:9" ht="16.75" customHeight="1" thickBot="1" x14ac:dyDescent="0.9">
      <c r="C26" s="91" t="s">
        <v>114</v>
      </c>
      <c r="D26" s="92"/>
      <c r="E26" s="92"/>
      <c r="F26" s="93"/>
    </row>
    <row r="27" spans="2:9" ht="384.75" thickBot="1" x14ac:dyDescent="0.9">
      <c r="B27" t="str">
        <f t="shared" ref="B27:B30" si="2">CONCATENATE(C27," ",D27)</f>
        <v>A.1.7.1 Result validator identifier</v>
      </c>
      <c r="C27" s="36" t="s">
        <v>115</v>
      </c>
      <c r="D27" s="39" t="s">
        <v>116</v>
      </c>
      <c r="E27" s="37" t="s">
        <v>544</v>
      </c>
      <c r="F27" s="42"/>
      <c r="I27" s="1" t="str">
        <f t="shared" ref="I27:I30" si="3">CONCATENATE(E27," - Preferred system(s): ",F27)</f>
        <v xml:space="preserve">The health professional identification number. Either an internal identifier assign by a healthcare provider institution or (preferably) a national health professional ID such as the license or registration number.  - Preferred system(s): </v>
      </c>
    </row>
    <row r="28" spans="2:9" ht="32.75" thickBot="1" x14ac:dyDescent="0.9">
      <c r="B28" t="str">
        <f t="shared" si="2"/>
        <v>A.1.7.2 Result validator name</v>
      </c>
      <c r="C28" s="36" t="s">
        <v>118</v>
      </c>
      <c r="D28" s="39" t="s">
        <v>545</v>
      </c>
      <c r="E28" s="37" t="s">
        <v>89</v>
      </c>
      <c r="F28" s="42"/>
      <c r="I28" s="1" t="str">
        <f t="shared" si="3"/>
        <v xml:space="preserve">Person name. - Preferred system(s): </v>
      </c>
    </row>
    <row r="29" spans="2:9" ht="112.75" thickBot="1" x14ac:dyDescent="0.9">
      <c r="B29" t="str">
        <f t="shared" si="2"/>
        <v xml:space="preserve">A.1.7.3 Result validator organisation </v>
      </c>
      <c r="C29" s="36" t="s">
        <v>120</v>
      </c>
      <c r="D29" s="39" t="s">
        <v>546</v>
      </c>
      <c r="E29" s="37" t="s">
        <v>122</v>
      </c>
      <c r="F29" s="42"/>
      <c r="I29" s="1" t="str">
        <f t="shared" si="3"/>
        <v xml:space="preserve">The healthcare provider organisation information. - Preferred system(s): </v>
      </c>
    </row>
    <row r="30" spans="2:9" ht="96.75" thickBot="1" x14ac:dyDescent="0.9">
      <c r="B30" t="str">
        <f t="shared" si="2"/>
        <v>A.1.7.4 Validation date and time</v>
      </c>
      <c r="C30" s="36" t="s">
        <v>123</v>
      </c>
      <c r="D30" s="39" t="s">
        <v>124</v>
      </c>
      <c r="E30" s="37" t="s">
        <v>125</v>
      </c>
      <c r="F30" s="39" t="s">
        <v>113</v>
      </c>
      <c r="I30" s="1" t="str">
        <f t="shared" si="3"/>
        <v>Date and time when the document was validated. - Preferred system(s): ISO 8601</v>
      </c>
    </row>
  </sheetData>
  <mergeCells count="1">
    <mergeCell ref="C26:F26"/>
  </mergeCells>
  <pageMargins left="0.7" right="0.7" top="0.75" bottom="0.75" header="0.3" footer="0.3"/>
  <pageSetup paperSize="9" orientation="portrait" r:id="rId1"/>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B7EA5E-E993-4C1F-BEDD-0F8C9E7DD3D9}">
  <sheetPr codeName="Foglio33"/>
  <dimension ref="A1:O26"/>
  <sheetViews>
    <sheetView workbookViewId="0"/>
  </sheetViews>
  <sheetFormatPr defaultRowHeight="14.75" x14ac:dyDescent="0.75"/>
  <cols>
    <col min="2" max="2" width="31.6796875" bestFit="1" customWidth="1"/>
    <col min="3" max="3" width="72.1328125" customWidth="1"/>
    <col min="4" max="4" width="8.04296875" customWidth="1"/>
    <col min="5" max="5" width="71.58984375" style="1" customWidth="1"/>
    <col min="6" max="6" width="10.76953125" customWidth="1"/>
    <col min="7" max="7" width="45.26953125" customWidth="1"/>
  </cols>
  <sheetData>
    <row r="1" spans="1:15" x14ac:dyDescent="0.75">
      <c r="E1" s="24" t="s">
        <v>37</v>
      </c>
      <c r="H1" s="10"/>
      <c r="I1" s="10"/>
      <c r="J1" s="10"/>
      <c r="K1" s="10"/>
      <c r="L1" s="10"/>
      <c r="M1" s="10"/>
      <c r="N1" s="10"/>
      <c r="O1" s="10"/>
    </row>
    <row r="2" spans="1:15" x14ac:dyDescent="0.75">
      <c r="E2" s="31" t="s">
        <v>38</v>
      </c>
      <c r="H2" s="10"/>
      <c r="I2" s="10"/>
      <c r="J2" s="10"/>
      <c r="K2" s="10"/>
      <c r="L2" s="10"/>
      <c r="M2" s="10"/>
      <c r="N2" s="10"/>
      <c r="O2" s="10"/>
    </row>
    <row r="3" spans="1:15" ht="15.5" thickBot="1" x14ac:dyDescent="0.9">
      <c r="E3" s="31" t="str">
        <f>E1</f>
        <v>// -------------------------------------------------------------------------------</v>
      </c>
      <c r="H3" s="10"/>
      <c r="I3" s="10"/>
      <c r="J3" s="10"/>
      <c r="K3" s="10"/>
      <c r="L3" s="10"/>
      <c r="M3" s="10"/>
      <c r="N3" s="10"/>
      <c r="O3" s="10"/>
    </row>
    <row r="4" spans="1:15" ht="15.5" thickBot="1" x14ac:dyDescent="0.9">
      <c r="B4" s="13" t="s">
        <v>34</v>
      </c>
      <c r="C4" s="7" t="s">
        <v>375</v>
      </c>
      <c r="E4" s="28" t="str">
        <f>CONCATENATE("Mapping: ",C4)</f>
        <v>Mapping: eHNLabValidator2Fhir</v>
      </c>
      <c r="G4" t="s">
        <v>20</v>
      </c>
      <c r="H4" s="10"/>
      <c r="I4" s="10"/>
      <c r="J4" s="10"/>
      <c r="K4" s="10"/>
      <c r="L4" s="10"/>
      <c r="M4" s="10"/>
      <c r="N4" s="10"/>
      <c r="O4" s="10"/>
    </row>
    <row r="5" spans="1:15" ht="15.5" thickBot="1" x14ac:dyDescent="0.9">
      <c r="B5" s="13" t="s">
        <v>19</v>
      </c>
      <c r="C5" s="5" t="s">
        <v>16</v>
      </c>
      <c r="E5" s="29" t="str">
        <f>CONCATENATE("Id: ",C5)</f>
        <v>Id: fhir</v>
      </c>
      <c r="G5" s="1" t="s">
        <v>21</v>
      </c>
      <c r="H5" s="10"/>
      <c r="I5" s="10"/>
      <c r="J5" s="10"/>
      <c r="K5" s="10"/>
      <c r="L5" s="10"/>
      <c r="M5" s="10"/>
      <c r="N5" s="10"/>
      <c r="O5" s="10"/>
    </row>
    <row r="6" spans="1:15" ht="15.5" thickBot="1" x14ac:dyDescent="0.9">
      <c r="B6" s="13" t="s">
        <v>13</v>
      </c>
      <c r="C6" s="22" t="s">
        <v>376</v>
      </c>
      <c r="E6" s="29" t="str">
        <f>CONCATENATE("Title: ##34#",C6,"##34#")</f>
        <v>Title: ##34#eHN Lab Validator model to FHIR R4 Map##34#</v>
      </c>
      <c r="G6" s="1" t="s">
        <v>22</v>
      </c>
      <c r="H6" s="10"/>
      <c r="I6" s="10"/>
      <c r="J6" s="10"/>
      <c r="K6" s="10"/>
      <c r="L6" s="10"/>
      <c r="M6" s="10"/>
      <c r="N6" s="10"/>
      <c r="O6" s="10"/>
    </row>
    <row r="7" spans="1:15" ht="15.5" thickBot="1" x14ac:dyDescent="0.9">
      <c r="B7" s="13" t="s">
        <v>35</v>
      </c>
      <c r="C7" s="11" t="str">
        <f>B9</f>
        <v>Validator</v>
      </c>
      <c r="E7" s="29" t="str">
        <f>CONCATENATE("Source: ",C7)</f>
        <v>Source: Validator</v>
      </c>
      <c r="G7" s="1" t="s">
        <v>23</v>
      </c>
      <c r="H7" s="10"/>
      <c r="I7" s="10"/>
      <c r="J7" s="10"/>
      <c r="K7" s="10"/>
      <c r="L7" s="10"/>
      <c r="M7" s="10"/>
      <c r="N7" s="10"/>
      <c r="O7" s="10"/>
    </row>
    <row r="8" spans="1:15" ht="15.5" thickBot="1" x14ac:dyDescent="0.9">
      <c r="B8" s="27" t="s">
        <v>18</v>
      </c>
      <c r="C8" t="s">
        <v>15</v>
      </c>
      <c r="E8" s="30" t="str">
        <f>CONCATENATE("Target: ##34#",C8,"##34#")</f>
        <v>Target: ##34#hl7.org/fhir/r4##34#</v>
      </c>
      <c r="G8" s="1" t="s">
        <v>24</v>
      </c>
      <c r="H8" s="10"/>
      <c r="I8" s="10"/>
      <c r="J8" s="10"/>
      <c r="K8" s="10"/>
      <c r="L8" s="10"/>
      <c r="M8" s="10"/>
      <c r="N8" s="10"/>
      <c r="O8" s="10"/>
    </row>
    <row r="9" spans="1:15" ht="29.5" x14ac:dyDescent="0.75">
      <c r="A9" s="9"/>
      <c r="B9" s="9" t="str">
        <f>'A1.7 Validator'!B5</f>
        <v>Validator</v>
      </c>
      <c r="C9" s="14" t="s">
        <v>409</v>
      </c>
      <c r="E9" s="4" t="str">
        <f>CONCATENATE("* -&gt; ##34#",C9,"##34#")</f>
        <v>* -&gt; ##34#Composition.attester.where(mode=http://hl7.org/fhir/composition-attestation-mode#professional)##34#</v>
      </c>
      <c r="H9" s="10"/>
      <c r="I9" s="10"/>
      <c r="J9" s="10"/>
      <c r="K9" s="10"/>
      <c r="L9" s="10"/>
      <c r="M9" s="10"/>
      <c r="N9" s="10"/>
      <c r="O9" s="10"/>
    </row>
    <row r="10" spans="1:15" x14ac:dyDescent="0.75">
      <c r="A10" s="9"/>
      <c r="B10" s="62" t="str">
        <f>'A1.7 Validator'!$B$8</f>
        <v>identifier</v>
      </c>
      <c r="C10" s="9" t="s">
        <v>586</v>
      </c>
      <c r="E10" s="14" t="str">
        <f t="shared" ref="E10:E19" si="0">IF(B10=0,"*  -&gt; ##34###34#",CONCATENATE("* ",B10," -&gt; ##34#",C10,"##34#"))</f>
        <v>* identifier -&gt; ##34#.party.resolve().ofType(PractictionerRole).identifier##34#</v>
      </c>
      <c r="G10" s="1" t="s">
        <v>25</v>
      </c>
      <c r="H10" s="10"/>
      <c r="I10" s="10"/>
      <c r="J10" s="10"/>
      <c r="K10" s="10"/>
      <c r="L10" s="10"/>
      <c r="M10" s="10"/>
      <c r="N10" s="10"/>
      <c r="O10" s="10"/>
    </row>
    <row r="11" spans="1:15" ht="44.25" x14ac:dyDescent="0.75">
      <c r="A11" s="9"/>
      <c r="B11" s="62" t="str">
        <f>'A1.7 Validator'!$B$8</f>
        <v>identifier</v>
      </c>
      <c r="C11" s="9" t="s">
        <v>587</v>
      </c>
      <c r="E11" s="14" t="str">
        <f t="shared" si="0"/>
        <v>* identifier -&gt; ##34#.party.resolve().ofType(PractictionerRole).practictioner.resolve().identifier##34#</v>
      </c>
      <c r="G11" s="1"/>
      <c r="H11" s="10"/>
      <c r="I11" s="10"/>
      <c r="J11" s="10"/>
      <c r="K11" s="10"/>
      <c r="L11" s="10"/>
      <c r="M11" s="10"/>
      <c r="N11" s="10"/>
      <c r="O11" s="10"/>
    </row>
    <row r="12" spans="1:15" ht="29.5" x14ac:dyDescent="0.75">
      <c r="A12" s="9"/>
      <c r="B12" s="9" t="str">
        <f>'A1.7 Validator'!B9</f>
        <v>name</v>
      </c>
      <c r="C12" s="9" t="s">
        <v>588</v>
      </c>
      <c r="E12" s="14" t="str">
        <f t="shared" si="0"/>
        <v>* name -&gt; ##34#.party.resolve().ofType(PractictionerRole).practictioner.resolve().name##34#</v>
      </c>
      <c r="G12" s="1" t="s">
        <v>26</v>
      </c>
      <c r="H12" s="10"/>
      <c r="I12" s="10"/>
      <c r="J12" s="10"/>
      <c r="K12" s="10"/>
      <c r="L12" s="10"/>
      <c r="M12" s="10"/>
      <c r="N12" s="10"/>
      <c r="O12" s="10"/>
    </row>
    <row r="13" spans="1:15" ht="44.25" x14ac:dyDescent="0.75">
      <c r="A13" s="9"/>
      <c r="B13" s="62" t="str">
        <f>'A1.7 Validator'!$B$10</f>
        <v>organization</v>
      </c>
      <c r="C13" s="9" t="s">
        <v>589</v>
      </c>
      <c r="E13" s="14" t="str">
        <f t="shared" si="0"/>
        <v>* organization -&gt; ##34#.party.resolve().ofType(PractictionerRole).organization.resolve()##34#</v>
      </c>
      <c r="G13" s="1" t="s">
        <v>27</v>
      </c>
      <c r="H13" s="10"/>
      <c r="I13" s="10"/>
      <c r="J13" s="10"/>
      <c r="K13" s="10"/>
      <c r="L13" s="10"/>
      <c r="M13" s="10"/>
      <c r="N13" s="10"/>
      <c r="O13" s="10"/>
    </row>
    <row r="14" spans="1:15" x14ac:dyDescent="0.75">
      <c r="A14" s="9"/>
      <c r="B14" s="62" t="str">
        <f>'A1.7 Validator'!$B$10</f>
        <v>organization</v>
      </c>
      <c r="C14" s="9" t="s">
        <v>590</v>
      </c>
      <c r="E14" s="14" t="str">
        <f t="shared" si="0"/>
        <v>* organization -&gt; ##34#.party.resolve().ofType(Organization)##34#</v>
      </c>
      <c r="G14" s="1"/>
      <c r="H14" s="10"/>
      <c r="I14" s="10"/>
      <c r="J14" s="10"/>
      <c r="K14" s="10"/>
      <c r="L14" s="10"/>
      <c r="M14" s="10"/>
      <c r="N14" s="10"/>
      <c r="O14" s="10"/>
    </row>
    <row r="15" spans="1:15" x14ac:dyDescent="0.75">
      <c r="A15" s="9"/>
      <c r="B15" s="9" t="str">
        <f>'A1.7 Validator'!B11</f>
        <v>dateTime</v>
      </c>
      <c r="C15" s="9" t="s">
        <v>591</v>
      </c>
      <c r="E15" s="14" t="str">
        <f t="shared" si="0"/>
        <v>* dateTime -&gt; ##34#.time##34#</v>
      </c>
      <c r="G15" s="1" t="s">
        <v>28</v>
      </c>
      <c r="H15" s="10"/>
      <c r="I15" s="10"/>
      <c r="J15" s="10"/>
      <c r="K15" s="10"/>
      <c r="L15" s="10"/>
      <c r="M15" s="10"/>
      <c r="N15" s="10"/>
      <c r="O15" s="10"/>
    </row>
    <row r="16" spans="1:15" x14ac:dyDescent="0.75">
      <c r="A16" s="9"/>
      <c r="B16" s="9">
        <f>'A1.7 Validator'!B12</f>
        <v>0</v>
      </c>
      <c r="C16" s="9"/>
      <c r="E16" s="14" t="str">
        <f t="shared" si="0"/>
        <v>*  -&gt; ##34###34#</v>
      </c>
      <c r="G16" s="1" t="s">
        <v>29</v>
      </c>
      <c r="H16" s="10"/>
      <c r="I16" s="10"/>
      <c r="J16" s="10"/>
      <c r="K16" s="10"/>
      <c r="L16" s="10"/>
      <c r="M16" s="10"/>
      <c r="N16" s="10"/>
      <c r="O16" s="10"/>
    </row>
    <row r="17" spans="1:15" ht="29.5" x14ac:dyDescent="0.75">
      <c r="A17" s="9"/>
      <c r="B17" s="9">
        <f>'A1.7 Validator'!B13</f>
        <v>0</v>
      </c>
      <c r="C17" s="9"/>
      <c r="E17" s="14" t="str">
        <f t="shared" si="0"/>
        <v>*  -&gt; ##34###34#</v>
      </c>
      <c r="G17" s="1" t="s">
        <v>30</v>
      </c>
      <c r="H17" s="10"/>
      <c r="I17" s="10"/>
      <c r="J17" s="10"/>
      <c r="K17" s="10"/>
      <c r="L17" s="10"/>
      <c r="M17" s="10"/>
      <c r="N17" s="10"/>
      <c r="O17" s="10"/>
    </row>
    <row r="18" spans="1:15" ht="29.5" x14ac:dyDescent="0.75">
      <c r="A18" s="9"/>
      <c r="B18" s="9"/>
      <c r="C18" s="9"/>
      <c r="E18" s="14" t="str">
        <f t="shared" si="0"/>
        <v>*  -&gt; ##34###34#</v>
      </c>
      <c r="G18" s="1" t="s">
        <v>31</v>
      </c>
      <c r="H18" s="10"/>
      <c r="I18" s="10"/>
      <c r="J18" s="10"/>
      <c r="K18" s="10"/>
      <c r="L18" s="10"/>
      <c r="M18" s="10"/>
      <c r="N18" s="10"/>
      <c r="O18" s="10"/>
    </row>
    <row r="19" spans="1:15" ht="29.5" x14ac:dyDescent="0.75">
      <c r="A19" s="9"/>
      <c r="B19" s="9"/>
      <c r="C19" s="9"/>
      <c r="E19" s="14" t="str">
        <f t="shared" si="0"/>
        <v>*  -&gt; ##34###34#</v>
      </c>
      <c r="G19" s="1" t="s">
        <v>32</v>
      </c>
    </row>
    <row r="20" spans="1:15" x14ac:dyDescent="0.75">
      <c r="A20" s="9"/>
      <c r="B20" s="9"/>
      <c r="C20" s="9"/>
      <c r="E20" s="14" t="str">
        <f t="shared" ref="E20" si="1">IF(B20=0,"*  -&gt; ##34###34#",CONCATENATE("* ",B20," -&gt; ##34#",C20,"##34#"))</f>
        <v>*  -&gt; ##34###34#</v>
      </c>
      <c r="G20" s="1" t="s">
        <v>33</v>
      </c>
    </row>
    <row r="21" spans="1:15" x14ac:dyDescent="0.75">
      <c r="A21" s="9"/>
      <c r="B21" s="9"/>
      <c r="C21" s="9"/>
      <c r="E21" s="14"/>
    </row>
    <row r="22" spans="1:15" x14ac:dyDescent="0.75">
      <c r="A22" s="9"/>
      <c r="B22" s="9"/>
      <c r="C22" s="14"/>
      <c r="E22" s="14"/>
    </row>
    <row r="23" spans="1:15" x14ac:dyDescent="0.75">
      <c r="B23" s="9"/>
      <c r="E23" s="14"/>
    </row>
    <row r="24" spans="1:15" x14ac:dyDescent="0.75">
      <c r="B24" s="9"/>
      <c r="E24" s="14"/>
    </row>
    <row r="25" spans="1:15" x14ac:dyDescent="0.75">
      <c r="E25" s="14"/>
    </row>
    <row r="26" spans="1:15" x14ac:dyDescent="0.75">
      <c r="E26" s="22"/>
    </row>
  </sheetData>
  <pageMargins left="0.7" right="0.7" top="0.75" bottom="0.75" header="0.3" footer="0.3"/>
</worksheet>
</file>

<file path=xl/worksheets/sheet3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620E02-E278-4E62-BD4C-DE92F11BEA40}">
  <sheetPr codeName="Foglio10">
    <tabColor theme="8" tint="-0.249977111117893"/>
  </sheetPr>
  <dimension ref="C1:G50"/>
  <sheetViews>
    <sheetView workbookViewId="0"/>
  </sheetViews>
  <sheetFormatPr defaultRowHeight="14.75" x14ac:dyDescent="0.75"/>
  <cols>
    <col min="3" max="3" width="108.2265625" style="14" customWidth="1"/>
    <col min="4" max="4" width="5.26953125" customWidth="1"/>
    <col min="5" max="5" width="4.81640625" customWidth="1"/>
    <col min="7" max="7" width="37.08984375" customWidth="1"/>
  </cols>
  <sheetData>
    <row r="1" spans="3:7" ht="15.5" thickBot="1" x14ac:dyDescent="0.9">
      <c r="C1" s="32" t="str">
        <f>'A1.7 Validator'!I1</f>
        <v>// -------------------------------------------------------------------------------</v>
      </c>
    </row>
    <row r="2" spans="3:7" ht="16.75" thickBot="1" x14ac:dyDescent="0.9">
      <c r="C2" s="33" t="str">
        <f>'A1.7 Validator'!I2</f>
        <v>//  Logical Model</v>
      </c>
      <c r="G2" s="56" t="s">
        <v>382</v>
      </c>
    </row>
    <row r="3" spans="3:7" x14ac:dyDescent="0.75">
      <c r="C3" s="33" t="str">
        <f>'A1.7 Validator'!I3</f>
        <v>// -------------------------------------------------------------------------------</v>
      </c>
    </row>
    <row r="4" spans="3:7" x14ac:dyDescent="0.75">
      <c r="C4" s="25" t="str">
        <f>'A1.7 Validator'!I4</f>
        <v>Logical: ValidatorLabEhn</v>
      </c>
    </row>
    <row r="5" spans="3:7" x14ac:dyDescent="0.75">
      <c r="C5" s="25" t="str">
        <f>'A1.7 Validator'!I5</f>
        <v>Id: Validator</v>
      </c>
    </row>
    <row r="6" spans="3:7" x14ac:dyDescent="0.75">
      <c r="C6" s="25" t="str">
        <f>'A1.7 Validator'!I6</f>
        <v>Title: ##34#Result validator (A.1.7)##34#</v>
      </c>
    </row>
    <row r="7" spans="3:7" x14ac:dyDescent="0.75">
      <c r="C7" s="25" t="str">
        <f>'A1.7 Validator'!I7</f>
        <v>Description:  ##334#A.1.7 Result validator##334#</v>
      </c>
    </row>
    <row r="8" spans="3:7" ht="44.25" x14ac:dyDescent="0.75">
      <c r="C8" s="14" t="str">
        <f>IF('A1.7 Validator'!I8="*  ..  ##34###34# ##334###334#","//--- END",'A1.7 Validator'!I8)</f>
        <v>* identifier 0..1 Identifier ##34#A.1.7.1 Result validator identifier##34# ##334#The health professional identification number. Either an internal identifier assign by a healthcare provider institution or (preferably) a national health professional ID such as the license or registration number.  - Preferred system(s): ##334#</v>
      </c>
    </row>
    <row r="9" spans="3:7" x14ac:dyDescent="0.75">
      <c r="C9" s="14" t="str">
        <f>IF('A1.7 Validator'!I9="*  ..  ##34###34# ##334###334#","//--- END",'A1.7 Validator'!I9)</f>
        <v>* name 0..* HumanName ##34#A.1.7.2 Result validator name##34# ##334#Person name. - Preferred system(s): ##334#</v>
      </c>
    </row>
    <row r="10" spans="3:7" ht="29.5" x14ac:dyDescent="0.75">
      <c r="C10" s="14" t="str">
        <f>IF('A1.7 Validator'!I10="*  ..  ##34###34# ##334###334#","//--- END",'A1.7 Validator'!I10)</f>
        <v>* organization 0..* Organization ##34#A.1.7.3 Result validator organisation##34# ##334#The healthcare provider organisation information. - Preferred system(s): ##334#</v>
      </c>
      <c r="E10" t="s">
        <v>307</v>
      </c>
    </row>
    <row r="11" spans="3:7" ht="29.5" x14ac:dyDescent="0.75">
      <c r="C11" s="14" t="str">
        <f>IF('A1.7 Validator'!I11="*  ..  ##34###34# ##334###334#","//--- END",'A1.7 Validator'!I11)</f>
        <v>* dateTime 0..1 dateTime ##34#A.1.7.4 Validation date and time##34# ##334#Date and time when the document was validated. - Preferred system(s): ISO 8601##334#</v>
      </c>
    </row>
    <row r="12" spans="3:7" x14ac:dyDescent="0.75">
      <c r="C12" s="14" t="str">
        <f>IF('A1.7 Validator'!I12="*  ..  ##34###34# ##334###334#","//--- END",'A1.7 Validator'!I12)</f>
        <v>//--- END</v>
      </c>
    </row>
    <row r="13" spans="3:7" x14ac:dyDescent="0.75">
      <c r="C13" s="14" t="str">
        <f>IF('A1.7 Validator'!I13="*  ..  ##34###34# ##334###334#","//--- END",'A1.7 Validator'!I13)</f>
        <v>//--- END</v>
      </c>
    </row>
    <row r="14" spans="3:7" x14ac:dyDescent="0.75">
      <c r="C14" s="14" t="str">
        <f>IF('A1.7 Validator'!I14="*  ..  ##34###34# ##334###334#","//--- END",'A1.7 Validator'!I14)</f>
        <v>//--- END</v>
      </c>
    </row>
    <row r="30" spans="3:3" x14ac:dyDescent="0.75">
      <c r="C30" s="32" t="str">
        <f>'Validator-Map-1'!E1</f>
        <v>// -------------------------------------------------------------------------------</v>
      </c>
    </row>
    <row r="31" spans="3:3" x14ac:dyDescent="0.75">
      <c r="C31" s="33" t="str">
        <f>'Validator-Map-1'!E2</f>
        <v>//  Map to FHIR R4</v>
      </c>
    </row>
    <row r="32" spans="3:3" x14ac:dyDescent="0.75">
      <c r="C32" s="33" t="str">
        <f>'Validator-Map-1'!E3</f>
        <v>// -------------------------------------------------------------------------------</v>
      </c>
    </row>
    <row r="33" spans="3:7" x14ac:dyDescent="0.75">
      <c r="C33" s="14" t="str">
        <f>'Validator-Map-1'!E4</f>
        <v>Mapping: eHNLabValidator2Fhir</v>
      </c>
    </row>
    <row r="34" spans="3:7" x14ac:dyDescent="0.75">
      <c r="C34" s="14" t="str">
        <f>'Validator-Map-1'!E5</f>
        <v>Id: fhir</v>
      </c>
    </row>
    <row r="35" spans="3:7" x14ac:dyDescent="0.75">
      <c r="C35" s="14" t="str">
        <f>'Validator-Map-1'!E6</f>
        <v>Title: ##34#eHN Lab Validator model to FHIR R4 Map##34#</v>
      </c>
    </row>
    <row r="36" spans="3:7" x14ac:dyDescent="0.75">
      <c r="C36" s="14" t="str">
        <f>'Validator-Map-1'!E7</f>
        <v>Source: Validator</v>
      </c>
    </row>
    <row r="37" spans="3:7" x14ac:dyDescent="0.75">
      <c r="C37" s="14" t="str">
        <f>'Validator-Map-1'!E8</f>
        <v>Target: ##34#hl7.org/fhir/r4##34#</v>
      </c>
    </row>
    <row r="39" spans="3:7" x14ac:dyDescent="0.75">
      <c r="C39" s="14" t="str">
        <f>'Validator-Map-1'!E9</f>
        <v>* -&gt; ##34#Composition.attester.where(mode=http://hl7.org/fhir/composition-attestation-mode#professional)##34#</v>
      </c>
    </row>
    <row r="40" spans="3:7" x14ac:dyDescent="0.75">
      <c r="C40" s="14" t="str">
        <f>IF('Validator-Map-1'!E10="*  -&gt; ##34###34#","// --END",'Validator-Map-1'!E10)</f>
        <v>* identifier -&gt; ##34#.party.resolve().ofType(PractictionerRole).identifier##34#</v>
      </c>
    </row>
    <row r="41" spans="3:7" x14ac:dyDescent="0.75">
      <c r="C41" s="14" t="str">
        <f>IF('Validator-Map-1'!E11="*  -&gt; ##34###34#","// --END",'Validator-Map-1'!E11)</f>
        <v>* identifier -&gt; ##34#.party.resolve().ofType(PractictionerRole).practictioner.resolve().identifier##34#</v>
      </c>
    </row>
    <row r="42" spans="3:7" x14ac:dyDescent="0.75">
      <c r="C42" s="14" t="str">
        <f>IF('Validator-Map-1'!E12="*  -&gt; ##34###34#","// --END",'Validator-Map-1'!E12)</f>
        <v>* name -&gt; ##34#.party.resolve().ofType(PractictionerRole).practictioner.resolve().name##34#</v>
      </c>
    </row>
    <row r="43" spans="3:7" x14ac:dyDescent="0.75">
      <c r="C43" s="14" t="str">
        <f>IF('Validator-Map-1'!E13="*  -&gt; ##34###34#","// --END",'Validator-Map-1'!E13)</f>
        <v>* organization -&gt; ##34#.party.resolve().ofType(PractictionerRole).organization.resolve()##34#</v>
      </c>
    </row>
    <row r="44" spans="3:7" x14ac:dyDescent="0.75">
      <c r="C44" s="14" t="str">
        <f>IF('Validator-Map-1'!E14="*  -&gt; ##34###34#","// --END",'Validator-Map-1'!E14)</f>
        <v>* organization -&gt; ##34#.party.resolve().ofType(Organization)##34#</v>
      </c>
    </row>
    <row r="45" spans="3:7" x14ac:dyDescent="0.75">
      <c r="C45" s="14" t="str">
        <f>IF('Validator-Map-1'!E15="*  -&gt; ##34###34#","// --END",'Validator-Map-1'!E15)</f>
        <v>* dateTime -&gt; ##34#.time##34#</v>
      </c>
    </row>
    <row r="46" spans="3:7" x14ac:dyDescent="0.75">
      <c r="C46" s="14" t="str">
        <f>IF('Validator-Map-1'!E16="*  -&gt; ##34###34#","// --END",'Validator-Map-1'!E16)</f>
        <v>// --END</v>
      </c>
    </row>
    <row r="47" spans="3:7" x14ac:dyDescent="0.75">
      <c r="C47" s="14" t="str">
        <f>IF('Validator-Map-1'!E17="*  -&gt; ##34###34#","// --END",'Validator-Map-1'!E17)</f>
        <v>// --END</v>
      </c>
    </row>
    <row r="48" spans="3:7" x14ac:dyDescent="0.75">
      <c r="C48" s="14" t="str">
        <f>IF('Validator-Map-1'!E18="*  -&gt; ##34###34#","// --END",'Validator-Map-1'!E18)</f>
        <v>// --END</v>
      </c>
      <c r="G48" s="10"/>
    </row>
    <row r="49" spans="3:3" x14ac:dyDescent="0.75">
      <c r="C49" s="14" t="str">
        <f>IF('Validator-Map-1'!E19="*  -&gt; ##34###34#","// --END",'Validator-Map-1'!E19)</f>
        <v>// --END</v>
      </c>
    </row>
    <row r="50" spans="3:3" x14ac:dyDescent="0.75">
      <c r="C50" s="14" t="str">
        <f>IF('Validator-Map-1'!E20="*  -&gt; ##34###34#","// --END",'Validator-Map-1'!E20)</f>
        <v>// --END</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4513" r:id="rId3" name="Button 1">
              <controlPr defaultSize="0" print="0" autoFill="0" autoPict="0" macro="[0]!export">
                <anchor moveWithCells="1">
                  <from>
                    <xdr:col>4</xdr:col>
                    <xdr:colOff>222250</xdr:colOff>
                    <xdr:row>0</xdr:row>
                    <xdr:rowOff>171450</xdr:rowOff>
                  </from>
                  <to>
                    <xdr:col>5</xdr:col>
                    <xdr:colOff>558800</xdr:colOff>
                    <xdr:row>2</xdr:row>
                    <xdr:rowOff>44450</xdr:rowOff>
                  </to>
                </anchor>
              </controlPr>
            </control>
          </mc:Choice>
        </mc:AlternateContent>
      </controls>
    </mc:Choice>
  </mc:AlternateContent>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8D6A19-6DCF-4E8B-B462-D04D3BEA7A05}">
  <sheetPr codeName="Foglio53">
    <tabColor theme="0" tint="-0.499984740745262"/>
  </sheetPr>
  <dimension ref="A2:T47"/>
  <sheetViews>
    <sheetView workbookViewId="0">
      <selection activeCell="D15" sqref="D15:D18"/>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73" t="s">
        <v>34</v>
      </c>
      <c r="C3" s="54" t="s">
        <v>790</v>
      </c>
      <c r="D3" s="73" t="s">
        <v>688</v>
      </c>
      <c r="E3" s="112" t="str">
        <f>"http://hl7.eu/fhir/laboratory/StructureDefinition/"&amp;'A1.7 Validator'!B5</f>
        <v>http://hl7.eu/fhir/laboratory/StructureDefinition/Validator</v>
      </c>
      <c r="F3" s="111"/>
      <c r="G3" s="111"/>
    </row>
    <row r="4" spans="1:19" x14ac:dyDescent="0.75">
      <c r="B4" s="73" t="s">
        <v>19</v>
      </c>
      <c r="C4" s="54" t="s">
        <v>774</v>
      </c>
      <c r="D4" s="73" t="s">
        <v>689</v>
      </c>
      <c r="E4" s="112" t="s">
        <v>693</v>
      </c>
      <c r="F4" s="111"/>
      <c r="G4" s="111"/>
    </row>
    <row r="5" spans="1:19" x14ac:dyDescent="0.75">
      <c r="B5" s="73" t="s">
        <v>13</v>
      </c>
      <c r="C5" s="10" t="s">
        <v>775</v>
      </c>
      <c r="D5" s="73"/>
      <c r="E5" s="10"/>
    </row>
    <row r="6" spans="1:19" x14ac:dyDescent="0.75">
      <c r="B6" s="73" t="s">
        <v>35</v>
      </c>
      <c r="C6" s="72"/>
      <c r="D6" s="73" t="s">
        <v>685</v>
      </c>
      <c r="E6" s="112" t="str">
        <f>E3</f>
        <v>http://hl7.eu/fhir/laboratory/StructureDefinition/Validator</v>
      </c>
      <c r="F6" s="111"/>
      <c r="G6" s="111"/>
    </row>
    <row r="7" spans="1:19" x14ac:dyDescent="0.75">
      <c r="B7" s="73" t="s">
        <v>18</v>
      </c>
      <c r="C7" s="80"/>
      <c r="D7" s="73" t="s">
        <v>686</v>
      </c>
      <c r="E7" s="112" t="str">
        <f>E4</f>
        <v>http://hl7.eu/fhir/laboratory/StructureDefinition/Composition-eu-lab</v>
      </c>
      <c r="F7" s="111"/>
      <c r="G7" s="111"/>
    </row>
    <row r="8" spans="1:19" ht="44.25" x14ac:dyDescent="0.75">
      <c r="B8" s="73" t="s">
        <v>679</v>
      </c>
      <c r="C8" s="10" t="s">
        <v>776</v>
      </c>
      <c r="D8" s="73"/>
      <c r="E8"/>
      <c r="I8" s="14" t="s">
        <v>647</v>
      </c>
      <c r="J8" s="14" t="s">
        <v>648</v>
      </c>
      <c r="K8" s="14" t="s">
        <v>649</v>
      </c>
      <c r="L8" s="14" t="s">
        <v>650</v>
      </c>
      <c r="M8" s="9" t="s">
        <v>651</v>
      </c>
      <c r="P8" s="69" t="s">
        <v>652</v>
      </c>
      <c r="Q8" s="69">
        <v>6</v>
      </c>
    </row>
    <row r="9" spans="1:19" ht="29.5" x14ac:dyDescent="0.75">
      <c r="B9" s="73" t="s">
        <v>680</v>
      </c>
      <c r="C9" s="1" t="s">
        <v>777</v>
      </c>
      <c r="D9" s="73"/>
      <c r="E9"/>
      <c r="I9" s="14"/>
      <c r="J9" s="9"/>
      <c r="K9" s="9"/>
      <c r="L9" s="9"/>
      <c r="M9" s="9"/>
    </row>
    <row r="10" spans="1:19" x14ac:dyDescent="0.75">
      <c r="B10" s="73"/>
      <c r="D10" s="73"/>
      <c r="E10"/>
      <c r="I10" s="14"/>
      <c r="J10" s="9"/>
      <c r="K10" s="9"/>
      <c r="L10" s="9"/>
      <c r="M10" s="9"/>
    </row>
    <row r="11" spans="1:19" x14ac:dyDescent="0.75">
      <c r="E11" s="10"/>
      <c r="I11" s="25" t="s">
        <v>653</v>
      </c>
      <c r="J11" s="70" t="s">
        <v>654</v>
      </c>
      <c r="K11" s="25" t="s">
        <v>655</v>
      </c>
      <c r="L11" s="70" t="s">
        <v>656</v>
      </c>
      <c r="M11" s="71" t="s">
        <v>657</v>
      </c>
      <c r="N11" s="74" t="s">
        <v>644</v>
      </c>
    </row>
    <row r="12" spans="1:19" x14ac:dyDescent="0.75">
      <c r="E12" s="72"/>
      <c r="I12" s="14"/>
      <c r="J12" s="9"/>
      <c r="K12" s="9"/>
      <c r="L12" s="9"/>
      <c r="M12" s="9"/>
    </row>
    <row r="13" spans="1:19" x14ac:dyDescent="0.75">
      <c r="D13" s="14"/>
      <c r="E13" s="9"/>
      <c r="F13" s="71" t="s">
        <v>657</v>
      </c>
      <c r="G13" s="74" t="s">
        <v>644</v>
      </c>
      <c r="H13" s="74"/>
      <c r="I13" s="14"/>
      <c r="J13" s="9"/>
      <c r="K13" s="71"/>
      <c r="L13" s="71"/>
      <c r="M13" s="71"/>
      <c r="N13" s="74"/>
    </row>
    <row r="14" spans="1:19" x14ac:dyDescent="0.75">
      <c r="A14" s="23"/>
      <c r="B14" s="8" t="str">
        <f>'A1.7 Validator'!B5</f>
        <v>Validator</v>
      </c>
      <c r="C14" s="9"/>
      <c r="D14" t="s">
        <v>807</v>
      </c>
      <c r="E14" s="8"/>
      <c r="F14" s="9"/>
      <c r="G14" s="9"/>
      <c r="I14" s="14"/>
      <c r="J14" s="9"/>
      <c r="K14" s="9"/>
      <c r="L14" s="9"/>
      <c r="M14" s="71"/>
      <c r="N14" s="74"/>
    </row>
    <row r="15" spans="1:19" ht="73.75" x14ac:dyDescent="0.75">
      <c r="A15" s="23"/>
      <c r="B15" s="9" t="str">
        <f>'A1.7 Validator'!B8</f>
        <v>identifier</v>
      </c>
      <c r="C15" s="9" t="str">
        <f>'A1.7 Validator'!C8</f>
        <v>A.1.7.1 Result validator identifier</v>
      </c>
      <c r="D15" s="14" t="s">
        <v>808</v>
      </c>
      <c r="E15" s="9"/>
      <c r="F15" s="75" t="s">
        <v>658</v>
      </c>
      <c r="G15" s="75"/>
      <c r="H15" s="76"/>
      <c r="I15" s="14" t="str">
        <f>"* group[=].element[+].code = #"&amp;$B$14&amp;"."&amp;B15</f>
        <v>* group[=].element[+].code = #Validator.identifier</v>
      </c>
      <c r="J15" s="14" t="str">
        <f t="shared" ref="J15" si="0">"* group[=].element[=].display = ##34#"&amp;C15&amp;"##34#"</f>
        <v>* group[=].element[=].display = ##34#A.1.7.1 Result validator identifier##34#</v>
      </c>
      <c r="K15" s="14" t="str">
        <f t="shared" ref="K15" si="1">IF(F15="unmatched","//-- unmatched","* group[=].element[=].target.code = #"&amp;$D$14&amp;"."&amp;D15)</f>
        <v>* group[=].element[=].target.code = #Composition.attester.where(mode='professional').party.resolve().identifier</v>
      </c>
      <c r="L15" s="14" t="str">
        <f t="shared" ref="L15" si="2">IF(F15="unmatched","//-- unmatched","* group[=].element[=].target.display = ##34#"&amp;E15&amp;"##34#")</f>
        <v>* group[=].element[=].target.display = ##34###34#</v>
      </c>
      <c r="M15" s="14" t="str">
        <f t="shared" ref="M15" si="3">"* group[=].element[=].target.equivalence = #"&amp;F15</f>
        <v>* group[=].element[=].target.equivalence = #equivalent</v>
      </c>
      <c r="N15" s="4" t="str">
        <f t="shared" ref="N15" si="4">IF(G15&lt;&gt;"",CONCATENATE("* group[=].element[=].target.comment = ","##34#",G15,"##34#"),"")</f>
        <v/>
      </c>
      <c r="P15" s="9">
        <v>1</v>
      </c>
      <c r="Q15" s="9">
        <f>IF(MOD(P15,$Q$8)=0,P15/$Q$8-1,INT(P15/$Q$8))</f>
        <v>0</v>
      </c>
      <c r="R15" s="9">
        <f>IF(MOD(P15,$Q$8)=0,$Q$8,MOD(P15,$Q$8))</f>
        <v>1</v>
      </c>
      <c r="S15" s="14" t="str" cm="1">
        <f t="array" ref="S15">INDEX('Validator-ConceptMap-1'!$I$15:$N$99,Q15+1,R15)</f>
        <v>* group[=].element[+].code = #Validator.identifier</v>
      </c>
    </row>
    <row r="16" spans="1:19" ht="88.5" x14ac:dyDescent="0.75">
      <c r="A16" s="23"/>
      <c r="B16" s="9" t="str">
        <f>'A1.7 Validator'!B9</f>
        <v>name</v>
      </c>
      <c r="C16" s="9" t="str">
        <f>'A1.7 Validator'!C9</f>
        <v>A.1.7.2 Result validator name</v>
      </c>
      <c r="D16" s="14" t="s">
        <v>809</v>
      </c>
      <c r="E16" s="9"/>
      <c r="F16" s="75" t="s">
        <v>658</v>
      </c>
      <c r="G16" s="75"/>
      <c r="H16" s="76"/>
      <c r="I16" s="14" t="str">
        <f t="shared" ref="I16:I19" si="5">"* group[=].element[+].code = #"&amp;$B$14&amp;"."&amp;B16</f>
        <v>* group[=].element[+].code = #Validator.name</v>
      </c>
      <c r="J16" s="14" t="str">
        <f t="shared" ref="J16:J19" si="6">"* group[=].element[=].display = ##34#"&amp;C16&amp;"##34#"</f>
        <v>* group[=].element[=].display = ##34#A.1.7.2 Result validator name##34#</v>
      </c>
      <c r="K16" s="14" t="str">
        <f t="shared" ref="K16:K19" si="7">IF(F16="unmatched","//-- unmatched","* group[=].element[=].target.code = #"&amp;$D$14&amp;"."&amp;D16)</f>
        <v>* group[=].element[=].target.code = #Composition.attester.where(mode='professional').party.resolve().ofType(Practictioner).name</v>
      </c>
      <c r="L16" s="14" t="str">
        <f t="shared" ref="L16:L19" si="8">IF(F16="unmatched","//-- unmatched","* group[=].element[=].target.display = ##34#"&amp;E16&amp;"##34#")</f>
        <v>* group[=].element[=].target.display = ##34###34#</v>
      </c>
      <c r="M16" s="14" t="str">
        <f t="shared" ref="M16:M19" si="9">"* group[=].element[=].target.equivalence = #"&amp;F16</f>
        <v>* group[=].element[=].target.equivalence = #equivalent</v>
      </c>
      <c r="N16" s="4" t="str">
        <f t="shared" ref="N16:N19" si="10">IF(G16&lt;&gt;"",CONCATENATE("* group[=].element[=].target.comment = ","##34#",G16,"##34#"),"")</f>
        <v/>
      </c>
      <c r="P16" s="9">
        <v>2</v>
      </c>
      <c r="Q16" s="9">
        <f t="shared" ref="Q16:Q46" si="11">IF(MOD(P16,$Q$8)=0,P16/$Q$8-1,INT(P16/$Q$8))</f>
        <v>0</v>
      </c>
      <c r="R16" s="9">
        <f t="shared" ref="R16:R46" si="12">IF(MOD(P16,$Q$8)=0,$Q$8,MOD(P16,$Q$8))</f>
        <v>2</v>
      </c>
      <c r="S16" s="14" t="str" cm="1">
        <f t="array" ref="S16">INDEX('Validator-ConceptMap-1'!$I$15:$N$99,Q16+1,R16)</f>
        <v>* group[=].element[=].display = ##34#A.1.7.1 Result validator identifier##34#</v>
      </c>
    </row>
    <row r="17" spans="1:19" ht="103.25" x14ac:dyDescent="0.75">
      <c r="A17" s="23"/>
      <c r="B17" s="9" t="str">
        <f>'A1.7 Validator'!B9</f>
        <v>name</v>
      </c>
      <c r="C17" s="9" t="str">
        <f>'A1.7 Validator'!C9</f>
        <v>A.1.7.2 Result validator name</v>
      </c>
      <c r="D17" s="14" t="s">
        <v>810</v>
      </c>
      <c r="E17" s="9"/>
      <c r="F17" s="75" t="s">
        <v>658</v>
      </c>
      <c r="G17" s="75"/>
      <c r="H17" s="76"/>
      <c r="I17" s="14" t="str">
        <f t="shared" si="5"/>
        <v>* group[=].element[+].code = #Validator.name</v>
      </c>
      <c r="J17" s="14" t="str">
        <f t="shared" si="6"/>
        <v>* group[=].element[=].display = ##34#A.1.7.2 Result validator name##34#</v>
      </c>
      <c r="K17" s="14" t="str">
        <f t="shared" si="7"/>
        <v>* group[=].element[=].target.code = #Composition.attester.where(mode='professional').party.resolve().ofType(PractictionerRole).practictioner.resolve().name</v>
      </c>
      <c r="L17" s="14" t="str">
        <f t="shared" si="8"/>
        <v>* group[=].element[=].target.display = ##34###34#</v>
      </c>
      <c r="M17" s="14" t="str">
        <f t="shared" si="9"/>
        <v>* group[=].element[=].target.equivalence = #equivalent</v>
      </c>
      <c r="N17" s="4" t="str">
        <f t="shared" si="10"/>
        <v/>
      </c>
      <c r="P17" s="9">
        <v>3</v>
      </c>
      <c r="Q17" s="9">
        <f t="shared" si="11"/>
        <v>0</v>
      </c>
      <c r="R17" s="9">
        <f t="shared" si="12"/>
        <v>3</v>
      </c>
      <c r="S17" s="14" t="str" cm="1">
        <f t="array" ref="S17">INDEX('Validator-ConceptMap-1'!$I$15:$N$99,Q17+1,R17)</f>
        <v>* group[=].element[=].target.code = #Composition.attester.where(mode='professional').party.resolve().identifier</v>
      </c>
    </row>
    <row r="18" spans="1:19" ht="103.25" x14ac:dyDescent="0.75">
      <c r="A18" s="23"/>
      <c r="B18" s="9" t="str">
        <f>'A1.7 Validator'!B10</f>
        <v>organization</v>
      </c>
      <c r="C18" s="9" t="str">
        <f>'A1.7 Validator'!C10</f>
        <v>A.1.7.3 Result validator organisation</v>
      </c>
      <c r="D18" s="14" t="s">
        <v>811</v>
      </c>
      <c r="E18" s="9"/>
      <c r="F18" s="75" t="s">
        <v>658</v>
      </c>
      <c r="G18" s="75"/>
      <c r="H18" s="76"/>
      <c r="I18" s="14" t="str">
        <f t="shared" si="5"/>
        <v>* group[=].element[+].code = #Validator.organization</v>
      </c>
      <c r="J18" s="14" t="str">
        <f t="shared" si="6"/>
        <v>* group[=].element[=].display = ##34#A.1.7.3 Result validator organisation##34#</v>
      </c>
      <c r="K18" s="14" t="str">
        <f t="shared" si="7"/>
        <v>* group[=].element[=].target.code = #Composition.attester.where(mode='professional').party.resolve().ofType(PractictionerRole).organization.resolve()</v>
      </c>
      <c r="L18" s="14" t="str">
        <f t="shared" si="8"/>
        <v>* group[=].element[=].target.display = ##34###34#</v>
      </c>
      <c r="M18" s="14" t="str">
        <f t="shared" si="9"/>
        <v>* group[=].element[=].target.equivalence = #equivalent</v>
      </c>
      <c r="N18" s="4" t="str">
        <f t="shared" si="10"/>
        <v/>
      </c>
      <c r="P18" s="9">
        <v>4</v>
      </c>
      <c r="Q18" s="9">
        <f t="shared" si="11"/>
        <v>0</v>
      </c>
      <c r="R18" s="9">
        <f t="shared" si="12"/>
        <v>4</v>
      </c>
      <c r="S18" s="14" t="str" cm="1">
        <f t="array" ref="S18">INDEX('Validator-ConceptMap-1'!$I$15:$N$99,Q18+1,R18)</f>
        <v>* group[=].element[=].target.display = ##34###34#</v>
      </c>
    </row>
    <row r="19" spans="1:19" ht="73.75" x14ac:dyDescent="0.75">
      <c r="A19" s="23"/>
      <c r="B19" s="9" t="str">
        <f>'A1.7 Validator'!B11</f>
        <v>dateTime</v>
      </c>
      <c r="C19" s="9" t="str">
        <f>'A1.7 Validator'!C11</f>
        <v>A.1.7.4 Validation date and time</v>
      </c>
      <c r="D19" s="9" t="s">
        <v>806</v>
      </c>
      <c r="E19" s="9"/>
      <c r="F19" s="75" t="s">
        <v>658</v>
      </c>
      <c r="G19" s="75"/>
      <c r="H19" s="76"/>
      <c r="I19" s="14" t="str">
        <f t="shared" si="5"/>
        <v>* group[=].element[+].code = #Validator.dateTime</v>
      </c>
      <c r="J19" s="14" t="str">
        <f t="shared" si="6"/>
        <v>* group[=].element[=].display = ##34#A.1.7.4 Validation date and time##34#</v>
      </c>
      <c r="K19" s="14" t="str">
        <f t="shared" si="7"/>
        <v>* group[=].element[=].target.code = #Composition.attester.where(mode='professional').time</v>
      </c>
      <c r="L19" s="14" t="str">
        <f t="shared" si="8"/>
        <v>* group[=].element[=].target.display = ##34###34#</v>
      </c>
      <c r="M19" s="14" t="str">
        <f t="shared" si="9"/>
        <v>* group[=].element[=].target.equivalence = #equivalent</v>
      </c>
      <c r="N19" s="4" t="str">
        <f t="shared" si="10"/>
        <v/>
      </c>
      <c r="P19" s="9">
        <v>5</v>
      </c>
      <c r="Q19" s="9">
        <f t="shared" si="11"/>
        <v>0</v>
      </c>
      <c r="R19" s="9">
        <f t="shared" si="12"/>
        <v>5</v>
      </c>
      <c r="S19" s="14" t="str" cm="1">
        <f t="array" ref="S19">INDEX('Validator-ConceptMap-1'!$I$15:$N$99,Q19+1,R19)</f>
        <v>* group[=].element[=].target.equivalence = #equivalent</v>
      </c>
    </row>
    <row r="20" spans="1:19" x14ac:dyDescent="0.75">
      <c r="A20" s="23"/>
      <c r="B20" s="9">
        <f>'A1.6 LegalAuth'!B12</f>
        <v>0</v>
      </c>
      <c r="C20" s="9">
        <f>'A1.6 LegalAuth'!C12</f>
        <v>0</v>
      </c>
      <c r="D20" s="9"/>
      <c r="E20" s="9"/>
      <c r="F20" s="75"/>
      <c r="G20" s="75"/>
      <c r="H20" s="76"/>
      <c r="I20" s="14"/>
      <c r="J20" s="14"/>
      <c r="K20" s="14"/>
      <c r="L20" s="14"/>
      <c r="M20" s="14"/>
      <c r="N20" s="4"/>
      <c r="P20" s="9">
        <v>6</v>
      </c>
      <c r="Q20" s="9">
        <f t="shared" si="11"/>
        <v>0</v>
      </c>
      <c r="R20" s="9">
        <f t="shared" si="12"/>
        <v>6</v>
      </c>
      <c r="S20" s="14" t="str" cm="1">
        <f t="array" ref="S20">INDEX('Validator-ConceptMap-1'!$I$15:$N$99,Q20+1,R20)</f>
        <v/>
      </c>
    </row>
    <row r="21" spans="1:19" x14ac:dyDescent="0.75">
      <c r="P21" s="9">
        <v>7</v>
      </c>
      <c r="Q21" s="9">
        <f t="shared" si="11"/>
        <v>1</v>
      </c>
      <c r="R21" s="9">
        <f t="shared" si="12"/>
        <v>1</v>
      </c>
      <c r="S21" s="14" t="str" cm="1">
        <f t="array" ref="S21">INDEX('Validator-ConceptMap-1'!$I$15:$N$99,Q21+1,R21)</f>
        <v>* group[=].element[+].code = #Validator.name</v>
      </c>
    </row>
    <row r="22" spans="1:19" x14ac:dyDescent="0.75">
      <c r="P22" s="9">
        <v>8</v>
      </c>
      <c r="Q22" s="9">
        <f t="shared" si="11"/>
        <v>1</v>
      </c>
      <c r="R22" s="9">
        <f t="shared" si="12"/>
        <v>2</v>
      </c>
      <c r="S22" s="14" t="str" cm="1">
        <f t="array" ref="S22">INDEX('Validator-ConceptMap-1'!$I$15:$N$99,Q22+1,R22)</f>
        <v>* group[=].element[=].display = ##34#A.1.7.2 Result validator name##34#</v>
      </c>
    </row>
    <row r="23" spans="1:19" ht="29.5" x14ac:dyDescent="0.75">
      <c r="P23" s="9">
        <v>9</v>
      </c>
      <c r="Q23" s="9">
        <f t="shared" si="11"/>
        <v>1</v>
      </c>
      <c r="R23" s="9">
        <f t="shared" si="12"/>
        <v>3</v>
      </c>
      <c r="S23" s="14" t="str" cm="1">
        <f t="array" ref="S23">INDEX('Validator-ConceptMap-1'!$I$15:$N$99,Q23+1,R23)</f>
        <v>* group[=].element[=].target.code = #Composition.attester.where(mode='professional').party.resolve().ofType(Practictioner).name</v>
      </c>
    </row>
    <row r="24" spans="1:19" x14ac:dyDescent="0.75">
      <c r="P24" s="9">
        <v>10</v>
      </c>
      <c r="Q24" s="9">
        <f t="shared" si="11"/>
        <v>1</v>
      </c>
      <c r="R24" s="9">
        <f t="shared" si="12"/>
        <v>4</v>
      </c>
      <c r="S24" s="14" t="str" cm="1">
        <f t="array" ref="S24">INDEX('Validator-ConceptMap-1'!$I$15:$N$99,Q24+1,R24)</f>
        <v>* group[=].element[=].target.display = ##34###34#</v>
      </c>
    </row>
    <row r="25" spans="1:19" x14ac:dyDescent="0.75">
      <c r="P25" s="9">
        <v>11</v>
      </c>
      <c r="Q25" s="9">
        <f t="shared" si="11"/>
        <v>1</v>
      </c>
      <c r="R25" s="9">
        <f t="shared" si="12"/>
        <v>5</v>
      </c>
      <c r="S25" s="14" t="str" cm="1">
        <f t="array" ref="S25">INDEX('Validator-ConceptMap-1'!$I$15:$N$99,Q25+1,R25)</f>
        <v>* group[=].element[=].target.equivalence = #equivalent</v>
      </c>
    </row>
    <row r="26" spans="1:19" x14ac:dyDescent="0.75">
      <c r="P26" s="9">
        <v>12</v>
      </c>
      <c r="Q26" s="9">
        <f t="shared" si="11"/>
        <v>1</v>
      </c>
      <c r="R26" s="9">
        <f t="shared" si="12"/>
        <v>6</v>
      </c>
      <c r="S26" s="14" t="str" cm="1">
        <f t="array" ref="S26">INDEX('Validator-ConceptMap-1'!$I$15:$N$99,Q26+1,R26)</f>
        <v/>
      </c>
    </row>
    <row r="27" spans="1:19" x14ac:dyDescent="0.75">
      <c r="P27" s="9">
        <v>13</v>
      </c>
      <c r="Q27" s="9">
        <f t="shared" si="11"/>
        <v>2</v>
      </c>
      <c r="R27" s="9">
        <f t="shared" si="12"/>
        <v>1</v>
      </c>
      <c r="S27" s="14" t="str" cm="1">
        <f t="array" ref="S27">INDEX('Validator-ConceptMap-1'!$I$15:$N$99,Q27+1,R27)</f>
        <v>* group[=].element[+].code = #Validator.name</v>
      </c>
    </row>
    <row r="28" spans="1:19" x14ac:dyDescent="0.75">
      <c r="P28" s="9">
        <v>14</v>
      </c>
      <c r="Q28" s="9">
        <f t="shared" si="11"/>
        <v>2</v>
      </c>
      <c r="R28" s="9">
        <f t="shared" si="12"/>
        <v>2</v>
      </c>
      <c r="S28" s="14" t="str" cm="1">
        <f t="array" ref="S28">INDEX('Validator-ConceptMap-1'!$I$15:$N$99,Q28+1,R28)</f>
        <v>* group[=].element[=].display = ##34#A.1.7.2 Result validator name##34#</v>
      </c>
    </row>
    <row r="29" spans="1:19" ht="44.25" x14ac:dyDescent="0.75">
      <c r="P29" s="9">
        <v>15</v>
      </c>
      <c r="Q29" s="9">
        <f t="shared" si="11"/>
        <v>2</v>
      </c>
      <c r="R29" s="9">
        <f t="shared" si="12"/>
        <v>3</v>
      </c>
      <c r="S29" s="14" t="str" cm="1">
        <f t="array" ref="S29">INDEX('Validator-ConceptMap-1'!$I$15:$N$99,Q29+1,R29)</f>
        <v>* group[=].element[=].target.code = #Composition.attester.where(mode='professional').party.resolve().ofType(PractictionerRole).practictioner.resolve().name</v>
      </c>
    </row>
    <row r="30" spans="1:19" x14ac:dyDescent="0.75">
      <c r="P30" s="9">
        <v>16</v>
      </c>
      <c r="Q30" s="9">
        <f t="shared" si="11"/>
        <v>2</v>
      </c>
      <c r="R30" s="9">
        <f t="shared" si="12"/>
        <v>4</v>
      </c>
      <c r="S30" s="14" t="str" cm="1">
        <f t="array" ref="S30">INDEX('Validator-ConceptMap-1'!$I$15:$N$99,Q30+1,R30)</f>
        <v>* group[=].element[=].target.display = ##34###34#</v>
      </c>
    </row>
    <row r="31" spans="1:19" x14ac:dyDescent="0.75">
      <c r="P31" s="9">
        <v>17</v>
      </c>
      <c r="Q31" s="9">
        <f t="shared" si="11"/>
        <v>2</v>
      </c>
      <c r="R31" s="9">
        <f t="shared" si="12"/>
        <v>5</v>
      </c>
      <c r="S31" s="14" t="str" cm="1">
        <f t="array" ref="S31">INDEX('Validator-ConceptMap-1'!$I$15:$N$99,Q31+1,R31)</f>
        <v>* group[=].element[=].target.equivalence = #equivalent</v>
      </c>
    </row>
    <row r="32" spans="1:19" x14ac:dyDescent="0.75">
      <c r="P32" s="9">
        <v>18</v>
      </c>
      <c r="Q32" s="9">
        <f t="shared" si="11"/>
        <v>2</v>
      </c>
      <c r="R32" s="9">
        <f t="shared" si="12"/>
        <v>6</v>
      </c>
      <c r="S32" s="14" t="str" cm="1">
        <f t="array" ref="S32">INDEX('Validator-ConceptMap-1'!$I$15:$N$99,Q32+1,R32)</f>
        <v/>
      </c>
    </row>
    <row r="33" spans="1:20" x14ac:dyDescent="0.75">
      <c r="P33" s="9">
        <v>19</v>
      </c>
      <c r="Q33" s="9">
        <f t="shared" si="11"/>
        <v>3</v>
      </c>
      <c r="R33" s="9">
        <f t="shared" si="12"/>
        <v>1</v>
      </c>
      <c r="S33" s="14" t="str" cm="1">
        <f t="array" ref="S33">INDEX('Validator-ConceptMap-1'!$I$15:$N$99,Q33+1,R33)</f>
        <v>* group[=].element[+].code = #Validator.organization</v>
      </c>
    </row>
    <row r="34" spans="1:20" x14ac:dyDescent="0.75">
      <c r="P34" s="9">
        <v>20</v>
      </c>
      <c r="Q34" s="9">
        <f t="shared" si="11"/>
        <v>3</v>
      </c>
      <c r="R34" s="9">
        <f t="shared" si="12"/>
        <v>2</v>
      </c>
      <c r="S34" s="14" t="str" cm="1">
        <f t="array" ref="S34">INDEX('Validator-ConceptMap-1'!$I$15:$N$99,Q34+1,R34)</f>
        <v>* group[=].element[=].display = ##34#A.1.7.3 Result validator organisation##34#</v>
      </c>
    </row>
    <row r="35" spans="1:20" ht="44.25" x14ac:dyDescent="0.75">
      <c r="P35" s="9">
        <v>21</v>
      </c>
      <c r="Q35" s="9">
        <f t="shared" si="11"/>
        <v>3</v>
      </c>
      <c r="R35" s="9">
        <f t="shared" si="12"/>
        <v>3</v>
      </c>
      <c r="S35" s="14" t="str" cm="1">
        <f t="array" ref="S35">INDEX('Validator-ConceptMap-1'!$I$15:$N$99,Q35+1,R35)</f>
        <v>* group[=].element[=].target.code = #Composition.attester.where(mode='professional').party.resolve().ofType(PractictionerRole).organization.resolve()</v>
      </c>
    </row>
    <row r="36" spans="1:20" x14ac:dyDescent="0.75">
      <c r="P36" s="9">
        <v>22</v>
      </c>
      <c r="Q36" s="9">
        <f t="shared" si="11"/>
        <v>3</v>
      </c>
      <c r="R36" s="9">
        <f t="shared" si="12"/>
        <v>4</v>
      </c>
      <c r="S36" s="14" t="str" cm="1">
        <f t="array" ref="S36">INDEX('Validator-ConceptMap-1'!$I$15:$N$99,Q36+1,R36)</f>
        <v>* group[=].element[=].target.display = ##34###34#</v>
      </c>
    </row>
    <row r="37" spans="1:20" x14ac:dyDescent="0.75">
      <c r="P37" s="9">
        <v>23</v>
      </c>
      <c r="Q37" s="9">
        <f t="shared" si="11"/>
        <v>3</v>
      </c>
      <c r="R37" s="9">
        <f t="shared" si="12"/>
        <v>5</v>
      </c>
      <c r="S37" s="14" t="str" cm="1">
        <f t="array" ref="S37">INDEX('Validator-ConceptMap-1'!$I$15:$N$99,Q37+1,R37)</f>
        <v>* group[=].element[=].target.equivalence = #equivalent</v>
      </c>
    </row>
    <row r="38" spans="1:20" s="1" customFormat="1" x14ac:dyDescent="0.75">
      <c r="A38"/>
      <c r="B38"/>
      <c r="C38"/>
      <c r="F38"/>
      <c r="G38"/>
      <c r="H38"/>
      <c r="J38"/>
      <c r="K38"/>
      <c r="L38"/>
      <c r="M38"/>
      <c r="N38"/>
      <c r="P38" s="9">
        <v>24</v>
      </c>
      <c r="Q38" s="9">
        <f t="shared" si="11"/>
        <v>3</v>
      </c>
      <c r="R38" s="9">
        <f t="shared" si="12"/>
        <v>6</v>
      </c>
      <c r="S38" s="14" t="str" cm="1">
        <f t="array" ref="S38">INDEX('Validator-ConceptMap-1'!$I$15:$N$99,Q38+1,R38)</f>
        <v/>
      </c>
      <c r="T38"/>
    </row>
    <row r="39" spans="1:20" s="1" customFormat="1" x14ac:dyDescent="0.75">
      <c r="A39"/>
      <c r="B39"/>
      <c r="C39"/>
      <c r="F39"/>
      <c r="G39"/>
      <c r="H39"/>
      <c r="J39"/>
      <c r="K39"/>
      <c r="L39"/>
      <c r="M39"/>
      <c r="N39"/>
      <c r="P39" s="9">
        <v>25</v>
      </c>
      <c r="Q39" s="9">
        <f t="shared" si="11"/>
        <v>4</v>
      </c>
      <c r="R39" s="9">
        <f t="shared" si="12"/>
        <v>1</v>
      </c>
      <c r="S39" s="14" t="str" cm="1">
        <f t="array" ref="S39">INDEX('Validator-ConceptMap-1'!$I$15:$N$99,Q39+1,R39)</f>
        <v>* group[=].element[+].code = #Validator.dateTime</v>
      </c>
      <c r="T39"/>
    </row>
    <row r="40" spans="1:20" s="1" customFormat="1" x14ac:dyDescent="0.75">
      <c r="A40"/>
      <c r="B40"/>
      <c r="C40"/>
      <c r="F40"/>
      <c r="G40"/>
      <c r="H40"/>
      <c r="J40"/>
      <c r="K40"/>
      <c r="L40"/>
      <c r="M40"/>
      <c r="N40"/>
      <c r="P40" s="9">
        <v>26</v>
      </c>
      <c r="Q40" s="9">
        <f t="shared" si="11"/>
        <v>4</v>
      </c>
      <c r="R40" s="9">
        <f t="shared" si="12"/>
        <v>2</v>
      </c>
      <c r="S40" s="14" t="str" cm="1">
        <f t="array" ref="S40">INDEX('Validator-ConceptMap-1'!$I$15:$N$99,Q40+1,R40)</f>
        <v>* group[=].element[=].display = ##34#A.1.7.4 Validation date and time##34#</v>
      </c>
      <c r="T40"/>
    </row>
    <row r="41" spans="1:20" s="1" customFormat="1" ht="29.5" x14ac:dyDescent="0.75">
      <c r="A41"/>
      <c r="B41"/>
      <c r="C41"/>
      <c r="F41"/>
      <c r="G41"/>
      <c r="H41"/>
      <c r="J41"/>
      <c r="K41"/>
      <c r="L41"/>
      <c r="M41"/>
      <c r="N41"/>
      <c r="P41" s="9">
        <v>27</v>
      </c>
      <c r="Q41" s="9">
        <f t="shared" si="11"/>
        <v>4</v>
      </c>
      <c r="R41" s="9">
        <f t="shared" si="12"/>
        <v>3</v>
      </c>
      <c r="S41" s="14" t="str" cm="1">
        <f t="array" ref="S41">INDEX('Validator-ConceptMap-1'!$I$15:$N$99,Q41+1,R41)</f>
        <v>* group[=].element[=].target.code = #Composition.attester.where(mode='professional').time</v>
      </c>
      <c r="T41"/>
    </row>
    <row r="42" spans="1:20" s="1" customFormat="1" x14ac:dyDescent="0.75">
      <c r="A42"/>
      <c r="B42"/>
      <c r="C42"/>
      <c r="F42"/>
      <c r="G42"/>
      <c r="H42"/>
      <c r="J42"/>
      <c r="K42"/>
      <c r="L42"/>
      <c r="M42"/>
      <c r="N42"/>
      <c r="P42" s="9">
        <v>28</v>
      </c>
      <c r="Q42" s="9">
        <f t="shared" si="11"/>
        <v>4</v>
      </c>
      <c r="R42" s="9">
        <f t="shared" si="12"/>
        <v>4</v>
      </c>
      <c r="S42" s="14" t="str" cm="1">
        <f t="array" ref="S42">INDEX('Validator-ConceptMap-1'!$I$15:$N$99,Q42+1,R42)</f>
        <v>* group[=].element[=].target.display = ##34###34#</v>
      </c>
      <c r="T42"/>
    </row>
    <row r="43" spans="1:20" s="1" customFormat="1" x14ac:dyDescent="0.75">
      <c r="A43"/>
      <c r="B43"/>
      <c r="C43"/>
      <c r="F43"/>
      <c r="G43"/>
      <c r="H43"/>
      <c r="J43"/>
      <c r="K43"/>
      <c r="L43"/>
      <c r="M43"/>
      <c r="N43"/>
      <c r="P43" s="9">
        <v>29</v>
      </c>
      <c r="Q43" s="9">
        <f t="shared" si="11"/>
        <v>4</v>
      </c>
      <c r="R43" s="9">
        <f t="shared" si="12"/>
        <v>5</v>
      </c>
      <c r="S43" s="14" t="str" cm="1">
        <f t="array" ref="S43">INDEX('Validator-ConceptMap-1'!$I$15:$N$99,Q43+1,R43)</f>
        <v>* group[=].element[=].target.equivalence = #equivalent</v>
      </c>
      <c r="T43"/>
    </row>
    <row r="44" spans="1:20" s="1" customFormat="1" x14ac:dyDescent="0.75">
      <c r="A44"/>
      <c r="B44"/>
      <c r="C44"/>
      <c r="F44"/>
      <c r="G44"/>
      <c r="H44"/>
      <c r="J44"/>
      <c r="K44"/>
      <c r="L44"/>
      <c r="M44"/>
      <c r="N44"/>
      <c r="P44" s="9">
        <v>30</v>
      </c>
      <c r="Q44" s="9">
        <f t="shared" si="11"/>
        <v>4</v>
      </c>
      <c r="R44" s="9">
        <f t="shared" si="12"/>
        <v>6</v>
      </c>
      <c r="S44" s="14" t="str" cm="1">
        <f t="array" ref="S44">INDEX('Validator-ConceptMap-1'!$I$15:$N$99,Q44+1,R44)</f>
        <v/>
      </c>
      <c r="T44"/>
    </row>
    <row r="45" spans="1:20" s="1" customFormat="1" x14ac:dyDescent="0.75">
      <c r="A45"/>
      <c r="B45"/>
      <c r="C45"/>
      <c r="F45"/>
      <c r="G45"/>
      <c r="H45"/>
      <c r="J45"/>
      <c r="K45"/>
      <c r="L45"/>
      <c r="M45"/>
      <c r="N45"/>
      <c r="P45" s="9">
        <v>31</v>
      </c>
      <c r="Q45" s="9">
        <f t="shared" si="11"/>
        <v>5</v>
      </c>
      <c r="R45" s="9">
        <f t="shared" si="12"/>
        <v>1</v>
      </c>
      <c r="S45" s="14" cm="1">
        <f t="array" ref="S45">INDEX('Validator-ConceptMap-1'!$I$15:$N$99,Q45+1,R45)</f>
        <v>0</v>
      </c>
      <c r="T45"/>
    </row>
    <row r="46" spans="1:20" s="1" customFormat="1" x14ac:dyDescent="0.75">
      <c r="A46"/>
      <c r="B46"/>
      <c r="C46"/>
      <c r="F46"/>
      <c r="G46"/>
      <c r="H46"/>
      <c r="J46"/>
      <c r="K46"/>
      <c r="L46"/>
      <c r="M46"/>
      <c r="N46"/>
      <c r="P46" s="9">
        <v>32</v>
      </c>
      <c r="Q46" s="9">
        <f t="shared" si="11"/>
        <v>5</v>
      </c>
      <c r="R46" s="9">
        <f t="shared" si="12"/>
        <v>2</v>
      </c>
      <c r="S46" s="14" cm="1">
        <f t="array" ref="S46">INDEX('Validator-ConceptMap-1'!$I$15:$N$99,Q46+1,R46)</f>
        <v>0</v>
      </c>
      <c r="T46"/>
    </row>
    <row r="47" spans="1:20" x14ac:dyDescent="0.75">
      <c r="P47" s="9">
        <v>33</v>
      </c>
      <c r="Q47" s="9">
        <f t="shared" ref="Q47" si="13">IF(MOD(P47,$Q$8)=0,P47/$Q$8-1,INT(P47/$Q$8))</f>
        <v>5</v>
      </c>
      <c r="R47" s="9">
        <f t="shared" ref="R47" si="14">IF(MOD(P47,$Q$8)=0,$Q$8,MOD(P47,$Q$8))</f>
        <v>3</v>
      </c>
      <c r="S47" s="14" cm="1">
        <f t="array" ref="S47">INDEX('Validator-ConceptMap-1'!$I$15:$N$99,Q47+1,R47)</f>
        <v>0</v>
      </c>
    </row>
  </sheetData>
  <mergeCells count="4">
    <mergeCell ref="E3:G3"/>
    <mergeCell ref="E4:G4"/>
    <mergeCell ref="E6:G6"/>
    <mergeCell ref="E7:G7"/>
  </mergeCells>
  <hyperlinks>
    <hyperlink ref="E3" r:id="rId1" display="http://hl7.eu/fhir/laboratory/StructureDefinition/LeaglAu" xr:uid="{0AAF54A5-7425-44C8-AD62-E9D6E98058F0}"/>
    <hyperlink ref="E6" r:id="rId2" display="http://hl7.eu/fhir/laboratory/StructureDefinition/Recipient" xr:uid="{B45E3299-A5C3-4C7F-A980-53DFA74DAD8D}"/>
    <hyperlink ref="E7" r:id="rId3" display="http://hl7.eu/fhir/StructureDefinition/information-recipient" xr:uid="{FD86D640-00E7-480C-8B70-747DB8690EEA}"/>
    <hyperlink ref="E4" r:id="rId4" xr:uid="{02E582F6-B032-4A34-A869-8301FF18382C}"/>
  </hyperlinks>
  <pageMargins left="0.7" right="0.7" top="0.75" bottom="0.75" header="0.3" footer="0.3"/>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37321B-CE9A-415E-8A0C-8BD14E0FDF6B}">
  <sheetPr codeName="Foglio24">
    <tabColor theme="0" tint="-0.34998626667073579"/>
  </sheetPr>
  <dimension ref="B1:G208"/>
  <sheetViews>
    <sheetView workbookViewId="0">
      <selection activeCell="G3" sqref="G3"/>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2" t="s">
        <v>37</v>
      </c>
    </row>
    <row r="2" spans="2:7" ht="16.75" thickBot="1" x14ac:dyDescent="0.9">
      <c r="B2" s="33" t="s">
        <v>661</v>
      </c>
      <c r="G2" s="56" t="s">
        <v>778</v>
      </c>
    </row>
    <row r="3" spans="2:7" x14ac:dyDescent="0.75">
      <c r="B3" s="33" t="s">
        <v>37</v>
      </c>
    </row>
    <row r="4" spans="2:7" x14ac:dyDescent="0.75">
      <c r="B4" s="77" t="str">
        <f>"Instance: "&amp;'Validator-ConceptMap-1'!C4</f>
        <v>Instance: ConceptMap-eu-validator2FHIR</v>
      </c>
    </row>
    <row r="5" spans="2:7" x14ac:dyDescent="0.75">
      <c r="B5" s="77" t="s">
        <v>662</v>
      </c>
    </row>
    <row r="6" spans="2:7" x14ac:dyDescent="0.75">
      <c r="B6" s="77" t="s">
        <v>663</v>
      </c>
    </row>
    <row r="7" spans="2:7" x14ac:dyDescent="0.75">
      <c r="B7" s="77" t="s">
        <v>677</v>
      </c>
    </row>
    <row r="8" spans="2:7" x14ac:dyDescent="0.75">
      <c r="B8" s="77" t="str">
        <f>"* name = ##34#"&amp;'Validator-ConceptMap-1'!C3&amp;"##34#"</f>
        <v>* name = ##34#Validator2Fhir##34#</v>
      </c>
    </row>
    <row r="9" spans="2:7" x14ac:dyDescent="0.75">
      <c r="B9" s="77" t="str">
        <f>"* title = ##34#"&amp;'Validator-ConceptMap-1'!C5&amp;"##34#"</f>
        <v>* title = ##34#eHN Validator to this guide Map##34#</v>
      </c>
    </row>
    <row r="10" spans="2:7" x14ac:dyDescent="0.75">
      <c r="B10" s="77" t="s">
        <v>664</v>
      </c>
    </row>
    <row r="11" spans="2:7" x14ac:dyDescent="0.75">
      <c r="B11" s="77" t="s">
        <v>665</v>
      </c>
    </row>
    <row r="12" spans="2:7" x14ac:dyDescent="0.75">
      <c r="B12" s="77" t="str">
        <f>"* description = ##34#"&amp;'Validator-ConceptMap-1'!C8&amp;"##34#"</f>
        <v>* description = ##34#eHN Validator Model to this guide Map##34#</v>
      </c>
    </row>
    <row r="13" spans="2:7" x14ac:dyDescent="0.75">
      <c r="B13" s="77" t="str">
        <f>"* purpose = ##34#"&amp;'Validator-ConceptMap-1'!C9&amp;"##34#"</f>
        <v>* purpose = ##34#It shows how the Validator Recipient data set defined by the EU eHN guidelines is mapped into this guide##34#</v>
      </c>
    </row>
    <row r="14" spans="2:7" x14ac:dyDescent="0.75">
      <c r="B14" s="78" t="str">
        <f>"* sourceUri = ##34#"&amp;'Validator-ConceptMap-1'!E3&amp;"##34#"</f>
        <v>* sourceUri = ##34#http://hl7.eu/fhir/laboratory/StructureDefinition/Validator##34#</v>
      </c>
    </row>
    <row r="15" spans="2:7" x14ac:dyDescent="0.75">
      <c r="B15" s="78" t="str">
        <f>"* targetUri = ##34#"&amp;'Validator-ConceptMap-1'!E4&amp;"##34#"</f>
        <v>* targetUri = ##34#http://hl7.eu/fhir/laboratory/StructureDefinition/Composition-eu-lab##34#</v>
      </c>
    </row>
    <row r="16" spans="2:7" x14ac:dyDescent="0.75">
      <c r="B16" s="77"/>
    </row>
    <row r="17" spans="2:7" x14ac:dyDescent="0.75">
      <c r="B17" s="79" t="str">
        <f>"* group[+].source = ##34#"&amp;'Validator-ConceptMap-1'!E6&amp;"##34#"</f>
        <v>* group[+].source = ##34#http://hl7.eu/fhir/laboratory/StructureDefinition/Validator##34#</v>
      </c>
    </row>
    <row r="18" spans="2:7" x14ac:dyDescent="0.75">
      <c r="B18" s="79" t="str">
        <f>"* group[=].target = ##34#"&amp;'Validator-ConceptMap-1'!E7&amp;"##34#"</f>
        <v>* group[=].target = ##34#http://hl7.eu/fhir/laboratory/StructureDefinition/Composition-eu-lab##34#</v>
      </c>
    </row>
    <row r="19" spans="2:7" x14ac:dyDescent="0.75">
      <c r="B19" s="81"/>
    </row>
    <row r="20" spans="2:7" x14ac:dyDescent="0.75">
      <c r="B20" s="14" t="str">
        <f>IF('Validator-ConceptMap-1'!S15=0,"//---END",'Validator-ConceptMap-1'!S15)</f>
        <v>* group[=].element[+].code = #Validator.identifier</v>
      </c>
    </row>
    <row r="21" spans="2:7" x14ac:dyDescent="0.75">
      <c r="B21" s="14" t="str">
        <f>IF('Validator-ConceptMap-1'!S16=0,"//---END",'Validator-ConceptMap-1'!S16)</f>
        <v>* group[=].element[=].display = ##34#A.1.7.1 Result validator identifier##34#</v>
      </c>
    </row>
    <row r="22" spans="2:7" x14ac:dyDescent="0.75">
      <c r="B22" s="14" t="str">
        <f>IF('Validator-ConceptMap-1'!S17=0,"//---END",'Validator-ConceptMap-1'!S17)</f>
        <v>* group[=].element[=].target.code = #Composition.attester.where(mode='professional').party.resolve().identifier</v>
      </c>
    </row>
    <row r="23" spans="2:7" x14ac:dyDescent="0.75">
      <c r="B23" s="14" t="str">
        <f>IF('Validator-ConceptMap-1'!S18=0,"//---END",'Validator-ConceptMap-1'!S18)</f>
        <v>* group[=].element[=].target.display = ##34###34#</v>
      </c>
    </row>
    <row r="24" spans="2:7" x14ac:dyDescent="0.75">
      <c r="B24" s="14" t="str">
        <f>IF('Validator-ConceptMap-1'!S19=0,"//---END",'Validator-ConceptMap-1'!S19)</f>
        <v>* group[=].element[=].target.equivalence = #equivalent</v>
      </c>
    </row>
    <row r="25" spans="2:7" x14ac:dyDescent="0.75">
      <c r="B25" s="14" t="str">
        <f>IF('Validator-ConceptMap-1'!S20=0,"//---END",'Validator-ConceptMap-1'!S20)</f>
        <v/>
      </c>
      <c r="G25" s="10"/>
    </row>
    <row r="26" spans="2:7" x14ac:dyDescent="0.75">
      <c r="B26" s="14" t="str">
        <f>IF('Validator-ConceptMap-1'!S21=0,"//---END",'Validator-ConceptMap-1'!S21)</f>
        <v>* group[=].element[+].code = #Validator.name</v>
      </c>
    </row>
    <row r="27" spans="2:7" x14ac:dyDescent="0.75">
      <c r="B27" s="14" t="str">
        <f>IF('Validator-ConceptMap-1'!S22=0,"//---END",'Validator-ConceptMap-1'!S22)</f>
        <v>* group[=].element[=].display = ##34#A.1.7.2 Result validator name##34#</v>
      </c>
    </row>
    <row r="28" spans="2:7" x14ac:dyDescent="0.75">
      <c r="B28" s="14" t="str">
        <f>IF('Validator-ConceptMap-1'!S23=0,"//---END",'Validator-ConceptMap-1'!S23)</f>
        <v>* group[=].element[=].target.code = #Composition.attester.where(mode='professional').party.resolve().ofType(Practictioner).name</v>
      </c>
    </row>
    <row r="29" spans="2:7" x14ac:dyDescent="0.75">
      <c r="B29" s="14" t="str">
        <f>IF('Validator-ConceptMap-1'!S24=0,"//---END",'Validator-ConceptMap-1'!S24)</f>
        <v>* group[=].element[=].target.display = ##34###34#</v>
      </c>
    </row>
    <row r="30" spans="2:7" x14ac:dyDescent="0.75">
      <c r="B30" s="14" t="str">
        <f>IF('Validator-ConceptMap-1'!S25=0,"//---END",'Validator-ConceptMap-1'!S25)</f>
        <v>* group[=].element[=].target.equivalence = #equivalent</v>
      </c>
    </row>
    <row r="31" spans="2:7" x14ac:dyDescent="0.75">
      <c r="B31" s="14" t="str">
        <f>IF('Validator-ConceptMap-1'!S26=0,"//---END",'Validator-ConceptMap-1'!S26)</f>
        <v/>
      </c>
    </row>
    <row r="32" spans="2:7" x14ac:dyDescent="0.75">
      <c r="B32" s="14" t="str">
        <f>IF('Validator-ConceptMap-1'!S27=0,"//---END",'Validator-ConceptMap-1'!S27)</f>
        <v>* group[=].element[+].code = #Validator.name</v>
      </c>
    </row>
    <row r="33" spans="2:2" x14ac:dyDescent="0.75">
      <c r="B33" s="14" t="str">
        <f>IF('Validator-ConceptMap-1'!S28=0,"//---END",'Validator-ConceptMap-1'!S28)</f>
        <v>* group[=].element[=].display = ##34#A.1.7.2 Result validator name##34#</v>
      </c>
    </row>
    <row r="34" spans="2:2" x14ac:dyDescent="0.75">
      <c r="B34" s="14" t="str">
        <f>IF('Validator-ConceptMap-1'!S29=0,"//---END",'Validator-ConceptMap-1'!S29)</f>
        <v>* group[=].element[=].target.code = #Composition.attester.where(mode='professional').party.resolve().ofType(PractictionerRole).practictioner.resolve().name</v>
      </c>
    </row>
    <row r="35" spans="2:2" x14ac:dyDescent="0.75">
      <c r="B35" s="14" t="str">
        <f>IF('Validator-ConceptMap-1'!S30=0,"//---END",'Validator-ConceptMap-1'!S30)</f>
        <v>* group[=].element[=].target.display = ##34###34#</v>
      </c>
    </row>
    <row r="36" spans="2:2" x14ac:dyDescent="0.75">
      <c r="B36" s="14" t="str">
        <f>IF('Validator-ConceptMap-1'!S31=0,"//---END",'Validator-ConceptMap-1'!S31)</f>
        <v>* group[=].element[=].target.equivalence = #equivalent</v>
      </c>
    </row>
    <row r="37" spans="2:2" x14ac:dyDescent="0.75">
      <c r="B37" s="14" t="str">
        <f>IF('Validator-ConceptMap-1'!S32=0,"//---END",'Validator-ConceptMap-1'!S32)</f>
        <v/>
      </c>
    </row>
    <row r="38" spans="2:2" x14ac:dyDescent="0.75">
      <c r="B38" s="14" t="str">
        <f>IF('Validator-ConceptMap-1'!S33=0,"//---END",'Validator-ConceptMap-1'!S33)</f>
        <v>* group[=].element[+].code = #Validator.organization</v>
      </c>
    </row>
    <row r="39" spans="2:2" x14ac:dyDescent="0.75">
      <c r="B39" s="14" t="str">
        <f>IF('Validator-ConceptMap-1'!S34=0,"//---END",'Validator-ConceptMap-1'!S34)</f>
        <v>* group[=].element[=].display = ##34#A.1.7.3 Result validator organisation##34#</v>
      </c>
    </row>
    <row r="40" spans="2:2" x14ac:dyDescent="0.75">
      <c r="B40" s="14" t="str">
        <f>IF('Validator-ConceptMap-1'!S35=0,"//---END",'Validator-ConceptMap-1'!S35)</f>
        <v>* group[=].element[=].target.code = #Composition.attester.where(mode='professional').party.resolve().ofType(PractictionerRole).organization.resolve()</v>
      </c>
    </row>
    <row r="41" spans="2:2" x14ac:dyDescent="0.75">
      <c r="B41" s="14" t="str">
        <f>IF('Validator-ConceptMap-1'!S36=0,"//---END",'Validator-ConceptMap-1'!S36)</f>
        <v>* group[=].element[=].target.display = ##34###34#</v>
      </c>
    </row>
    <row r="42" spans="2:2" x14ac:dyDescent="0.75">
      <c r="B42" s="14" t="str">
        <f>IF('Validator-ConceptMap-1'!S37=0,"//---END",'Validator-ConceptMap-1'!S37)</f>
        <v>* group[=].element[=].target.equivalence = #equivalent</v>
      </c>
    </row>
    <row r="43" spans="2:2" x14ac:dyDescent="0.75">
      <c r="B43" s="14" t="str">
        <f>IF('Validator-ConceptMap-1'!S38=0,"//---END",'Validator-ConceptMap-1'!S38)</f>
        <v/>
      </c>
    </row>
    <row r="44" spans="2:2" x14ac:dyDescent="0.75">
      <c r="B44" s="14" t="str">
        <f>IF('Validator-ConceptMap-1'!S39=0,"//---END",'Validator-ConceptMap-1'!S39)</f>
        <v>* group[=].element[+].code = #Validator.dateTime</v>
      </c>
    </row>
    <row r="45" spans="2:2" x14ac:dyDescent="0.75">
      <c r="B45" s="14" t="str">
        <f>IF('Validator-ConceptMap-1'!S40=0,"//---END",'Validator-ConceptMap-1'!S40)</f>
        <v>* group[=].element[=].display = ##34#A.1.7.4 Validation date and time##34#</v>
      </c>
    </row>
    <row r="46" spans="2:2" x14ac:dyDescent="0.75">
      <c r="B46" s="14" t="str">
        <f>IF('Validator-ConceptMap-1'!S41=0,"//---END",'Validator-ConceptMap-1'!S41)</f>
        <v>* group[=].element[=].target.code = #Composition.attester.where(mode='professional').time</v>
      </c>
    </row>
    <row r="47" spans="2:2" x14ac:dyDescent="0.75">
      <c r="B47" s="14" t="str">
        <f>IF('Validator-ConceptMap-1'!S42=0,"//---END",'Validator-ConceptMap-1'!S42)</f>
        <v>* group[=].element[=].target.display = ##34###34#</v>
      </c>
    </row>
    <row r="48" spans="2:2" x14ac:dyDescent="0.75">
      <c r="B48" s="14" t="str">
        <f>IF('Validator-ConceptMap-1'!S43=0,"//---END",'Validator-ConceptMap-1'!S43)</f>
        <v>* group[=].element[=].target.equivalence = #equivalent</v>
      </c>
    </row>
    <row r="49" spans="2:2" x14ac:dyDescent="0.75">
      <c r="B49" s="14" t="str">
        <f>IF('Validator-ConceptMap-1'!S44=0,"//---END",'Validator-ConceptMap-1'!S44)</f>
        <v/>
      </c>
    </row>
    <row r="50" spans="2:2" x14ac:dyDescent="0.75">
      <c r="B50" s="14" t="str">
        <f>IF('Validator-ConceptMap-1'!S45=0,"//---END",'Validator-ConceptMap-1'!S45)</f>
        <v>//---END</v>
      </c>
    </row>
    <row r="51" spans="2:2" x14ac:dyDescent="0.75">
      <c r="B51" s="14" t="str">
        <f>IF('Validator-ConceptMap-1'!S46=0,"//---END",'Validator-ConceptMap-1'!S46)</f>
        <v>//---END</v>
      </c>
    </row>
    <row r="52" spans="2:2" x14ac:dyDescent="0.75">
      <c r="B52" s="14" t="str">
        <f>IF('Validator-ConceptMap-1'!S47=0,"//---END",'Validator-ConceptMap-1'!S47)</f>
        <v>//---END</v>
      </c>
    </row>
    <row r="53" spans="2:2" x14ac:dyDescent="0.75">
      <c r="B53" s="14" t="str">
        <f>IF('Validator-ConceptMap-1'!S48=0,"//---END",'Validator-ConceptMap-1'!S48)</f>
        <v>//---END</v>
      </c>
    </row>
    <row r="54" spans="2:2" x14ac:dyDescent="0.75">
      <c r="B54" s="14" t="str">
        <f>IF('Validator-ConceptMap-1'!S49=0,"//---END",'Validator-ConceptMap-1'!S49)</f>
        <v>//---END</v>
      </c>
    </row>
    <row r="55" spans="2:2" x14ac:dyDescent="0.75">
      <c r="B55" s="14" t="str">
        <f>IF('Validator-ConceptMap-1'!S50=0,"//---END",'Validator-ConceptMap-1'!S50)</f>
        <v>//---END</v>
      </c>
    </row>
    <row r="85" spans="2:2" x14ac:dyDescent="0.75">
      <c r="B85" s="77"/>
    </row>
    <row r="86" spans="2:2" x14ac:dyDescent="0.75">
      <c r="B86" s="79"/>
    </row>
    <row r="87" spans="2:2" x14ac:dyDescent="0.75">
      <c r="B87" s="79"/>
    </row>
    <row r="88" spans="2:2" x14ac:dyDescent="0.75">
      <c r="B88" s="81"/>
    </row>
    <row r="90" spans="2:2" x14ac:dyDescent="0.75">
      <c r="B90" s="14"/>
    </row>
    <row r="91" spans="2:2" x14ac:dyDescent="0.75">
      <c r="B91" s="14"/>
    </row>
    <row r="92" spans="2:2" x14ac:dyDescent="0.75">
      <c r="B92" s="14"/>
    </row>
    <row r="93" spans="2:2" x14ac:dyDescent="0.75">
      <c r="B93" s="14"/>
    </row>
    <row r="94" spans="2:2" x14ac:dyDescent="0.75">
      <c r="B94" s="14"/>
    </row>
    <row r="95" spans="2:2" x14ac:dyDescent="0.75">
      <c r="B95" s="14"/>
    </row>
    <row r="96" spans="2:2" x14ac:dyDescent="0.75">
      <c r="B96" s="14"/>
    </row>
    <row r="97" spans="2:2" x14ac:dyDescent="0.75">
      <c r="B97" s="14"/>
    </row>
    <row r="98" spans="2:2" x14ac:dyDescent="0.75">
      <c r="B98" s="14"/>
    </row>
    <row r="99" spans="2:2" x14ac:dyDescent="0.75">
      <c r="B99" s="14"/>
    </row>
    <row r="100" spans="2:2" x14ac:dyDescent="0.75">
      <c r="B100" s="14"/>
    </row>
    <row r="101" spans="2:2" x14ac:dyDescent="0.75">
      <c r="B101" s="14"/>
    </row>
    <row r="102" spans="2:2" x14ac:dyDescent="0.75">
      <c r="B102" s="14"/>
    </row>
    <row r="103" spans="2:2" x14ac:dyDescent="0.75">
      <c r="B103" s="14"/>
    </row>
    <row r="104" spans="2:2" x14ac:dyDescent="0.75">
      <c r="B104" s="14"/>
    </row>
    <row r="105" spans="2:2" x14ac:dyDescent="0.75">
      <c r="B105" s="14"/>
    </row>
    <row r="106" spans="2:2" x14ac:dyDescent="0.75">
      <c r="B106" s="14"/>
    </row>
    <row r="107" spans="2:2" x14ac:dyDescent="0.75">
      <c r="B107" s="14"/>
    </row>
    <row r="108" spans="2:2" x14ac:dyDescent="0.75">
      <c r="B108" s="14"/>
    </row>
    <row r="109" spans="2:2" x14ac:dyDescent="0.75">
      <c r="B109" s="14"/>
    </row>
    <row r="110" spans="2:2" x14ac:dyDescent="0.75">
      <c r="B110" s="14"/>
    </row>
    <row r="111" spans="2:2" x14ac:dyDescent="0.75">
      <c r="B111" s="14"/>
    </row>
    <row r="112" spans="2:2" x14ac:dyDescent="0.75">
      <c r="B112" s="14"/>
    </row>
    <row r="113" spans="2:2" x14ac:dyDescent="0.75">
      <c r="B113" s="14"/>
    </row>
    <row r="114" spans="2:2" x14ac:dyDescent="0.75">
      <c r="B114" s="14"/>
    </row>
    <row r="115" spans="2:2" x14ac:dyDescent="0.75">
      <c r="B115" s="14"/>
    </row>
    <row r="116" spans="2:2" x14ac:dyDescent="0.75">
      <c r="B116" s="14"/>
    </row>
    <row r="117" spans="2:2" x14ac:dyDescent="0.75">
      <c r="B117" s="14"/>
    </row>
    <row r="118" spans="2:2" x14ac:dyDescent="0.75">
      <c r="B118" s="14"/>
    </row>
    <row r="119" spans="2:2" x14ac:dyDescent="0.75">
      <c r="B119" s="14"/>
    </row>
    <row r="120" spans="2:2" x14ac:dyDescent="0.75">
      <c r="B120" s="14"/>
    </row>
    <row r="121" spans="2:2" x14ac:dyDescent="0.75">
      <c r="B121" s="14"/>
    </row>
    <row r="122" spans="2:2" x14ac:dyDescent="0.75">
      <c r="B122" s="14"/>
    </row>
    <row r="123" spans="2:2" x14ac:dyDescent="0.75">
      <c r="B123" s="14"/>
    </row>
    <row r="124" spans="2:2" x14ac:dyDescent="0.75">
      <c r="B124" s="14"/>
    </row>
    <row r="125" spans="2:2" x14ac:dyDescent="0.75">
      <c r="B125" s="14"/>
    </row>
    <row r="126" spans="2:2" x14ac:dyDescent="0.75">
      <c r="B126" s="14"/>
    </row>
    <row r="127" spans="2:2" x14ac:dyDescent="0.75">
      <c r="B127" s="14"/>
    </row>
    <row r="128" spans="2:2" x14ac:dyDescent="0.75">
      <c r="B128" s="14"/>
    </row>
    <row r="129" spans="2:2" x14ac:dyDescent="0.75">
      <c r="B129" s="14"/>
    </row>
    <row r="130" spans="2:2" x14ac:dyDescent="0.75">
      <c r="B130" s="14"/>
    </row>
    <row r="131" spans="2:2" x14ac:dyDescent="0.75">
      <c r="B131" s="14"/>
    </row>
    <row r="132" spans="2:2" x14ac:dyDescent="0.75">
      <c r="B132" s="14"/>
    </row>
    <row r="133" spans="2:2" x14ac:dyDescent="0.75">
      <c r="B133" s="14"/>
    </row>
    <row r="134" spans="2:2" x14ac:dyDescent="0.75">
      <c r="B134" s="14"/>
    </row>
    <row r="135" spans="2:2" x14ac:dyDescent="0.75">
      <c r="B135" s="14"/>
    </row>
    <row r="136" spans="2:2" x14ac:dyDescent="0.75">
      <c r="B136" s="14"/>
    </row>
    <row r="137" spans="2:2" x14ac:dyDescent="0.75">
      <c r="B137" s="14"/>
    </row>
    <row r="138" spans="2:2" x14ac:dyDescent="0.75">
      <c r="B138" s="14"/>
    </row>
    <row r="139" spans="2:2" x14ac:dyDescent="0.75">
      <c r="B139" s="14"/>
    </row>
    <row r="140" spans="2:2" x14ac:dyDescent="0.75">
      <c r="B140" s="14"/>
    </row>
    <row r="141" spans="2:2" x14ac:dyDescent="0.75">
      <c r="B141" s="14"/>
    </row>
    <row r="142" spans="2:2" x14ac:dyDescent="0.75">
      <c r="B142" s="14"/>
    </row>
    <row r="143" spans="2:2" x14ac:dyDescent="0.75">
      <c r="B143" s="14"/>
    </row>
    <row r="144" spans="2:2" x14ac:dyDescent="0.75">
      <c r="B144" s="14"/>
    </row>
    <row r="145" spans="2:2" x14ac:dyDescent="0.75">
      <c r="B145" s="14"/>
    </row>
    <row r="146" spans="2:2" x14ac:dyDescent="0.75">
      <c r="B146" s="14"/>
    </row>
    <row r="147" spans="2:2" x14ac:dyDescent="0.75">
      <c r="B147" s="14"/>
    </row>
    <row r="148" spans="2:2" x14ac:dyDescent="0.75">
      <c r="B148" s="14"/>
    </row>
    <row r="149" spans="2:2" x14ac:dyDescent="0.75">
      <c r="B149" s="14"/>
    </row>
    <row r="150" spans="2:2" x14ac:dyDescent="0.75">
      <c r="B150" s="14"/>
    </row>
    <row r="151" spans="2:2" x14ac:dyDescent="0.75">
      <c r="B151" s="14"/>
    </row>
    <row r="152" spans="2:2" x14ac:dyDescent="0.75">
      <c r="B152" s="14"/>
    </row>
    <row r="153" spans="2:2" x14ac:dyDescent="0.75">
      <c r="B153" s="14"/>
    </row>
    <row r="154" spans="2:2" x14ac:dyDescent="0.75">
      <c r="B154" s="14"/>
    </row>
    <row r="155" spans="2:2" x14ac:dyDescent="0.75">
      <c r="B155" s="14"/>
    </row>
    <row r="156" spans="2:2" x14ac:dyDescent="0.75">
      <c r="B156" s="14"/>
    </row>
    <row r="157" spans="2:2" x14ac:dyDescent="0.75">
      <c r="B157" s="14"/>
    </row>
    <row r="158" spans="2:2" x14ac:dyDescent="0.75">
      <c r="B158" s="14"/>
    </row>
    <row r="159" spans="2:2" x14ac:dyDescent="0.75">
      <c r="B159" s="14"/>
    </row>
    <row r="160" spans="2:2" x14ac:dyDescent="0.75">
      <c r="B160" s="14"/>
    </row>
    <row r="161" spans="2:2" x14ac:dyDescent="0.75">
      <c r="B161" s="14"/>
    </row>
    <row r="162" spans="2:2" x14ac:dyDescent="0.75">
      <c r="B162" s="14"/>
    </row>
    <row r="163" spans="2:2" x14ac:dyDescent="0.75">
      <c r="B163" s="14"/>
    </row>
    <row r="164" spans="2:2" x14ac:dyDescent="0.75">
      <c r="B164" s="14"/>
    </row>
    <row r="165" spans="2:2" x14ac:dyDescent="0.75">
      <c r="B165" s="14"/>
    </row>
    <row r="166" spans="2:2" x14ac:dyDescent="0.75">
      <c r="B166" s="14"/>
    </row>
    <row r="167" spans="2:2" x14ac:dyDescent="0.75">
      <c r="B167" s="14"/>
    </row>
    <row r="168" spans="2:2" x14ac:dyDescent="0.75">
      <c r="B168" s="14"/>
    </row>
    <row r="169" spans="2:2" x14ac:dyDescent="0.75">
      <c r="B169" s="14"/>
    </row>
    <row r="170" spans="2:2" x14ac:dyDescent="0.75">
      <c r="B170" s="14"/>
    </row>
    <row r="171" spans="2:2" x14ac:dyDescent="0.75">
      <c r="B171" s="14"/>
    </row>
    <row r="172" spans="2:2" x14ac:dyDescent="0.75">
      <c r="B172" s="14"/>
    </row>
    <row r="173" spans="2:2" x14ac:dyDescent="0.75">
      <c r="B173" s="14"/>
    </row>
    <row r="174" spans="2:2" x14ac:dyDescent="0.75">
      <c r="B174" s="14"/>
    </row>
    <row r="175" spans="2:2" x14ac:dyDescent="0.75">
      <c r="B175" s="14"/>
    </row>
    <row r="176" spans="2:2" x14ac:dyDescent="0.75">
      <c r="B176" s="14"/>
    </row>
    <row r="177" spans="2:2" x14ac:dyDescent="0.75">
      <c r="B177" s="14"/>
    </row>
    <row r="178" spans="2:2" x14ac:dyDescent="0.75">
      <c r="B178" s="14"/>
    </row>
    <row r="179" spans="2:2" x14ac:dyDescent="0.75">
      <c r="B179" s="14"/>
    </row>
    <row r="180" spans="2:2" x14ac:dyDescent="0.75">
      <c r="B180" s="14"/>
    </row>
    <row r="181" spans="2:2" x14ac:dyDescent="0.75">
      <c r="B181" s="14"/>
    </row>
    <row r="182" spans="2:2" x14ac:dyDescent="0.75">
      <c r="B182" s="14"/>
    </row>
    <row r="183" spans="2:2" x14ac:dyDescent="0.75">
      <c r="B183" s="14"/>
    </row>
    <row r="184" spans="2:2" x14ac:dyDescent="0.75">
      <c r="B184" s="14"/>
    </row>
    <row r="185" spans="2:2" x14ac:dyDescent="0.75">
      <c r="B185" s="14"/>
    </row>
    <row r="186" spans="2:2" x14ac:dyDescent="0.75">
      <c r="B186" s="14"/>
    </row>
    <row r="187" spans="2:2" x14ac:dyDescent="0.75">
      <c r="B187" s="14"/>
    </row>
    <row r="188" spans="2:2" x14ac:dyDescent="0.75">
      <c r="B188" s="14"/>
    </row>
    <row r="189" spans="2:2" x14ac:dyDescent="0.75">
      <c r="B189" s="14"/>
    </row>
    <row r="190" spans="2:2" x14ac:dyDescent="0.75">
      <c r="B190" s="14"/>
    </row>
    <row r="191" spans="2:2" x14ac:dyDescent="0.75">
      <c r="B191" s="14"/>
    </row>
    <row r="192" spans="2:2" x14ac:dyDescent="0.75">
      <c r="B192" s="14"/>
    </row>
    <row r="193" spans="2:2" x14ac:dyDescent="0.75">
      <c r="B193" s="14"/>
    </row>
    <row r="194" spans="2:2" x14ac:dyDescent="0.75">
      <c r="B194" s="14"/>
    </row>
    <row r="195" spans="2:2" x14ac:dyDescent="0.75">
      <c r="B195" s="14"/>
    </row>
    <row r="196" spans="2:2" x14ac:dyDescent="0.75">
      <c r="B196" s="14"/>
    </row>
    <row r="197" spans="2:2" x14ac:dyDescent="0.75">
      <c r="B197" s="14"/>
    </row>
    <row r="198" spans="2:2" x14ac:dyDescent="0.75">
      <c r="B198" s="14"/>
    </row>
    <row r="199" spans="2:2" x14ac:dyDescent="0.75">
      <c r="B199" s="14"/>
    </row>
    <row r="200" spans="2:2" x14ac:dyDescent="0.75">
      <c r="B200" s="14"/>
    </row>
    <row r="201" spans="2:2" x14ac:dyDescent="0.75">
      <c r="B201" s="14"/>
    </row>
    <row r="202" spans="2:2" x14ac:dyDescent="0.75">
      <c r="B202" s="14"/>
    </row>
    <row r="203" spans="2:2" x14ac:dyDescent="0.75">
      <c r="B203" s="14"/>
    </row>
    <row r="204" spans="2:2" x14ac:dyDescent="0.75">
      <c r="B204" s="14"/>
    </row>
    <row r="205" spans="2:2" x14ac:dyDescent="0.75">
      <c r="B205" s="14"/>
    </row>
    <row r="206" spans="2:2" x14ac:dyDescent="0.75">
      <c r="B206" s="14"/>
    </row>
    <row r="207" spans="2:2" x14ac:dyDescent="0.75">
      <c r="B207" s="14"/>
    </row>
    <row r="208" spans="2:2" x14ac:dyDescent="0.75">
      <c r="B208" s="14"/>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59073"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4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9C8F9A-BA74-4D98-BEE1-567D29B66478}">
  <sheetPr codeName="Foglio38">
    <tabColor theme="7" tint="0.39997558519241921"/>
  </sheetPr>
  <dimension ref="A1:L39"/>
  <sheetViews>
    <sheetView workbookViewId="0">
      <selection activeCell="C23" sqref="C23"/>
    </sheetView>
  </sheetViews>
  <sheetFormatPr defaultRowHeight="14.75" x14ac:dyDescent="0.75"/>
  <cols>
    <col min="1" max="1" width="16.54296875" customWidth="1"/>
    <col min="2" max="2" width="59.5" customWidth="1"/>
    <col min="3" max="3" width="44.6328125" customWidth="1"/>
    <col min="4" max="4" width="71.58984375" style="1" bestFit="1" customWidth="1"/>
    <col min="5" max="5" width="30.63281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11" x14ac:dyDescent="0.75">
      <c r="I1" s="32" t="s">
        <v>37</v>
      </c>
    </row>
    <row r="2" spans="1:11" x14ac:dyDescent="0.75">
      <c r="I2" s="33" t="s">
        <v>36</v>
      </c>
    </row>
    <row r="3" spans="1:11" ht="15.5" thickBot="1" x14ac:dyDescent="0.9">
      <c r="I3" s="33" t="str">
        <f>I1</f>
        <v>// -------------------------------------------------------------------------------</v>
      </c>
    </row>
    <row r="4" spans="1:11" x14ac:dyDescent="0.75">
      <c r="A4" s="6" t="s">
        <v>14</v>
      </c>
      <c r="B4" s="17" t="s">
        <v>424</v>
      </c>
      <c r="I4" s="25" t="str">
        <f>CONCATENATE("Logical: ",B4)</f>
        <v>Logical: OrderLabEhn</v>
      </c>
    </row>
    <row r="5" spans="1:11" x14ac:dyDescent="0.75">
      <c r="A5" s="18" t="s">
        <v>19</v>
      </c>
      <c r="B5" s="34" t="s">
        <v>230</v>
      </c>
      <c r="I5" s="25" t="str">
        <f>CONCATENATE("Id: ",B5)</f>
        <v>Id: Order</v>
      </c>
    </row>
    <row r="6" spans="1:11" x14ac:dyDescent="0.75">
      <c r="A6" s="18" t="s">
        <v>13</v>
      </c>
      <c r="B6" s="19" t="s">
        <v>779</v>
      </c>
      <c r="I6" s="26" t="str">
        <f>CONCATENATE("Title: ##34#",B6,"##34#")</f>
        <v>Title: ##34#A2, A3 - Order##34#</v>
      </c>
    </row>
    <row r="7" spans="1:11" x14ac:dyDescent="0.75">
      <c r="A7" s="46" t="s">
        <v>5</v>
      </c>
      <c r="B7" s="19" t="s">
        <v>427</v>
      </c>
      <c r="C7" s="12"/>
      <c r="D7" s="2"/>
      <c r="E7" s="57"/>
      <c r="F7" s="3" t="s">
        <v>9</v>
      </c>
      <c r="G7" s="3" t="s">
        <v>10</v>
      </c>
      <c r="I7" s="26" t="str">
        <f>CONCATENATE("Description: "," ##334#",B7,"##334#",)</f>
        <v>Description:  ##334#Order information (A.2) and reason (A3)##334#</v>
      </c>
    </row>
    <row r="8" spans="1:11" ht="44.25" x14ac:dyDescent="0.75">
      <c r="A8" s="9">
        <v>1</v>
      </c>
      <c r="B8" s="9" t="s">
        <v>439</v>
      </c>
      <c r="C8" s="14" t="s">
        <v>430</v>
      </c>
      <c r="D8" s="14" t="s">
        <v>416</v>
      </c>
      <c r="E8" s="9">
        <v>0</v>
      </c>
      <c r="F8" s="9">
        <v>1</v>
      </c>
      <c r="G8" s="9" t="s">
        <v>4</v>
      </c>
      <c r="H8" s="23"/>
      <c r="I8" s="14" t="str">
        <f>CONCATENATE("* ",B8, " ",E8,"..",F8," ",G8," ##34#",C8,"##34# ##334#",D8,"##334#")</f>
        <v>* orderDetails 0..1 BackboneElement ##34#A.2 Order information##34# ##334#A.2 Order information (Laboratory Result Report could respond to multiple test orders) ##334#</v>
      </c>
    </row>
    <row r="9" spans="1:11" ht="45" thickBot="1" x14ac:dyDescent="0.9">
      <c r="A9" s="9">
        <v>2</v>
      </c>
      <c r="B9" s="9" t="s">
        <v>440</v>
      </c>
      <c r="C9" s="14" t="s">
        <v>417</v>
      </c>
      <c r="D9" s="64" t="s">
        <v>147</v>
      </c>
      <c r="E9" s="9">
        <v>0</v>
      </c>
      <c r="F9" s="9" t="s">
        <v>11</v>
      </c>
      <c r="G9" s="9" t="s">
        <v>0</v>
      </c>
      <c r="H9" s="23"/>
      <c r="I9" s="14" t="str">
        <f t="shared" ref="I9:I19" si="0">CONCATENATE("* ",B9, " ",E9,"..",F9," ",G9," ##34#",C9,"##34# ##334#",D9,"##334#")</f>
        <v>* orderDetails.identifier 0..* Identifier ##34#A.2.1 Order Id##34# ##334#An identifier of the laboratory test order. Laboratory Result Report may respond to multiple orders.##334#</v>
      </c>
    </row>
    <row r="10" spans="1:11" ht="44.25" x14ac:dyDescent="0.75">
      <c r="A10" s="9">
        <v>3</v>
      </c>
      <c r="B10" s="9" t="s">
        <v>441</v>
      </c>
      <c r="C10" s="14" t="s">
        <v>418</v>
      </c>
      <c r="D10" s="14" t="s">
        <v>428</v>
      </c>
      <c r="E10" s="9">
        <v>0</v>
      </c>
      <c r="F10" s="9" t="s">
        <v>11</v>
      </c>
      <c r="G10" s="59" t="s">
        <v>2</v>
      </c>
      <c r="H10" s="23"/>
      <c r="I10" s="14" t="str">
        <f t="shared" si="0"/>
        <v>* orderDetails.dateTime 0..* dateTime ##34#A.2.2 Order date and time##34# ##334#Date and time of the order placement. - Preferred system(s): ISO 8601##334#</v>
      </c>
    </row>
    <row r="11" spans="1:11" ht="88.5" x14ac:dyDescent="0.75">
      <c r="A11" s="59">
        <v>4</v>
      </c>
      <c r="B11" s="9" t="s">
        <v>442</v>
      </c>
      <c r="C11" s="1" t="s">
        <v>419</v>
      </c>
      <c r="D11" s="60" t="s">
        <v>548</v>
      </c>
      <c r="E11" s="59">
        <v>0</v>
      </c>
      <c r="F11" s="59" t="s">
        <v>11</v>
      </c>
      <c r="G11" s="9" t="s">
        <v>0</v>
      </c>
      <c r="H11" s="23"/>
      <c r="I11" s="14" t="str">
        <f t="shared" si="0"/>
        <v>* orderDetails.orderPlacerIdentifier 0..* Identifier ##34#A.2.3 Order placer identifier##34# ##334#The health professional identification number. Either an internal identifier assigned by a healthcare provider institution or (preferably) a national health professional ID such as the license or registration number. In case when order placer is not a health professional, e.g. by patients themselves where applicable, appropriate personal identifier should be used. ##334#</v>
      </c>
    </row>
    <row r="12" spans="1:11" ht="29.5" x14ac:dyDescent="0.75">
      <c r="A12" s="9">
        <v>5</v>
      </c>
      <c r="B12" s="9" t="s">
        <v>443</v>
      </c>
      <c r="C12" s="14" t="s">
        <v>420</v>
      </c>
      <c r="D12" s="14" t="s">
        <v>89</v>
      </c>
      <c r="E12" s="59">
        <v>0</v>
      </c>
      <c r="F12" s="59" t="s">
        <v>11</v>
      </c>
      <c r="G12" s="9" t="s">
        <v>414</v>
      </c>
      <c r="H12" s="23"/>
      <c r="I12" s="14" t="str">
        <f t="shared" si="0"/>
        <v>* orderDetails.orderPlacerName 0..* HumanName ##34#A.2.4 Order placer name##34# ##334#Person name.##334#</v>
      </c>
    </row>
    <row r="13" spans="1:11" ht="44.25" x14ac:dyDescent="0.75">
      <c r="A13" s="9">
        <v>6</v>
      </c>
      <c r="B13" s="9" t="s">
        <v>444</v>
      </c>
      <c r="C13" s="52" t="s">
        <v>421</v>
      </c>
      <c r="D13" s="14" t="s">
        <v>158</v>
      </c>
      <c r="E13" s="59">
        <v>0</v>
      </c>
      <c r="F13" s="59" t="s">
        <v>11</v>
      </c>
      <c r="G13" s="9" t="s">
        <v>4</v>
      </c>
      <c r="H13" s="23"/>
      <c r="I13" s="14" t="str">
        <f t="shared" si="0"/>
        <v>* orderDetails.orderPlacerContacts 0..* BackboneElement ##34#A.2.5 Order placer contact details##34# ##334#Contact details of order placer (address and telecom details).##334#</v>
      </c>
    </row>
    <row r="14" spans="1:11" ht="29.5" x14ac:dyDescent="0.75">
      <c r="A14" s="9">
        <v>7</v>
      </c>
      <c r="B14" s="9" t="s">
        <v>445</v>
      </c>
      <c r="C14" s="52" t="s">
        <v>550</v>
      </c>
      <c r="D14" s="52" t="s">
        <v>161</v>
      </c>
      <c r="E14" s="59">
        <v>0</v>
      </c>
      <c r="F14" s="59" t="s">
        <v>11</v>
      </c>
      <c r="G14" s="9" t="s">
        <v>370</v>
      </c>
      <c r="H14" s="23"/>
      <c r="I14" s="14" t="str">
        <f t="shared" si="0"/>
        <v>* orderDetails.orderPlacerOrganization 0..* Organization ##34#A.2.6 Order placer organization##34# ##334#Order placer organization information.##334#</v>
      </c>
    </row>
    <row r="15" spans="1:11" ht="29.5" x14ac:dyDescent="0.75">
      <c r="A15" s="9">
        <v>8</v>
      </c>
      <c r="B15" s="9" t="s">
        <v>436</v>
      </c>
      <c r="C15" s="14" t="s">
        <v>429</v>
      </c>
      <c r="D15" s="14" t="s">
        <v>422</v>
      </c>
      <c r="E15" s="9">
        <v>0</v>
      </c>
      <c r="F15" s="9" t="s">
        <v>11</v>
      </c>
      <c r="G15" s="9" t="s">
        <v>4</v>
      </c>
      <c r="H15" s="23"/>
      <c r="I15" s="14" t="str">
        <f t="shared" si="0"/>
        <v>* reason 0..* BackboneElement ##34#A.3 Order reason##34# ##334#A.3 Order reason (Laboratory Result Report could respond to multiple reasons) ##334#</v>
      </c>
      <c r="J15" s="16"/>
      <c r="K15" s="9"/>
    </row>
    <row r="16" spans="1:11" ht="118" x14ac:dyDescent="0.75">
      <c r="A16" s="9">
        <v>9</v>
      </c>
      <c r="B16" s="9" t="s">
        <v>437</v>
      </c>
      <c r="C16" s="14" t="s">
        <v>423</v>
      </c>
      <c r="D16" s="14" t="s">
        <v>438</v>
      </c>
      <c r="E16" s="9">
        <v>0</v>
      </c>
      <c r="F16" s="9" t="s">
        <v>11</v>
      </c>
      <c r="G16" s="53" t="s">
        <v>1</v>
      </c>
      <c r="H16" s="9"/>
      <c r="I16" s="14" t="str">
        <f t="shared" si="0"/>
        <v>* reason.code 0..* CodeableConcept ##34#A.3.1 Problem / diagnosis / condition description##34# ##334#Health conditions affecting the health of the patient and are important to be known for a health professional during a health encounter. Clinical conditions of the subject relevant for the results interpretation.
- Preferred system(s): ICD-10 (ICD-11 when available)
- Preferred system(s): SNOMED CT
- Preferred system(s): Orphacode##334#</v>
      </c>
    </row>
    <row r="17" spans="2:9" ht="14.75" customHeight="1" x14ac:dyDescent="0.75">
      <c r="I17" s="14" t="str">
        <f t="shared" si="0"/>
        <v>*  ..  ##34###34# ##334###334#</v>
      </c>
    </row>
    <row r="18" spans="2:9" ht="15.5" customHeight="1" x14ac:dyDescent="0.75">
      <c r="I18" s="14" t="str">
        <f t="shared" si="0"/>
        <v>*  ..  ##34###34# ##334###334#</v>
      </c>
    </row>
    <row r="19" spans="2:9" x14ac:dyDescent="0.75">
      <c r="I19" s="14" t="str">
        <f t="shared" si="0"/>
        <v>*  ..  ##34###34# ##334###334#</v>
      </c>
    </row>
    <row r="20" spans="2:9" x14ac:dyDescent="0.75">
      <c r="I20" s="14"/>
    </row>
    <row r="21" spans="2:9" x14ac:dyDescent="0.75">
      <c r="I21"/>
    </row>
    <row r="25" spans="2:9" ht="15.5" thickBot="1" x14ac:dyDescent="0.9"/>
    <row r="26" spans="2:9" ht="15.5" thickBot="1" x14ac:dyDescent="0.9">
      <c r="B26" t="str">
        <f t="shared" ref="B26:B34" si="1">CONCATENATE(C26," ",D26)</f>
        <v xml:space="preserve">A.2 Order information (Laboratory Result Report could respond to multiple test orders) </v>
      </c>
      <c r="C26" s="105" t="s">
        <v>144</v>
      </c>
      <c r="D26" s="106"/>
      <c r="E26" s="106"/>
      <c r="F26" s="107"/>
    </row>
    <row r="27" spans="2:9" ht="64.75" thickBot="1" x14ac:dyDescent="0.9">
      <c r="B27" t="str">
        <f t="shared" si="1"/>
        <v>A.2.1 Order Id</v>
      </c>
      <c r="C27" s="36" t="s">
        <v>145</v>
      </c>
      <c r="D27" s="39" t="s">
        <v>146</v>
      </c>
      <c r="E27" s="37" t="s">
        <v>147</v>
      </c>
      <c r="F27" s="42"/>
      <c r="I27" s="1" t="str">
        <f t="shared" ref="I27:I36" si="2">CONCATENATE(E27," - Preferred system(s): ",F27)</f>
        <v xml:space="preserve">An identifier of the laboratory test order. Laboratory Result Report may respond to multiple orders. - Preferred system(s): </v>
      </c>
    </row>
    <row r="28" spans="2:9" ht="32.75" thickBot="1" x14ac:dyDescent="0.9">
      <c r="B28" t="str">
        <f t="shared" si="1"/>
        <v>A.2.2 Order date and time</v>
      </c>
      <c r="C28" s="36" t="s">
        <v>148</v>
      </c>
      <c r="D28" s="39" t="s">
        <v>149</v>
      </c>
      <c r="E28" s="37" t="s">
        <v>150</v>
      </c>
      <c r="F28" s="39" t="s">
        <v>113</v>
      </c>
      <c r="I28" s="1" t="str">
        <f t="shared" si="2"/>
        <v>Date and time of the order placement. - Preferred system(s): ISO 8601</v>
      </c>
    </row>
    <row r="29" spans="2:9" ht="192.75" thickBot="1" x14ac:dyDescent="0.9">
      <c r="B29" t="str">
        <f t="shared" si="1"/>
        <v>A.2.3 Order placer identifier</v>
      </c>
      <c r="C29" s="36" t="s">
        <v>151</v>
      </c>
      <c r="D29" s="39" t="s">
        <v>152</v>
      </c>
      <c r="E29" s="37" t="s">
        <v>548</v>
      </c>
      <c r="F29" s="42"/>
      <c r="I29" s="1" t="str">
        <f t="shared" si="2"/>
        <v xml:space="preserve">The health professional identification number. Either an internal identifier assigned by a healthcare provider institution or (preferably) a national health professional ID such as the license or registration number. In case when order placer is not a health professional, e.g. by patients themselves where applicable, appropriate personal identifier should be used.  - Preferred system(s): </v>
      </c>
    </row>
    <row r="30" spans="2:9" ht="16.75" thickBot="1" x14ac:dyDescent="0.9">
      <c r="B30" t="str">
        <f t="shared" si="1"/>
        <v>A.2.4 Order placer name</v>
      </c>
      <c r="C30" s="36" t="s">
        <v>154</v>
      </c>
      <c r="D30" s="39" t="s">
        <v>155</v>
      </c>
      <c r="E30" s="37" t="s">
        <v>89</v>
      </c>
      <c r="F30" s="42"/>
      <c r="I30" s="1" t="str">
        <f t="shared" si="2"/>
        <v xml:space="preserve">Person name. - Preferred system(s): </v>
      </c>
    </row>
    <row r="31" spans="2:9" ht="32.75" thickBot="1" x14ac:dyDescent="0.9">
      <c r="B31" t="str">
        <f t="shared" si="1"/>
        <v>A.2.5 Order placer contact details</v>
      </c>
      <c r="C31" s="36" t="s">
        <v>156</v>
      </c>
      <c r="D31" s="39" t="s">
        <v>157</v>
      </c>
      <c r="E31" s="37" t="s">
        <v>158</v>
      </c>
      <c r="F31" s="38"/>
      <c r="I31" s="1" t="str">
        <f t="shared" si="2"/>
        <v xml:space="preserve">Contact details of order placer (address and telecom details). - Preferred system(s): </v>
      </c>
    </row>
    <row r="32" spans="2:9" ht="32.75" thickBot="1" x14ac:dyDescent="0.9">
      <c r="B32" t="str">
        <f t="shared" si="1"/>
        <v xml:space="preserve">A.2.6 Order placer organization </v>
      </c>
      <c r="C32" s="36" t="s">
        <v>159</v>
      </c>
      <c r="D32" s="39" t="s">
        <v>549</v>
      </c>
      <c r="E32" s="37" t="s">
        <v>161</v>
      </c>
      <c r="F32" s="42"/>
      <c r="I32" s="1" t="str">
        <f t="shared" si="2"/>
        <v xml:space="preserve">Order placer organization information. - Preferred system(s): </v>
      </c>
    </row>
    <row r="33" spans="2:9" ht="15.5" thickBot="1" x14ac:dyDescent="0.9">
      <c r="B33" t="str">
        <f t="shared" si="1"/>
        <v xml:space="preserve">A.3 Order reason (Laboratory Result Report could respond to multiple reasons) </v>
      </c>
      <c r="C33" s="108" t="s">
        <v>162</v>
      </c>
      <c r="D33" s="109"/>
      <c r="E33" s="109"/>
      <c r="F33" s="110"/>
    </row>
    <row r="34" spans="2:9" ht="80" x14ac:dyDescent="0.75">
      <c r="B34" t="str">
        <f t="shared" si="1"/>
        <v>A.3.1 Problem / diagnosis / condition description</v>
      </c>
      <c r="C34" s="99" t="s">
        <v>163</v>
      </c>
      <c r="D34" s="99" t="s">
        <v>164</v>
      </c>
      <c r="E34" s="99" t="s">
        <v>165</v>
      </c>
      <c r="F34" s="43" t="s">
        <v>166</v>
      </c>
      <c r="I34" s="1" t="str">
        <f t="shared" si="2"/>
        <v>Health conditions affecting the health of the patient and are important to be known for a health professional during a health encounter. Clinical conditions of the subject relevant for the results interpretation. - Preferred system(s): ICD-10 (ICD-11 when available)</v>
      </c>
    </row>
    <row r="35" spans="2:9" ht="32" x14ac:dyDescent="0.75">
      <c r="C35" s="100"/>
      <c r="D35" s="100"/>
      <c r="E35" s="100"/>
      <c r="F35" s="43" t="s">
        <v>167</v>
      </c>
      <c r="I35" s="1" t="str">
        <f t="shared" si="2"/>
        <v xml:space="preserve"> - Preferred system(s): SNOMED CT</v>
      </c>
    </row>
    <row r="36" spans="2:9" ht="32.75" thickBot="1" x14ac:dyDescent="0.9">
      <c r="C36" s="101"/>
      <c r="D36" s="101"/>
      <c r="E36" s="101"/>
      <c r="F36" s="39" t="s">
        <v>168</v>
      </c>
      <c r="I36" s="1" t="str">
        <f t="shared" si="2"/>
        <v xml:space="preserve"> - Preferred system(s): Orphacode</v>
      </c>
    </row>
    <row r="39" spans="2:9" ht="59" x14ac:dyDescent="0.75">
      <c r="D39" s="1" t="s">
        <v>431</v>
      </c>
    </row>
  </sheetData>
  <mergeCells count="5">
    <mergeCell ref="C26:F26"/>
    <mergeCell ref="C33:F33"/>
    <mergeCell ref="C34:C36"/>
    <mergeCell ref="D34:D36"/>
    <mergeCell ref="E34:E36"/>
  </mergeCells>
  <hyperlinks>
    <hyperlink ref="C26:F26" location="Order!A1" display="A.2 Order information (Laboratory Result Report could respond to multiple test orders)" xr:uid="{E964704F-8005-4CDC-86EC-8C869BFFCD93}"/>
    <hyperlink ref="C33:F33" location="Order!A1" display="A.3 Order reason (Laboratory Result Report could respond to multiple reasons)" xr:uid="{C60B70A8-DA84-4B62-8C55-7BD28E382899}"/>
  </hyperlinks>
  <pageMargins left="0.7" right="0.7" top="0.75" bottom="0.75" header="0.3" footer="0.3"/>
  <pageSetup paperSize="9" orientation="portrait" r:id="rId1"/>
  <legacyDrawing r:id="rId2"/>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290BCC-B07F-46AB-957B-7F2744A3CBC6}">
  <sheetPr codeName="Foglio39"/>
  <dimension ref="A1:O27"/>
  <sheetViews>
    <sheetView workbookViewId="0"/>
  </sheetViews>
  <sheetFormatPr defaultRowHeight="14.75" x14ac:dyDescent="0.75"/>
  <cols>
    <col min="2" max="2" width="31.6796875" bestFit="1" customWidth="1"/>
    <col min="3" max="3" width="82.76953125" customWidth="1"/>
    <col min="4" max="4" width="8.04296875" customWidth="1"/>
    <col min="5" max="5" width="71.58984375" style="1" customWidth="1"/>
    <col min="6" max="6" width="10.76953125" customWidth="1"/>
    <col min="7" max="7" width="45.26953125" customWidth="1"/>
  </cols>
  <sheetData>
    <row r="1" spans="1:15" x14ac:dyDescent="0.75">
      <c r="E1" s="24" t="s">
        <v>37</v>
      </c>
      <c r="H1" s="10"/>
      <c r="I1" s="10"/>
      <c r="J1" s="10"/>
      <c r="K1" s="10"/>
      <c r="L1" s="10"/>
      <c r="M1" s="10"/>
      <c r="N1" s="10"/>
      <c r="O1" s="10"/>
    </row>
    <row r="2" spans="1:15" x14ac:dyDescent="0.75">
      <c r="E2" s="31" t="s">
        <v>38</v>
      </c>
      <c r="H2" s="10"/>
      <c r="I2" s="10"/>
      <c r="J2" s="10"/>
      <c r="K2" s="10"/>
      <c r="L2" s="10"/>
      <c r="M2" s="10"/>
      <c r="N2" s="10"/>
      <c r="O2" s="10"/>
    </row>
    <row r="3" spans="1:15" ht="15.5" thickBot="1" x14ac:dyDescent="0.9">
      <c r="E3" s="31" t="str">
        <f>E1</f>
        <v>// -------------------------------------------------------------------------------</v>
      </c>
      <c r="H3" s="10"/>
      <c r="I3" s="10"/>
      <c r="J3" s="10"/>
      <c r="K3" s="10"/>
      <c r="L3" s="10"/>
      <c r="M3" s="10"/>
      <c r="N3" s="10"/>
      <c r="O3" s="10"/>
    </row>
    <row r="4" spans="1:15" ht="15.5" thickBot="1" x14ac:dyDescent="0.9">
      <c r="B4" s="13" t="s">
        <v>34</v>
      </c>
      <c r="C4" s="7" t="s">
        <v>425</v>
      </c>
      <c r="E4" s="28" t="str">
        <f>CONCATENATE("Mapping: ",C4)</f>
        <v>Mapping: eHNLabOrder2Fhir</v>
      </c>
      <c r="H4" s="10"/>
      <c r="I4" s="10"/>
      <c r="J4" s="10"/>
      <c r="K4" s="10"/>
      <c r="L4" s="10"/>
      <c r="M4" s="10"/>
      <c r="N4" s="10"/>
      <c r="O4" s="10"/>
    </row>
    <row r="5" spans="1:15" ht="15.5" thickBot="1" x14ac:dyDescent="0.9">
      <c r="B5" s="13" t="s">
        <v>19</v>
      </c>
      <c r="C5" s="5" t="s">
        <v>16</v>
      </c>
      <c r="E5" s="29" t="str">
        <f>CONCATENATE("Id: ",C5)</f>
        <v>Id: fhir</v>
      </c>
      <c r="H5" s="10"/>
      <c r="I5" s="10"/>
      <c r="J5" s="10"/>
      <c r="K5" s="10"/>
      <c r="L5" s="10"/>
      <c r="M5" s="10"/>
      <c r="N5" s="10"/>
      <c r="O5" s="10"/>
    </row>
    <row r="6" spans="1:15" ht="15.5" thickBot="1" x14ac:dyDescent="0.9">
      <c r="B6" s="13" t="s">
        <v>13</v>
      </c>
      <c r="C6" s="22" t="s">
        <v>426</v>
      </c>
      <c r="E6" s="29" t="str">
        <f>CONCATENATE("Title: ##34#",C6,"##34#")</f>
        <v>Title: ##34#eHN Lab Order model to FHIR R4 Map##34#</v>
      </c>
      <c r="H6" s="10"/>
      <c r="I6" s="10"/>
      <c r="J6" s="10"/>
      <c r="K6" s="10"/>
      <c r="L6" s="10"/>
      <c r="M6" s="10"/>
      <c r="N6" s="10"/>
      <c r="O6" s="10"/>
    </row>
    <row r="7" spans="1:15" ht="15.5" thickBot="1" x14ac:dyDescent="0.9">
      <c r="B7" s="13" t="s">
        <v>35</v>
      </c>
      <c r="C7" s="11" t="str">
        <f>B9</f>
        <v>Order</v>
      </c>
      <c r="E7" s="29" t="str">
        <f>CONCATENATE("Source: ",C7)</f>
        <v>Source: Order</v>
      </c>
      <c r="H7" s="10"/>
      <c r="I7" s="10"/>
      <c r="J7" s="10"/>
      <c r="K7" s="10"/>
      <c r="L7" s="10"/>
      <c r="M7" s="10"/>
      <c r="N7" s="10"/>
      <c r="O7" s="10"/>
    </row>
    <row r="8" spans="1:15" ht="15.5" thickBot="1" x14ac:dyDescent="0.9">
      <c r="B8" s="27" t="s">
        <v>18</v>
      </c>
      <c r="C8" t="s">
        <v>15</v>
      </c>
      <c r="E8" s="30" t="str">
        <f>CONCATENATE("Target: ##34#",C8,"##34#")</f>
        <v>Target: ##34#hl7.org/fhir/r4##34#</v>
      </c>
      <c r="H8" s="10"/>
      <c r="I8" s="10"/>
      <c r="J8" s="10"/>
      <c r="K8" s="10"/>
      <c r="L8" s="10"/>
      <c r="M8" s="10"/>
      <c r="N8" s="10"/>
      <c r="O8" s="10"/>
    </row>
    <row r="9" spans="1:15" ht="44.25" x14ac:dyDescent="0.75">
      <c r="A9" s="9"/>
      <c r="B9" s="8" t="str">
        <f>'A2 Order'!B5</f>
        <v>Order</v>
      </c>
      <c r="C9" s="4" t="s">
        <v>339</v>
      </c>
      <c r="E9" s="4" t="str">
        <f>CONCATENATE("* -&gt; ##34#",C9,"##34#")</f>
        <v>* -&gt; ##34#Composition.extension('http://hl7.eu/fhir/ig/xeh/StructureDefinition/composition-basedOn-order-or-requisition').valueReference.resolve()##34#</v>
      </c>
      <c r="H9" s="10"/>
      <c r="I9" s="10"/>
      <c r="J9" s="10"/>
      <c r="K9" s="10"/>
      <c r="L9" s="10"/>
      <c r="M9" s="10"/>
      <c r="N9" s="10"/>
      <c r="O9" s="10"/>
    </row>
    <row r="10" spans="1:15" ht="44.25" x14ac:dyDescent="0.75">
      <c r="A10" s="9"/>
      <c r="B10" s="9" t="str">
        <f>'A2 Order'!B8</f>
        <v>orderDetails</v>
      </c>
      <c r="C10" s="14" t="s">
        <v>339</v>
      </c>
      <c r="E10" s="14" t="str">
        <f t="shared" ref="E10:E24" si="0">IF(B10=0,"*  -&gt; ##34###34#",CONCATENATE("* ",B10," -&gt; ##34#",C10,"##34#"))</f>
        <v>* orderDetails -&gt; ##34#Composition.extension('http://hl7.eu/fhir/ig/xeh/StructureDefinition/composition-basedOn-order-or-requisition').valueReference.resolve()##34#</v>
      </c>
      <c r="H10" s="10"/>
      <c r="I10" s="10"/>
      <c r="J10" s="10"/>
      <c r="K10" s="10"/>
      <c r="L10" s="10"/>
      <c r="M10" s="10"/>
      <c r="N10" s="10"/>
      <c r="O10" s="10"/>
    </row>
    <row r="11" spans="1:15" x14ac:dyDescent="0.75">
      <c r="A11" s="9"/>
      <c r="B11" s="9" t="str">
        <f>'A2 Order'!B9</f>
        <v>orderDetails.identifier</v>
      </c>
      <c r="C11" s="9" t="s">
        <v>594</v>
      </c>
      <c r="E11" s="14" t="str">
        <f t="shared" si="0"/>
        <v>* orderDetails.identifier -&gt; ##34#ServiceRequest.identifier##34#</v>
      </c>
      <c r="H11" s="10"/>
      <c r="I11" s="10"/>
      <c r="J11" s="10"/>
      <c r="K11" s="10"/>
      <c r="L11" s="10"/>
      <c r="M11" s="10"/>
      <c r="N11" s="10"/>
      <c r="O11" s="10"/>
    </row>
    <row r="12" spans="1:15" x14ac:dyDescent="0.75">
      <c r="A12" s="9"/>
      <c r="B12" s="9" t="str">
        <f>'A2 Order'!B10</f>
        <v>orderDetails.dateTime</v>
      </c>
      <c r="C12" s="9" t="s">
        <v>595</v>
      </c>
      <c r="E12" s="14" t="str">
        <f t="shared" si="0"/>
        <v>* orderDetails.dateTime -&gt; ##34#ServiceRequest.authoredOn##34#</v>
      </c>
      <c r="H12" s="10"/>
      <c r="I12" s="10"/>
      <c r="J12" s="10"/>
      <c r="K12" s="10"/>
      <c r="L12" s="10"/>
      <c r="M12" s="10"/>
      <c r="N12" s="10"/>
      <c r="O12" s="10"/>
    </row>
    <row r="13" spans="1:15" ht="29.5" x14ac:dyDescent="0.75">
      <c r="A13" s="9"/>
      <c r="B13" s="62" t="str">
        <f>'A2 Order'!$B$11</f>
        <v>orderDetails.orderPlacerIdentifier</v>
      </c>
      <c r="C13" s="9" t="s">
        <v>596</v>
      </c>
      <c r="E13" s="14" t="str">
        <f t="shared" si="0"/>
        <v>* orderDetails.orderPlacerIdentifier -&gt; ##34#ServiceRequest.requester.resolve().ofType(PractictionerRole).identifier##34#</v>
      </c>
      <c r="H13" s="10"/>
      <c r="I13" s="10"/>
      <c r="J13" s="10"/>
      <c r="K13" s="10"/>
      <c r="L13" s="10"/>
      <c r="M13" s="10"/>
      <c r="N13" s="10"/>
      <c r="O13" s="10"/>
    </row>
    <row r="14" spans="1:15" ht="44.25" x14ac:dyDescent="0.75">
      <c r="A14" s="9"/>
      <c r="B14" s="62" t="str">
        <f>'A2 Order'!$B$11</f>
        <v>orderDetails.orderPlacerIdentifier</v>
      </c>
      <c r="C14" s="9" t="s">
        <v>597</v>
      </c>
      <c r="E14" s="14" t="str">
        <f t="shared" si="0"/>
        <v>* orderDetails.orderPlacerIdentifier -&gt; ##34#ServiceRequest.requester.resolve().ofType(PractictionerRole).practictioner.resolve().identifier##34#</v>
      </c>
      <c r="H14" s="10"/>
      <c r="I14" s="10"/>
      <c r="J14" s="10"/>
      <c r="K14" s="10"/>
      <c r="L14" s="10"/>
      <c r="M14" s="10"/>
      <c r="N14" s="10"/>
      <c r="O14" s="10"/>
    </row>
    <row r="15" spans="1:15" ht="44.25" x14ac:dyDescent="0.75">
      <c r="A15" s="9"/>
      <c r="B15" s="9" t="str">
        <f>'A2 Order'!B12</f>
        <v>orderDetails.orderPlacerName</v>
      </c>
      <c r="C15" s="9" t="s">
        <v>598</v>
      </c>
      <c r="E15" s="14" t="str">
        <f t="shared" si="0"/>
        <v>* orderDetails.orderPlacerName -&gt; ##34#ServiceRequest.requester.resolve().ofType(PractictionerRole).practictioner.resolve().name##34#</v>
      </c>
      <c r="H15" s="10"/>
      <c r="I15" s="10"/>
      <c r="J15" s="10"/>
      <c r="K15" s="10"/>
      <c r="L15" s="10"/>
      <c r="M15" s="10"/>
      <c r="N15" s="10"/>
      <c r="O15" s="10"/>
    </row>
    <row r="16" spans="1:15" ht="29.5" x14ac:dyDescent="0.75">
      <c r="A16" s="9"/>
      <c r="B16" s="62" t="str">
        <f>'A2 Order'!$B$13</f>
        <v>orderDetails.orderPlacerContacts</v>
      </c>
      <c r="C16" s="9" t="s">
        <v>601</v>
      </c>
      <c r="E16" s="14" t="str">
        <f t="shared" si="0"/>
        <v>* orderDetails.orderPlacerContacts -&gt; ##34#ServiceRequest.requester.resolve().ofType(PractictionerRole).telecom##34#</v>
      </c>
      <c r="H16" s="10"/>
      <c r="I16" s="10"/>
      <c r="J16" s="10"/>
      <c r="K16" s="10"/>
      <c r="L16" s="10"/>
      <c r="M16" s="10"/>
      <c r="N16" s="10"/>
      <c r="O16" s="10"/>
    </row>
    <row r="17" spans="1:15" ht="29.5" x14ac:dyDescent="0.75">
      <c r="A17" s="9"/>
      <c r="B17" s="62" t="str">
        <f>'A2 Order'!$B$13</f>
        <v>orderDetails.orderPlacerContacts</v>
      </c>
      <c r="C17" s="9" t="s">
        <v>602</v>
      </c>
      <c r="E17" s="14" t="str">
        <f t="shared" si="0"/>
        <v>* orderDetails.orderPlacerContacts -&gt; ##34#ServiceRequest.requester.resolve().ofType(PractictionerRole).location##34#</v>
      </c>
      <c r="H17" s="10"/>
      <c r="I17" s="10"/>
      <c r="J17" s="10"/>
      <c r="K17" s="10"/>
      <c r="L17" s="10"/>
      <c r="M17" s="10"/>
      <c r="N17" s="10"/>
      <c r="O17" s="10"/>
    </row>
    <row r="18" spans="1:15" ht="44.25" x14ac:dyDescent="0.75">
      <c r="A18" s="9"/>
      <c r="B18" s="65" t="str">
        <f>'A2 Order'!$B$14</f>
        <v>orderDetails.orderPlacerOrganization</v>
      </c>
      <c r="C18" s="9" t="s">
        <v>599</v>
      </c>
      <c r="E18" s="14" t="str">
        <f t="shared" si="0"/>
        <v>* orderDetails.orderPlacerOrganization -&gt; ##34#ServiceRequest.requester.resolve().ofType(PractictionerRole).organization.resolve()##34#</v>
      </c>
      <c r="H18" s="10"/>
      <c r="I18" s="10"/>
      <c r="J18" s="10"/>
      <c r="K18" s="10"/>
      <c r="L18" s="10"/>
      <c r="M18" s="10"/>
      <c r="N18" s="10"/>
      <c r="O18" s="10"/>
    </row>
    <row r="19" spans="1:15" ht="29.5" x14ac:dyDescent="0.75">
      <c r="A19" s="9"/>
      <c r="B19" s="65" t="str">
        <f>'A2 Order'!$B$14</f>
        <v>orderDetails.orderPlacerOrganization</v>
      </c>
      <c r="C19" s="9" t="s">
        <v>600</v>
      </c>
      <c r="E19" s="14" t="str">
        <f t="shared" si="0"/>
        <v>* orderDetails.orderPlacerOrganization -&gt; ##34#ServiceRequest.requester.resolve().ofType(Organization)##34#</v>
      </c>
      <c r="H19" s="10"/>
      <c r="I19" s="10"/>
      <c r="J19" s="10"/>
      <c r="K19" s="10"/>
      <c r="L19" s="10"/>
      <c r="M19" s="10"/>
      <c r="N19" s="10"/>
      <c r="O19" s="10"/>
    </row>
    <row r="20" spans="1:15" x14ac:dyDescent="0.75">
      <c r="A20" s="9"/>
      <c r="B20" s="9" t="str">
        <f>'A2 Order'!B15</f>
        <v>reason</v>
      </c>
      <c r="C20" s="9" t="s">
        <v>603</v>
      </c>
      <c r="E20" s="14" t="str">
        <f t="shared" si="0"/>
        <v>* reason -&gt; ##34#ServiceRequest.reasonCode##34#</v>
      </c>
    </row>
    <row r="21" spans="1:15" x14ac:dyDescent="0.75">
      <c r="A21" s="9"/>
      <c r="B21" s="9" t="str">
        <f>'A2 Order'!B16</f>
        <v>reason.code</v>
      </c>
      <c r="C21" s="9" t="s">
        <v>603</v>
      </c>
      <c r="E21" s="14" t="str">
        <f t="shared" si="0"/>
        <v>* reason.code -&gt; ##34#ServiceRequest.reasonCode##34#</v>
      </c>
    </row>
    <row r="22" spans="1:15" x14ac:dyDescent="0.75">
      <c r="A22" s="9"/>
      <c r="B22" s="9">
        <f>'A2 Order'!B17</f>
        <v>0</v>
      </c>
      <c r="C22" s="53" t="s">
        <v>354</v>
      </c>
      <c r="E22" s="14" t="str">
        <f t="shared" si="0"/>
        <v>*  -&gt; ##34###34#</v>
      </c>
    </row>
    <row r="23" spans="1:15" x14ac:dyDescent="0.75">
      <c r="A23" s="9"/>
      <c r="B23" s="9">
        <f>'A2 Order'!B18</f>
        <v>0</v>
      </c>
      <c r="C23" s="9" t="s">
        <v>354</v>
      </c>
      <c r="E23" s="14" t="str">
        <f t="shared" si="0"/>
        <v>*  -&gt; ##34###34#</v>
      </c>
    </row>
    <row r="24" spans="1:15" x14ac:dyDescent="0.75">
      <c r="B24" s="9"/>
      <c r="C24" s="9" t="s">
        <v>354</v>
      </c>
      <c r="E24" s="14" t="str">
        <f t="shared" si="0"/>
        <v>*  -&gt; ##34###34#</v>
      </c>
    </row>
    <row r="25" spans="1:15" x14ac:dyDescent="0.75">
      <c r="B25" s="9"/>
      <c r="E25" s="14"/>
    </row>
    <row r="26" spans="1:15" x14ac:dyDescent="0.75">
      <c r="E26" s="14"/>
    </row>
    <row r="27" spans="1:15" x14ac:dyDescent="0.75">
      <c r="E27" s="22"/>
    </row>
  </sheetData>
  <pageMargins left="0.7" right="0.7" top="0.75" bottom="0.75" header="0.3" footer="0.3"/>
</worksheet>
</file>

<file path=xl/worksheets/sheet4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EDC9CA-7C02-4673-B529-3F03B5E60572}">
  <sheetPr codeName="Foglio13">
    <tabColor theme="8" tint="-0.249977111117893"/>
  </sheetPr>
  <dimension ref="C1:G54"/>
  <sheetViews>
    <sheetView workbookViewId="0"/>
  </sheetViews>
  <sheetFormatPr defaultRowHeight="14.75" x14ac:dyDescent="0.75"/>
  <cols>
    <col min="3" max="3" width="108.2265625" style="14" customWidth="1"/>
    <col min="4" max="4" width="5.26953125" customWidth="1"/>
    <col min="5" max="5" width="4.81640625" customWidth="1"/>
    <col min="7" max="7" width="37.08984375" customWidth="1"/>
  </cols>
  <sheetData>
    <row r="1" spans="3:7" ht="15.5" thickBot="1" x14ac:dyDescent="0.9">
      <c r="C1" s="32" t="str">
        <f>'A2 Order'!I1</f>
        <v>// -------------------------------------------------------------------------------</v>
      </c>
    </row>
    <row r="2" spans="3:7" ht="16.75" thickBot="1" x14ac:dyDescent="0.9">
      <c r="C2" s="33" t="str">
        <f>'A2 Order'!I2</f>
        <v>//  Logical Model</v>
      </c>
      <c r="G2" s="56" t="s">
        <v>446</v>
      </c>
    </row>
    <row r="3" spans="3:7" x14ac:dyDescent="0.75">
      <c r="C3" s="33" t="str">
        <f>'A2 Order'!I3</f>
        <v>// -------------------------------------------------------------------------------</v>
      </c>
    </row>
    <row r="4" spans="3:7" x14ac:dyDescent="0.75">
      <c r="C4" s="25" t="str">
        <f>'A2 Order'!I4</f>
        <v>Logical: OrderLabEhn</v>
      </c>
    </row>
    <row r="5" spans="3:7" x14ac:dyDescent="0.75">
      <c r="C5" s="25" t="str">
        <f>'A2 Order'!I5</f>
        <v>Id: Order</v>
      </c>
    </row>
    <row r="6" spans="3:7" x14ac:dyDescent="0.75">
      <c r="C6" s="25" t="str">
        <f>'A2 Order'!I6</f>
        <v>Title: ##34#A2, A3 - Order##34#</v>
      </c>
    </row>
    <row r="7" spans="3:7" x14ac:dyDescent="0.75">
      <c r="C7" s="25" t="str">
        <f>'A2 Order'!I7</f>
        <v>Description:  ##334#Order information (A.2) and reason (A3)##334#</v>
      </c>
    </row>
    <row r="8" spans="3:7" ht="29.5" x14ac:dyDescent="0.75">
      <c r="C8" s="14" t="str">
        <f>IF('A2 Order'!I8="*  ..  ##34###34# ##334###334#","//--- END",'A2 Order'!I8)</f>
        <v>* orderDetails 0..1 BackboneElement ##34#A.2 Order information##34# ##334#A.2 Order information (Laboratory Result Report could respond to multiple test orders) ##334#</v>
      </c>
    </row>
    <row r="9" spans="3:7" ht="29.5" x14ac:dyDescent="0.75">
      <c r="C9" s="14" t="str">
        <f>IF('A2 Order'!I9="*  ..  ##34###34# ##334###334#","//--- END",'A2 Order'!I9)</f>
        <v>* orderDetails.identifier 0..* Identifier ##34#A.2.1 Order Id##34# ##334#An identifier of the laboratory test order. Laboratory Result Report may respond to multiple orders.##334#</v>
      </c>
    </row>
    <row r="10" spans="3:7" ht="29.5" x14ac:dyDescent="0.75">
      <c r="C10" s="14" t="str">
        <f>IF('A2 Order'!I10="*  ..  ##34###34# ##334###334#","//--- END",'A2 Order'!I10)</f>
        <v>* orderDetails.dateTime 0..* dateTime ##34#A.2.2 Order date and time##34# ##334#Date and time of the order placement. - Preferred system(s): ISO 8601##334#</v>
      </c>
      <c r="E10" t="s">
        <v>307</v>
      </c>
    </row>
    <row r="11" spans="3:7" ht="59" x14ac:dyDescent="0.75">
      <c r="C11" s="14" t="str">
        <f>IF('A2 Order'!I11="*  ..  ##34###34# ##334###334#","//--- END",'A2 Order'!I11)</f>
        <v>* orderDetails.orderPlacerIdentifier 0..* Identifier ##34#A.2.3 Order placer identifier##34# ##334#The health professional identification number. Either an internal identifier assigned by a healthcare provider institution or (preferably) a national health professional ID such as the license or registration number. In case when order placer is not a health professional, e.g. by patients themselves where applicable, appropriate personal identifier should be used. ##334#</v>
      </c>
    </row>
    <row r="12" spans="3:7" x14ac:dyDescent="0.75">
      <c r="C12" s="14" t="str">
        <f>IF('A2 Order'!I12="*  ..  ##34###34# ##334###334#","//--- END",'A2 Order'!I12)</f>
        <v>* orderDetails.orderPlacerName 0..* HumanName ##34#A.2.4 Order placer name##34# ##334#Person name.##334#</v>
      </c>
    </row>
    <row r="13" spans="3:7" ht="29.5" x14ac:dyDescent="0.75">
      <c r="C13" s="14" t="str">
        <f>IF('A2 Order'!I13="*  ..  ##34###34# ##334###334#","//--- END",'A2 Order'!I13)</f>
        <v>* orderDetails.orderPlacerContacts 0..* BackboneElement ##34#A.2.5 Order placer contact details##34# ##334#Contact details of order placer (address and telecom details).##334#</v>
      </c>
    </row>
    <row r="14" spans="3:7" ht="29.5" x14ac:dyDescent="0.75">
      <c r="C14" s="14" t="str">
        <f>IF('A2 Order'!I14="*  ..  ##34###34# ##334###334#","//--- END",'A2 Order'!I14)</f>
        <v>* orderDetails.orderPlacerOrganization 0..* Organization ##34#A.2.6 Order placer organization##34# ##334#Order placer organization information.##334#</v>
      </c>
    </row>
    <row r="15" spans="3:7" ht="29.5" x14ac:dyDescent="0.75">
      <c r="C15" s="14" t="str">
        <f>IF('A2 Order'!I15="*  ..  ##34###34# ##334###334#","//--- END",'A2 Order'!I15)</f>
        <v>* reason 0..* BackboneElement ##34#A.3 Order reason##34# ##334#A.3 Order reason (Laboratory Result Report could respond to multiple reasons) ##334#</v>
      </c>
    </row>
    <row r="16" spans="3:7" ht="88.5" x14ac:dyDescent="0.75">
      <c r="C16" s="14" t="str">
        <f>IF('A2 Order'!I16="*  ..  ##34###34# ##334###334#","//--- END",'A2 Order'!I16)</f>
        <v>* reason.code 0..* CodeableConcept ##34#A.3.1 Problem / diagnosis / condition description##34# ##334#Health conditions affecting the health of the patient and are important to be known for a health professional during a health encounter. Clinical conditions of the subject relevant for the results interpretation.
- Preferred system(s): ICD-10 (ICD-11 when available)
- Preferred system(s): SNOMED CT
- Preferred system(s): Orphacode##334#</v>
      </c>
    </row>
    <row r="17" spans="3:3" x14ac:dyDescent="0.75">
      <c r="C17" s="14" t="str">
        <f>IF('A2 Order'!I17="*  ..  ##34###34# ##334###334#","//--- END",'A2 Order'!I17)</f>
        <v>//--- END</v>
      </c>
    </row>
    <row r="18" spans="3:3" x14ac:dyDescent="0.75">
      <c r="C18" s="14" t="str">
        <f>IF('A2 Order'!I18="*  ..  ##34###34# ##334###334#","//--- END",'A2 Order'!I18)</f>
        <v>//--- END</v>
      </c>
    </row>
    <row r="19" spans="3:3" x14ac:dyDescent="0.75">
      <c r="C19" s="14" t="str">
        <f>IF('A2 Order'!I19="*  ..  ##34###34# ##334###334#","//--- END",'A2 Order'!I19)</f>
        <v>//--- END</v>
      </c>
    </row>
    <row r="30" spans="3:3" x14ac:dyDescent="0.75">
      <c r="C30" s="32" t="str">
        <f>'Order-Map-1'!E1</f>
        <v>// -------------------------------------------------------------------------------</v>
      </c>
    </row>
    <row r="31" spans="3:3" x14ac:dyDescent="0.75">
      <c r="C31" s="33" t="str">
        <f>'Order-Map-1'!E2</f>
        <v>//  Map to FHIR R4</v>
      </c>
    </row>
    <row r="32" spans="3:3" x14ac:dyDescent="0.75">
      <c r="C32" s="33" t="str">
        <f>'Order-Map-1'!E3</f>
        <v>// -------------------------------------------------------------------------------</v>
      </c>
    </row>
    <row r="33" spans="3:7" x14ac:dyDescent="0.75">
      <c r="C33" s="14" t="str">
        <f>'Order-Map-1'!E4</f>
        <v>Mapping: eHNLabOrder2Fhir</v>
      </c>
    </row>
    <row r="34" spans="3:7" x14ac:dyDescent="0.75">
      <c r="C34" s="14" t="str">
        <f>'Order-Map-1'!E5</f>
        <v>Id: fhir</v>
      </c>
    </row>
    <row r="35" spans="3:7" x14ac:dyDescent="0.75">
      <c r="C35" s="14" t="str">
        <f>'Order-Map-1'!E6</f>
        <v>Title: ##34#eHN Lab Order model to FHIR R4 Map##34#</v>
      </c>
    </row>
    <row r="36" spans="3:7" x14ac:dyDescent="0.75">
      <c r="C36" s="14" t="str">
        <f>'Order-Map-1'!E7</f>
        <v>Source: Order</v>
      </c>
    </row>
    <row r="37" spans="3:7" x14ac:dyDescent="0.75">
      <c r="C37" s="14" t="str">
        <f>'Order-Map-1'!E8</f>
        <v>Target: ##34#hl7.org/fhir/r4##34#</v>
      </c>
    </row>
    <row r="39" spans="3:7" ht="29.5" x14ac:dyDescent="0.75">
      <c r="C39" s="14" t="str">
        <f>'Order-Map-1'!E9</f>
        <v>* -&gt; ##34#Composition.extension('http://hl7.eu/fhir/ig/xeh/StructureDefinition/composition-basedOn-order-or-requisition').valueReference.resolve()##34#</v>
      </c>
    </row>
    <row r="40" spans="3:7" ht="29.5" x14ac:dyDescent="0.75">
      <c r="C40" s="14" t="str">
        <f>IF('Order-Map-1'!E10="*  -&gt; ##34###34#","// --END",'Order-Map-1'!E10)</f>
        <v>* orderDetails -&gt; ##34#Composition.extension('http://hl7.eu/fhir/ig/xeh/StructureDefinition/composition-basedOn-order-or-requisition').valueReference.resolve()##34#</v>
      </c>
    </row>
    <row r="41" spans="3:7" x14ac:dyDescent="0.75">
      <c r="C41" s="14" t="str">
        <f>IF('Order-Map-1'!E11="*  -&gt; ##34###34#","// --END",'Order-Map-1'!E11)</f>
        <v>* orderDetails.identifier -&gt; ##34#ServiceRequest.identifier##34#</v>
      </c>
    </row>
    <row r="42" spans="3:7" x14ac:dyDescent="0.75">
      <c r="C42" s="14" t="str">
        <f>IF('Order-Map-1'!E12="*  -&gt; ##34###34#","// --END",'Order-Map-1'!E12)</f>
        <v>* orderDetails.dateTime -&gt; ##34#ServiceRequest.authoredOn##34#</v>
      </c>
    </row>
    <row r="43" spans="3:7" x14ac:dyDescent="0.75">
      <c r="C43" s="14" t="str">
        <f>IF('Order-Map-1'!E13="*  -&gt; ##34###34#","// --END",'Order-Map-1'!E13)</f>
        <v>* orderDetails.orderPlacerIdentifier -&gt; ##34#ServiceRequest.requester.resolve().ofType(PractictionerRole).identifier##34#</v>
      </c>
    </row>
    <row r="44" spans="3:7" ht="29.5" x14ac:dyDescent="0.75">
      <c r="C44" s="14" t="str">
        <f>IF('Order-Map-1'!E14="*  -&gt; ##34###34#","// --END",'Order-Map-1'!E14)</f>
        <v>* orderDetails.orderPlacerIdentifier -&gt; ##34#ServiceRequest.requester.resolve().ofType(PractictionerRole).practictioner.resolve().identifier##34#</v>
      </c>
    </row>
    <row r="45" spans="3:7" ht="29.5" x14ac:dyDescent="0.75">
      <c r="C45" s="14" t="str">
        <f>IF('Order-Map-1'!E15="*  -&gt; ##34###34#","// --END",'Order-Map-1'!E15)</f>
        <v>* orderDetails.orderPlacerName -&gt; ##34#ServiceRequest.requester.resolve().ofType(PractictionerRole).practictioner.resolve().name##34#</v>
      </c>
    </row>
    <row r="46" spans="3:7" x14ac:dyDescent="0.75">
      <c r="C46" s="14" t="str">
        <f>IF('Order-Map-1'!E16="*  -&gt; ##34###34#","// --END",'Order-Map-1'!E16)</f>
        <v>* orderDetails.orderPlacerContacts -&gt; ##34#ServiceRequest.requester.resolve().ofType(PractictionerRole).telecom##34#</v>
      </c>
    </row>
    <row r="47" spans="3:7" x14ac:dyDescent="0.75">
      <c r="C47" s="14" t="str">
        <f>IF('Order-Map-1'!E17="*  -&gt; ##34###34#","// --END",'Order-Map-1'!E17)</f>
        <v>* orderDetails.orderPlacerContacts -&gt; ##34#ServiceRequest.requester.resolve().ofType(PractictionerRole).location##34#</v>
      </c>
    </row>
    <row r="48" spans="3:7" ht="29.5" x14ac:dyDescent="0.75">
      <c r="C48" s="14" t="str">
        <f>IF('Order-Map-1'!E18="*  -&gt; ##34###34#","// --END",'Order-Map-1'!E18)</f>
        <v>* orderDetails.orderPlacerOrganization -&gt; ##34#ServiceRequest.requester.resolve().ofType(PractictionerRole).organization.resolve()##34#</v>
      </c>
      <c r="G48" s="10"/>
    </row>
    <row r="49" spans="3:3" x14ac:dyDescent="0.75">
      <c r="C49" s="14" t="str">
        <f>IF('Order-Map-1'!E19="*  -&gt; ##34###34#","// --END",'Order-Map-1'!E19)</f>
        <v>* orderDetails.orderPlacerOrganization -&gt; ##34#ServiceRequest.requester.resolve().ofType(Organization)##34#</v>
      </c>
    </row>
    <row r="50" spans="3:3" x14ac:dyDescent="0.75">
      <c r="C50" s="14" t="str">
        <f>IF('Order-Map-1'!E20="*  -&gt; ##34###34#","// --END",'Order-Map-1'!E20)</f>
        <v>* reason -&gt; ##34#ServiceRequest.reasonCode##34#</v>
      </c>
    </row>
    <row r="51" spans="3:3" x14ac:dyDescent="0.75">
      <c r="C51" s="14" t="str">
        <f>IF('Order-Map-1'!E21="*  -&gt; ##34###34#","// --END",'Order-Map-1'!E21)</f>
        <v>* reason.code -&gt; ##34#ServiceRequest.reasonCode##34#</v>
      </c>
    </row>
    <row r="52" spans="3:3" x14ac:dyDescent="0.75">
      <c r="C52" s="14" t="str">
        <f>IF('Order-Map-1'!E22="*  -&gt; ##34###34#","// --END",'Order-Map-1'!E22)</f>
        <v>// --END</v>
      </c>
    </row>
    <row r="53" spans="3:3" x14ac:dyDescent="0.75">
      <c r="C53" s="14" t="str">
        <f>IF('Order-Map-1'!E23="*  -&gt; ##34###34#","// --END",'Order-Map-1'!E23)</f>
        <v>// --END</v>
      </c>
    </row>
    <row r="54" spans="3:3" x14ac:dyDescent="0.75">
      <c r="C54" s="14" t="str">
        <f>IF('Order-Map-1'!E24="*  -&gt; ##34###34#","// --END",'Order-Map-1'!E24)</f>
        <v>// --END</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9089" r:id="rId3" name="Button 1">
              <controlPr defaultSize="0" print="0" autoFill="0" autoPict="0" macro="[0]!export">
                <anchor moveWithCells="1">
                  <from>
                    <xdr:col>4</xdr:col>
                    <xdr:colOff>222250</xdr:colOff>
                    <xdr:row>0</xdr:row>
                    <xdr:rowOff>171450</xdr:rowOff>
                  </from>
                  <to>
                    <xdr:col>5</xdr:col>
                    <xdr:colOff>558800</xdr:colOff>
                    <xdr:row>2</xdr:row>
                    <xdr:rowOff>44450</xdr:rowOff>
                  </to>
                </anchor>
              </controlPr>
            </control>
          </mc:Choice>
        </mc:AlternateContent>
      </controls>
    </mc:Choice>
  </mc:AlternateContent>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7F0A5B-A49F-48D6-B4B3-544892DC4550}">
  <sheetPr codeName="Foglio55">
    <tabColor theme="0" tint="-0.499984740745262"/>
  </sheetPr>
  <dimension ref="A2:S99"/>
  <sheetViews>
    <sheetView topLeftCell="D3" workbookViewId="0">
      <selection activeCell="K15" sqref="K15"/>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73" t="s">
        <v>34</v>
      </c>
      <c r="C3" s="54" t="s">
        <v>787</v>
      </c>
      <c r="D3" s="73" t="s">
        <v>688</v>
      </c>
      <c r="E3" t="str">
        <f>"http://hl7.eu/fhir/laboratory/StructureDefinition/"&amp;'A2 Order'!B5</f>
        <v>http://hl7.eu/fhir/laboratory/StructureDefinition/Order</v>
      </c>
    </row>
    <row r="4" spans="1:19" x14ac:dyDescent="0.75">
      <c r="B4" s="73" t="s">
        <v>19</v>
      </c>
      <c r="C4" s="54" t="s">
        <v>802</v>
      </c>
      <c r="D4" s="73" t="s">
        <v>689</v>
      </c>
      <c r="E4" t="s">
        <v>691</v>
      </c>
    </row>
    <row r="5" spans="1:19" x14ac:dyDescent="0.75">
      <c r="B5" s="73" t="s">
        <v>13</v>
      </c>
      <c r="C5" s="10" t="s">
        <v>788</v>
      </c>
      <c r="D5" s="73"/>
      <c r="E5" s="10"/>
    </row>
    <row r="6" spans="1:19" x14ac:dyDescent="0.75">
      <c r="B6" s="73" t="s">
        <v>35</v>
      </c>
      <c r="C6" s="72" t="s">
        <v>678</v>
      </c>
      <c r="D6" s="73" t="s">
        <v>685</v>
      </c>
      <c r="E6" s="111" t="str">
        <f>E3</f>
        <v>http://hl7.eu/fhir/laboratory/StructureDefinition/Order</v>
      </c>
      <c r="F6" s="111"/>
      <c r="G6" s="111"/>
    </row>
    <row r="7" spans="1:19" x14ac:dyDescent="0.75">
      <c r="B7" s="73" t="s">
        <v>18</v>
      </c>
      <c r="C7" s="80" t="s">
        <v>681</v>
      </c>
      <c r="D7" s="73" t="s">
        <v>686</v>
      </c>
      <c r="E7" s="111" t="s">
        <v>723</v>
      </c>
      <c r="F7" s="111"/>
      <c r="G7" s="111"/>
    </row>
    <row r="8" spans="1:19" ht="44.25" x14ac:dyDescent="0.75">
      <c r="B8" s="73" t="s">
        <v>679</v>
      </c>
      <c r="C8" s="10" t="s">
        <v>788</v>
      </c>
      <c r="D8" s="73"/>
      <c r="E8" s="10"/>
      <c r="I8" s="14" t="s">
        <v>647</v>
      </c>
      <c r="J8" s="14" t="s">
        <v>648</v>
      </c>
      <c r="K8" s="14" t="s">
        <v>649</v>
      </c>
      <c r="L8" s="14" t="s">
        <v>650</v>
      </c>
      <c r="M8" s="9" t="s">
        <v>651</v>
      </c>
      <c r="P8" s="69" t="s">
        <v>652</v>
      </c>
      <c r="Q8" s="69">
        <v>6</v>
      </c>
    </row>
    <row r="9" spans="1:19" ht="29.5" x14ac:dyDescent="0.75">
      <c r="B9" s="73" t="s">
        <v>680</v>
      </c>
      <c r="C9" s="1" t="s">
        <v>789</v>
      </c>
      <c r="D9" s="73"/>
      <c r="E9"/>
      <c r="I9" s="14"/>
      <c r="J9" s="9"/>
      <c r="K9" s="9"/>
      <c r="L9" s="9"/>
      <c r="M9" s="9"/>
    </row>
    <row r="10" spans="1:19" x14ac:dyDescent="0.75">
      <c r="B10" s="73"/>
      <c r="D10" s="73"/>
      <c r="E10"/>
      <c r="I10" s="14"/>
      <c r="J10" s="9"/>
      <c r="K10" s="9"/>
      <c r="L10" s="9"/>
      <c r="M10" s="9"/>
    </row>
    <row r="11" spans="1:19" x14ac:dyDescent="0.75">
      <c r="E11" s="10"/>
      <c r="I11" s="25" t="s">
        <v>653</v>
      </c>
      <c r="J11" s="70" t="s">
        <v>654</v>
      </c>
      <c r="K11" s="25" t="s">
        <v>655</v>
      </c>
      <c r="L11" s="70" t="s">
        <v>656</v>
      </c>
      <c r="M11" s="71" t="s">
        <v>657</v>
      </c>
      <c r="N11" s="74" t="s">
        <v>644</v>
      </c>
    </row>
    <row r="12" spans="1:19" x14ac:dyDescent="0.75">
      <c r="E12" s="72"/>
      <c r="I12" s="14"/>
      <c r="J12" s="9"/>
      <c r="K12" s="9"/>
      <c r="L12" s="9"/>
      <c r="M12" s="9"/>
    </row>
    <row r="13" spans="1:19" x14ac:dyDescent="0.75">
      <c r="D13" s="14"/>
      <c r="E13" s="9"/>
      <c r="F13" s="71" t="s">
        <v>657</v>
      </c>
      <c r="G13" s="74" t="s">
        <v>644</v>
      </c>
      <c r="H13" s="74"/>
      <c r="I13" s="14"/>
      <c r="J13" s="9"/>
      <c r="K13" s="71"/>
      <c r="L13" s="71"/>
      <c r="M13" s="71"/>
      <c r="N13" s="74"/>
    </row>
    <row r="14" spans="1:19" x14ac:dyDescent="0.75">
      <c r="A14" s="23"/>
      <c r="B14" s="8" t="str">
        <f>'A2 Order'!B5</f>
        <v>Order</v>
      </c>
      <c r="C14" s="9"/>
      <c r="D14" s="4" t="s">
        <v>791</v>
      </c>
      <c r="E14" s="8"/>
      <c r="F14" s="9"/>
      <c r="G14" s="9"/>
      <c r="I14" s="14"/>
      <c r="J14" s="9"/>
      <c r="K14" s="9"/>
      <c r="L14" s="9"/>
      <c r="M14" s="71"/>
      <c r="N14" s="74"/>
    </row>
    <row r="15" spans="1:19" ht="44.25" x14ac:dyDescent="0.75">
      <c r="A15" s="23"/>
      <c r="B15" s="9" t="str">
        <f>'A2 Order'!B8</f>
        <v>orderDetails</v>
      </c>
      <c r="C15" s="9" t="str">
        <f>'A2 Order'!C8</f>
        <v>A.2 Order information</v>
      </c>
      <c r="D15" s="14"/>
      <c r="E15" s="62"/>
      <c r="F15" s="75" t="s">
        <v>659</v>
      </c>
      <c r="G15" s="75"/>
      <c r="H15" s="76"/>
      <c r="I15" s="14" t="str">
        <f>"* group[=].element[+].code = #"&amp;$B$14&amp;"."&amp;B15</f>
        <v>* group[=].element[+].code = #Order.orderDetails</v>
      </c>
      <c r="J15" s="14" t="str">
        <f t="shared" ref="J15" si="0">"* group[=].element[=].display = ##34#"&amp;C15&amp;"##34#"</f>
        <v>* group[=].element[=].display = ##34#A.2 Order information##34#</v>
      </c>
      <c r="K15" s="14" t="str">
        <f>IF(F15="unmatched","//-- unmatched",IF(D15="","* group[=].element[=].target.code = #"&amp;$D$14,"* group[=].element[=].target.code = #"&amp;$D$14&amp;"."&amp;D15))</f>
        <v>* group[=].element[=].target.code = #ServiceRequest</v>
      </c>
      <c r="L15" s="14" t="str">
        <f t="shared" ref="L15" si="1">IF(F15="unmatched","//-- unmatched","* group[=].element[=].target.display = ##34#"&amp;E15&amp;"##34#")</f>
        <v>* group[=].element[=].target.display = ##34###34#</v>
      </c>
      <c r="M15" s="14" t="str">
        <f t="shared" ref="M15" si="2">"* group[=].element[=].target.equivalence = #"&amp;F15</f>
        <v>* group[=].element[=].target.equivalence = #relatedto</v>
      </c>
      <c r="N15" s="4" t="str">
        <f t="shared" ref="N15" si="3">IF(G15&lt;&gt;"",CONCATENATE("* group[=].element[=].target.comment = ","##34#",G15,"##34#"),"")</f>
        <v/>
      </c>
      <c r="P15" s="9">
        <v>1</v>
      </c>
      <c r="Q15" s="9">
        <f>IF(MOD(P15,$Q$8)=0,P15/$Q$8-1,INT(P15/$Q$8))</f>
        <v>0</v>
      </c>
      <c r="R15" s="9">
        <f>IF(MOD(P15,$Q$8)=0,$Q$8,MOD(P15,$Q$8))</f>
        <v>1</v>
      </c>
      <c r="S15" s="14" t="str" cm="1">
        <f t="array" ref="S15">INDEX('Order-ConceptMap-1'!$I$15:$N$178,Q15+1,R15)</f>
        <v>* group[=].element[+].code = #Order.orderDetails</v>
      </c>
    </row>
    <row r="16" spans="1:19" ht="44.25" x14ac:dyDescent="0.75">
      <c r="A16" s="23"/>
      <c r="B16" s="9" t="str">
        <f>'A2 Order'!B9</f>
        <v>orderDetails.identifier</v>
      </c>
      <c r="C16" s="9" t="str">
        <f>'A2 Order'!C9</f>
        <v>A.2.1 Order Id</v>
      </c>
      <c r="D16" s="14" t="s">
        <v>367</v>
      </c>
      <c r="E16" s="9"/>
      <c r="F16" s="75" t="s">
        <v>659</v>
      </c>
      <c r="G16" s="75"/>
      <c r="H16" s="76"/>
      <c r="I16" s="14" t="str">
        <f t="shared" ref="I16:I28" si="4">"* group[=].element[+].code = #"&amp;$B$14&amp;"."&amp;B16</f>
        <v>* group[=].element[+].code = #Order.orderDetails.identifier</v>
      </c>
      <c r="J16" s="14" t="str">
        <f t="shared" ref="J16:J28" si="5">"* group[=].element[=].display = ##34#"&amp;C16&amp;"##34#"</f>
        <v>* group[=].element[=].display = ##34#A.2.1 Order Id##34#</v>
      </c>
      <c r="K16" s="14" t="str">
        <f t="shared" ref="K16:K28" si="6">IF(F16="unmatched","//-- unmatched",IF(D16="","* group[=].element[=].target.code = #"&amp;$D$14,"* group[=].element[=].target.code = #"&amp;$D$14&amp;"."&amp;D16))</f>
        <v>* group[=].element[=].target.code = #ServiceRequest.identifier</v>
      </c>
      <c r="L16" s="14" t="str">
        <f t="shared" ref="L16:L28" si="7">IF(F16="unmatched","//-- unmatched","* group[=].element[=].target.display = ##34#"&amp;E16&amp;"##34#")</f>
        <v>* group[=].element[=].target.display = ##34###34#</v>
      </c>
      <c r="M16" s="14" t="str">
        <f t="shared" ref="M16:M28" si="8">"* group[=].element[=].target.equivalence = #"&amp;F16</f>
        <v>* group[=].element[=].target.equivalence = #relatedto</v>
      </c>
      <c r="N16" s="4" t="str">
        <f t="shared" ref="N16:N28" si="9">IF(G16&lt;&gt;"",CONCATENATE("* group[=].element[=].target.comment = ","##34#",G16,"##34#"),"")</f>
        <v/>
      </c>
      <c r="P16" s="9">
        <v>2</v>
      </c>
      <c r="Q16" s="9">
        <f t="shared" ref="Q16:Q79" si="10">IF(MOD(P16,$Q$8)=0,P16/$Q$8-1,INT(P16/$Q$8))</f>
        <v>0</v>
      </c>
      <c r="R16" s="9">
        <f t="shared" ref="R16:R79" si="11">IF(MOD(P16,$Q$8)=0,$Q$8,MOD(P16,$Q$8))</f>
        <v>2</v>
      </c>
      <c r="S16" s="14" t="str" cm="1">
        <f t="array" ref="S16">INDEX('Order-ConceptMap-1'!$I$15:$N$178,Q16+1,R16)</f>
        <v>* group[=].element[=].display = ##34#A.2 Order information##34#</v>
      </c>
    </row>
    <row r="17" spans="1:19" ht="59" x14ac:dyDescent="0.75">
      <c r="A17" s="23"/>
      <c r="B17" s="9" t="str">
        <f>'A2 Order'!B9</f>
        <v>orderDetails.identifier</v>
      </c>
      <c r="C17" s="9" t="str">
        <f>'A2 Order'!C9</f>
        <v>A.2.1 Order Id</v>
      </c>
      <c r="D17" s="14" t="s">
        <v>792</v>
      </c>
      <c r="E17" s="9"/>
      <c r="F17" s="75" t="s">
        <v>659</v>
      </c>
      <c r="G17" s="75" t="s">
        <v>793</v>
      </c>
      <c r="H17" s="76"/>
      <c r="I17" s="14" t="str">
        <f t="shared" si="4"/>
        <v>* group[=].element[+].code = #Order.orderDetails.identifier</v>
      </c>
      <c r="J17" s="14" t="str">
        <f t="shared" si="5"/>
        <v>* group[=].element[=].display = ##34#A.2.1 Order Id##34#</v>
      </c>
      <c r="K17" s="14" t="str">
        <f t="shared" si="6"/>
        <v>* group[=].element[=].target.code = #ServiceRequest.requisition</v>
      </c>
      <c r="L17" s="14" t="str">
        <f t="shared" si="7"/>
        <v>* group[=].element[=].target.display = ##34###34#</v>
      </c>
      <c r="M17" s="14" t="str">
        <f t="shared" si="8"/>
        <v>* group[=].element[=].target.equivalence = #relatedto</v>
      </c>
      <c r="N17" s="4" t="str">
        <f t="shared" si="9"/>
        <v>* group[=].element[=].target.comment = ##34#if the Composite Request ID.##34#</v>
      </c>
      <c r="P17" s="9">
        <v>3</v>
      </c>
      <c r="Q17" s="9">
        <f t="shared" si="10"/>
        <v>0</v>
      </c>
      <c r="R17" s="9">
        <f t="shared" si="11"/>
        <v>3</v>
      </c>
      <c r="S17" s="14" t="str" cm="1">
        <f t="array" ref="S17">INDEX('Order-ConceptMap-1'!$I$15:$N$178,Q17+1,R17)</f>
        <v>* group[=].element[=].target.code = #ServiceRequest</v>
      </c>
    </row>
    <row r="18" spans="1:19" ht="73.75" customHeight="1" x14ac:dyDescent="0.75">
      <c r="A18" s="23"/>
      <c r="B18" s="9" t="str">
        <f>'A2 Order'!B10</f>
        <v>orderDetails.dateTime</v>
      </c>
      <c r="C18" s="9" t="str">
        <f>'A2 Order'!C10</f>
        <v>A.2.2 Order date and time</v>
      </c>
      <c r="D18" s="14" t="s">
        <v>794</v>
      </c>
      <c r="E18" s="9"/>
      <c r="F18" s="75" t="s">
        <v>658</v>
      </c>
      <c r="G18" s="75"/>
      <c r="H18" s="76"/>
      <c r="I18" s="14" t="str">
        <f t="shared" si="4"/>
        <v>* group[=].element[+].code = #Order.orderDetails.dateTime</v>
      </c>
      <c r="J18" s="14" t="str">
        <f t="shared" si="5"/>
        <v>* group[=].element[=].display = ##34#A.2.2 Order date and time##34#</v>
      </c>
      <c r="K18" s="14" t="str">
        <f t="shared" si="6"/>
        <v>* group[=].element[=].target.code = #ServiceRequest.authoredOn</v>
      </c>
      <c r="L18" s="14" t="str">
        <f t="shared" si="7"/>
        <v>* group[=].element[=].target.display = ##34###34#</v>
      </c>
      <c r="M18" s="14" t="str">
        <f t="shared" si="8"/>
        <v>* group[=].element[=].target.equivalence = #equivalent</v>
      </c>
      <c r="N18" s="4" t="str">
        <f t="shared" si="9"/>
        <v/>
      </c>
      <c r="P18" s="9">
        <v>4</v>
      </c>
      <c r="Q18" s="9">
        <f t="shared" si="10"/>
        <v>0</v>
      </c>
      <c r="R18" s="9">
        <f t="shared" si="11"/>
        <v>4</v>
      </c>
      <c r="S18" s="14" t="str" cm="1">
        <f t="array" ref="S18">INDEX('Order-ConceptMap-1'!$I$15:$N$178,Q18+1,R18)</f>
        <v>* group[=].element[=].target.display = ##34###34#</v>
      </c>
    </row>
    <row r="19" spans="1:19" ht="73.75" x14ac:dyDescent="0.75">
      <c r="A19" s="23"/>
      <c r="B19" s="9" t="str">
        <f>'A2 Order'!B11</f>
        <v>orderDetails.orderPlacerIdentifier</v>
      </c>
      <c r="C19" s="9" t="str">
        <f>'A2 Order'!C11</f>
        <v>A.2.3 Order placer identifier</v>
      </c>
      <c r="D19" s="14" t="s">
        <v>795</v>
      </c>
      <c r="E19" s="9"/>
      <c r="F19" s="75" t="s">
        <v>659</v>
      </c>
      <c r="G19" s="75" t="s">
        <v>793</v>
      </c>
      <c r="H19" s="76"/>
      <c r="I19" s="14" t="str">
        <f t="shared" si="4"/>
        <v>* group[=].element[+].code = #Order.orderDetails.orderPlacerIdentifier</v>
      </c>
      <c r="J19" s="14" t="str">
        <f t="shared" si="5"/>
        <v>* group[=].element[=].display = ##34#A.2.3 Order placer identifier##34#</v>
      </c>
      <c r="K19" s="14" t="str">
        <f t="shared" si="6"/>
        <v>* group[=].element[=].target.code = #ServiceRequest.requester.resolve().identifier</v>
      </c>
      <c r="L19" s="14" t="str">
        <f t="shared" si="7"/>
        <v>* group[=].element[=].target.display = ##34###34#</v>
      </c>
      <c r="M19" s="14" t="str">
        <f t="shared" si="8"/>
        <v>* group[=].element[=].target.equivalence = #relatedto</v>
      </c>
      <c r="N19" s="4" t="str">
        <f t="shared" si="9"/>
        <v>* group[=].element[=].target.comment = ##34#if the Composite Request ID.##34#</v>
      </c>
      <c r="P19" s="9">
        <v>5</v>
      </c>
      <c r="Q19" s="9">
        <f t="shared" si="10"/>
        <v>0</v>
      </c>
      <c r="R19" s="9">
        <f t="shared" si="11"/>
        <v>5</v>
      </c>
      <c r="S19" s="14" t="str" cm="1">
        <f t="array" ref="S19">INDEX('Order-ConceptMap-1'!$I$15:$N$178,Q19+1,R19)</f>
        <v>* group[=].element[=].target.equivalence = #relatedto</v>
      </c>
    </row>
    <row r="20" spans="1:19" ht="73.75" x14ac:dyDescent="0.75">
      <c r="A20" s="23"/>
      <c r="B20" s="9" t="str">
        <f>'A2 Order'!B12</f>
        <v>orderDetails.orderPlacerName</v>
      </c>
      <c r="C20" s="9" t="str">
        <f>'A2 Order'!C12</f>
        <v>A.2.4 Order placer name</v>
      </c>
      <c r="D20" s="14" t="s">
        <v>796</v>
      </c>
      <c r="E20" s="9"/>
      <c r="F20" s="75" t="s">
        <v>659</v>
      </c>
      <c r="G20" s="75"/>
      <c r="H20" s="76"/>
      <c r="I20" s="14" t="str">
        <f t="shared" si="4"/>
        <v>* group[=].element[+].code = #Order.orderDetails.orderPlacerName</v>
      </c>
      <c r="J20" s="14" t="str">
        <f t="shared" si="5"/>
        <v>* group[=].element[=].display = ##34#A.2.4 Order placer name##34#</v>
      </c>
      <c r="K20" s="14" t="str">
        <f t="shared" si="6"/>
        <v>* group[=].element[=].target.code = #ServiceRequest.requester.resolve().ofType(Practictioner).name</v>
      </c>
      <c r="L20" s="14" t="str">
        <f t="shared" si="7"/>
        <v>* group[=].element[=].target.display = ##34###34#</v>
      </c>
      <c r="M20" s="14" t="str">
        <f t="shared" si="8"/>
        <v>* group[=].element[=].target.equivalence = #relatedto</v>
      </c>
      <c r="N20" s="4" t="str">
        <f t="shared" si="9"/>
        <v/>
      </c>
      <c r="P20" s="9">
        <v>6</v>
      </c>
      <c r="Q20" s="9">
        <f t="shared" si="10"/>
        <v>0</v>
      </c>
      <c r="R20" s="9">
        <f t="shared" si="11"/>
        <v>6</v>
      </c>
      <c r="S20" s="14" t="str" cm="1">
        <f t="array" ref="S20">INDEX('Order-ConceptMap-1'!$I$15:$N$178,Q20+1,R20)</f>
        <v/>
      </c>
    </row>
    <row r="21" spans="1:19" ht="88.5" x14ac:dyDescent="0.75">
      <c r="A21" s="23"/>
      <c r="B21" s="9" t="str">
        <f>'A2 Order'!B12</f>
        <v>orderDetails.orderPlacerName</v>
      </c>
      <c r="C21" s="9" t="str">
        <f>'A2 Order'!C12</f>
        <v>A.2.4 Order placer name</v>
      </c>
      <c r="D21" s="14" t="s">
        <v>797</v>
      </c>
      <c r="E21" s="9"/>
      <c r="F21" s="75" t="s">
        <v>659</v>
      </c>
      <c r="G21" s="75"/>
      <c r="H21" s="76"/>
      <c r="I21" s="14" t="str">
        <f t="shared" si="4"/>
        <v>* group[=].element[+].code = #Order.orderDetails.orderPlacerName</v>
      </c>
      <c r="J21" s="14" t="str">
        <f t="shared" si="5"/>
        <v>* group[=].element[=].display = ##34#A.2.4 Order placer name##34#</v>
      </c>
      <c r="K21" s="14" t="str">
        <f t="shared" si="6"/>
        <v>* group[=].element[=].target.code = #ServiceRequest.requester.resolve().ofType(PractictionerRole).practictioner.resolve().name</v>
      </c>
      <c r="L21" s="14" t="str">
        <f t="shared" si="7"/>
        <v>* group[=].element[=].target.display = ##34###34#</v>
      </c>
      <c r="M21" s="14" t="str">
        <f t="shared" si="8"/>
        <v>* group[=].element[=].target.equivalence = #relatedto</v>
      </c>
      <c r="N21" s="4" t="str">
        <f t="shared" si="9"/>
        <v/>
      </c>
      <c r="P21" s="9">
        <v>7</v>
      </c>
      <c r="Q21" s="9">
        <f t="shared" si="10"/>
        <v>1</v>
      </c>
      <c r="R21" s="9">
        <f t="shared" si="11"/>
        <v>1</v>
      </c>
      <c r="S21" s="14" t="str" cm="1">
        <f t="array" ref="S21">INDEX('Order-ConceptMap-1'!$I$15:$N$178,Q21+1,R21)</f>
        <v>* group[=].element[+].code = #Order.orderDetails.identifier</v>
      </c>
    </row>
    <row r="22" spans="1:19" ht="73.75" x14ac:dyDescent="0.75">
      <c r="A22" s="23"/>
      <c r="B22" s="9" t="str">
        <f>'A2 Order'!B13</f>
        <v>orderDetails.orderPlacerContacts</v>
      </c>
      <c r="C22" s="9" t="str">
        <f>'A2 Order'!C13</f>
        <v>A.2.5 Order placer contact details</v>
      </c>
      <c r="D22" s="14" t="s">
        <v>800</v>
      </c>
      <c r="E22" s="9"/>
      <c r="F22" s="75" t="s">
        <v>659</v>
      </c>
      <c r="G22" s="75"/>
      <c r="H22" s="76"/>
      <c r="I22" s="14" t="str">
        <f t="shared" si="4"/>
        <v>* group[=].element[+].code = #Order.orderDetails.orderPlacerContacts</v>
      </c>
      <c r="J22" s="14" t="str">
        <f t="shared" si="5"/>
        <v>* group[=].element[=].display = ##34#A.2.5 Order placer contact details##34#</v>
      </c>
      <c r="K22" s="14" t="str">
        <f t="shared" si="6"/>
        <v>* group[=].element[=].target.code = #ServiceRequest.requester.resolve().ofType(Practictioner).telecom</v>
      </c>
      <c r="L22" s="14" t="str">
        <f t="shared" si="7"/>
        <v>* group[=].element[=].target.display = ##34###34#</v>
      </c>
      <c r="M22" s="14" t="str">
        <f t="shared" si="8"/>
        <v>* group[=].element[=].target.equivalence = #relatedto</v>
      </c>
      <c r="N22" s="4" t="str">
        <f t="shared" si="9"/>
        <v/>
      </c>
      <c r="P22" s="9">
        <v>8</v>
      </c>
      <c r="Q22" s="9">
        <f t="shared" si="10"/>
        <v>1</v>
      </c>
      <c r="R22" s="9">
        <f t="shared" si="11"/>
        <v>2</v>
      </c>
      <c r="S22" s="14" t="str" cm="1">
        <f t="array" ref="S22">INDEX('Order-ConceptMap-1'!$I$15:$N$178,Q22+1,R22)</f>
        <v>* group[=].element[=].display = ##34#A.2.1 Order Id##34#</v>
      </c>
    </row>
    <row r="23" spans="1:19" ht="73.75" x14ac:dyDescent="0.75">
      <c r="A23" s="23"/>
      <c r="B23" s="9" t="str">
        <f>'A2 Order'!B13</f>
        <v>orderDetails.orderPlacerContacts</v>
      </c>
      <c r="C23" s="9" t="str">
        <f>'A2 Order'!C13</f>
        <v>A.2.5 Order placer contact details</v>
      </c>
      <c r="D23" s="14" t="s">
        <v>801</v>
      </c>
      <c r="E23" s="9"/>
      <c r="F23" s="75" t="s">
        <v>659</v>
      </c>
      <c r="G23" s="75"/>
      <c r="H23" s="76"/>
      <c r="I23" s="14" t="str">
        <f t="shared" si="4"/>
        <v>* group[=].element[+].code = #Order.orderDetails.orderPlacerContacts</v>
      </c>
      <c r="J23" s="14" t="str">
        <f t="shared" si="5"/>
        <v>* group[=].element[=].display = ##34#A.2.5 Order placer contact details##34#</v>
      </c>
      <c r="K23" s="14" t="str">
        <f t="shared" si="6"/>
        <v>* group[=].element[=].target.code = #ServiceRequest.requester.resolve().ofType(Practictioner).address</v>
      </c>
      <c r="L23" s="14" t="str">
        <f t="shared" si="7"/>
        <v>* group[=].element[=].target.display = ##34###34#</v>
      </c>
      <c r="M23" s="14" t="str">
        <f t="shared" si="8"/>
        <v>* group[=].element[=].target.equivalence = #relatedto</v>
      </c>
      <c r="N23" s="4" t="str">
        <f t="shared" si="9"/>
        <v/>
      </c>
      <c r="P23" s="9">
        <v>9</v>
      </c>
      <c r="Q23" s="9">
        <f t="shared" si="10"/>
        <v>1</v>
      </c>
      <c r="R23" s="9">
        <f t="shared" si="11"/>
        <v>3</v>
      </c>
      <c r="S23" s="14" t="str" cm="1">
        <f t="array" ref="S23">INDEX('Order-ConceptMap-1'!$I$15:$N$178,Q23+1,R23)</f>
        <v>* group[=].element[=].target.code = #ServiceRequest.identifier</v>
      </c>
    </row>
    <row r="24" spans="1:19" ht="88.5" x14ac:dyDescent="0.75">
      <c r="A24" s="23"/>
      <c r="B24" s="9" t="str">
        <f>'A2 Order'!B13</f>
        <v>orderDetails.orderPlacerContacts</v>
      </c>
      <c r="C24" s="9" t="str">
        <f>'A2 Order'!C13</f>
        <v>A.2.5 Order placer contact details</v>
      </c>
      <c r="D24" s="14" t="s">
        <v>799</v>
      </c>
      <c r="E24" s="9"/>
      <c r="F24" s="75" t="s">
        <v>659</v>
      </c>
      <c r="G24" s="75"/>
      <c r="H24" s="76"/>
      <c r="I24" s="14" t="str">
        <f t="shared" si="4"/>
        <v>* group[=].element[+].code = #Order.orderDetails.orderPlacerContacts</v>
      </c>
      <c r="J24" s="14" t="str">
        <f t="shared" si="5"/>
        <v>* group[=].element[=].display = ##34#A.2.5 Order placer contact details##34#</v>
      </c>
      <c r="K24" s="14" t="str">
        <f t="shared" si="6"/>
        <v>* group[=].element[=].target.code = #ServiceRequest.requester.resolve().ofType(PractictionerRole).telecom</v>
      </c>
      <c r="L24" s="14" t="str">
        <f t="shared" si="7"/>
        <v>* group[=].element[=].target.display = ##34###34#</v>
      </c>
      <c r="M24" s="14" t="str">
        <f t="shared" si="8"/>
        <v>* group[=].element[=].target.equivalence = #relatedto</v>
      </c>
      <c r="N24" s="4" t="str">
        <f t="shared" si="9"/>
        <v/>
      </c>
      <c r="P24" s="9">
        <v>10</v>
      </c>
      <c r="Q24" s="9">
        <f t="shared" si="10"/>
        <v>1</v>
      </c>
      <c r="R24" s="9">
        <f t="shared" si="11"/>
        <v>4</v>
      </c>
      <c r="S24" s="14" t="str" cm="1">
        <f t="array" ref="S24">INDEX('Order-ConceptMap-1'!$I$15:$N$178,Q24+1,R24)</f>
        <v>* group[=].element[=].target.display = ##34###34#</v>
      </c>
    </row>
    <row r="25" spans="1:19" ht="88.5" x14ac:dyDescent="0.75">
      <c r="A25" s="23"/>
      <c r="B25" s="9" t="str">
        <f>'A2 Order'!B14</f>
        <v>orderDetails.orderPlacerOrganization</v>
      </c>
      <c r="C25" s="9" t="str">
        <f>'A2 Order'!C14</f>
        <v>A.2.6 Order placer organization</v>
      </c>
      <c r="D25" s="14" t="s">
        <v>798</v>
      </c>
      <c r="E25" s="9"/>
      <c r="F25" s="75" t="s">
        <v>658</v>
      </c>
      <c r="G25" s="75"/>
      <c r="H25" s="76"/>
      <c r="I25" s="14" t="str">
        <f t="shared" si="4"/>
        <v>* group[=].element[+].code = #Order.orderDetails.orderPlacerOrganization</v>
      </c>
      <c r="J25" s="14" t="str">
        <f t="shared" si="5"/>
        <v>* group[=].element[=].display = ##34#A.2.6 Order placer organization##34#</v>
      </c>
      <c r="K25" s="14" t="str">
        <f t="shared" si="6"/>
        <v>* group[=].element[=].target.code = #ServiceRequest.requester.resolve().ofType(PractictionerRole).organization.resolve()</v>
      </c>
      <c r="L25" s="14" t="str">
        <f t="shared" si="7"/>
        <v>* group[=].element[=].target.display = ##34###34#</v>
      </c>
      <c r="M25" s="14" t="str">
        <f t="shared" si="8"/>
        <v>* group[=].element[=].target.equivalence = #equivalent</v>
      </c>
      <c r="N25" s="4" t="str">
        <f t="shared" si="9"/>
        <v/>
      </c>
      <c r="P25" s="9">
        <v>11</v>
      </c>
      <c r="Q25" s="9">
        <f t="shared" si="10"/>
        <v>1</v>
      </c>
      <c r="R25" s="9">
        <f t="shared" si="11"/>
        <v>5</v>
      </c>
      <c r="S25" s="14" t="str" cm="1">
        <f t="array" ref="S25">INDEX('Order-ConceptMap-1'!$I$15:$N$178,Q25+1,R25)</f>
        <v>* group[=].element[=].target.equivalence = #relatedto</v>
      </c>
    </row>
    <row r="26" spans="1:19" ht="44.25" x14ac:dyDescent="0.75">
      <c r="A26" s="23"/>
      <c r="B26" s="9" t="str">
        <f>'A2 Order'!B15</f>
        <v>reason</v>
      </c>
      <c r="C26" s="9" t="str">
        <f>'A2 Order'!C15</f>
        <v>A.3 Order reason</v>
      </c>
      <c r="D26" s="14" t="s">
        <v>803</v>
      </c>
      <c r="E26" s="9"/>
      <c r="F26" s="75" t="s">
        <v>659</v>
      </c>
      <c r="G26" s="75"/>
      <c r="H26" s="76"/>
      <c r="I26" s="14" t="str">
        <f t="shared" si="4"/>
        <v>* group[=].element[+].code = #Order.reason</v>
      </c>
      <c r="J26" s="14" t="str">
        <f t="shared" si="5"/>
        <v>* group[=].element[=].display = ##34#A.3 Order reason##34#</v>
      </c>
      <c r="K26" s="14" t="str">
        <f t="shared" si="6"/>
        <v>* group[=].element[=].target.code = #ServiceRequest.reasonCode</v>
      </c>
      <c r="L26" s="14" t="str">
        <f t="shared" si="7"/>
        <v>* group[=].element[=].target.display = ##34###34#</v>
      </c>
      <c r="M26" s="14" t="str">
        <f t="shared" si="8"/>
        <v>* group[=].element[=].target.equivalence = #relatedto</v>
      </c>
      <c r="N26" s="4" t="str">
        <f t="shared" si="9"/>
        <v/>
      </c>
      <c r="P26" s="9">
        <v>12</v>
      </c>
      <c r="Q26" s="9">
        <f t="shared" si="10"/>
        <v>1</v>
      </c>
      <c r="R26" s="9">
        <f t="shared" si="11"/>
        <v>6</v>
      </c>
      <c r="S26" s="14" t="str" cm="1">
        <f t="array" ref="S26">INDEX('Order-ConceptMap-1'!$I$15:$N$178,Q26+1,R26)</f>
        <v/>
      </c>
    </row>
    <row r="27" spans="1:19" ht="73.75" x14ac:dyDescent="0.75">
      <c r="A27" s="23"/>
      <c r="B27" s="9" t="str">
        <f>'A2 Order'!B15</f>
        <v>reason</v>
      </c>
      <c r="C27" s="9" t="str">
        <f>'A2 Order'!C15</f>
        <v>A.3 Order reason</v>
      </c>
      <c r="D27" s="14" t="s">
        <v>804</v>
      </c>
      <c r="E27" s="9"/>
      <c r="F27" s="75" t="s">
        <v>659</v>
      </c>
      <c r="G27" s="75"/>
      <c r="H27" s="76"/>
      <c r="I27" s="14" t="str">
        <f t="shared" si="4"/>
        <v>* group[=].element[+].code = #Order.reason</v>
      </c>
      <c r="J27" s="14" t="str">
        <f t="shared" si="5"/>
        <v>* group[=].element[=].display = ##34#A.3 Order reason##34#</v>
      </c>
      <c r="K27" s="14" t="str">
        <f t="shared" si="6"/>
        <v>* group[=].element[=].target.code = #ServiceRequest.reasonReference</v>
      </c>
      <c r="L27" s="14" t="str">
        <f t="shared" si="7"/>
        <v>* group[=].element[=].target.display = ##34###34#</v>
      </c>
      <c r="M27" s="14" t="str">
        <f t="shared" si="8"/>
        <v>* group[=].element[=].target.equivalence = #relatedto</v>
      </c>
      <c r="N27" s="4" t="str">
        <f t="shared" si="9"/>
        <v/>
      </c>
      <c r="P27" s="9">
        <v>13</v>
      </c>
      <c r="Q27" s="9">
        <f t="shared" si="10"/>
        <v>2</v>
      </c>
      <c r="R27" s="9">
        <f t="shared" si="11"/>
        <v>1</v>
      </c>
      <c r="S27" s="14" t="str" cm="1">
        <f t="array" ref="S27">INDEX('Order-ConceptMap-1'!$I$15:$N$178,Q27+1,R27)</f>
        <v>* group[=].element[+].code = #Order.orderDetails.identifier</v>
      </c>
    </row>
    <row r="28" spans="1:19" ht="44.25" x14ac:dyDescent="0.75">
      <c r="A28" s="23"/>
      <c r="B28" s="9" t="str">
        <f>'A2 Order'!B16</f>
        <v>reason.code</v>
      </c>
      <c r="C28" s="9" t="str">
        <f>'A2 Order'!C16</f>
        <v>A.3.1 Problem / diagnosis / condition description</v>
      </c>
      <c r="D28" s="14" t="s">
        <v>803</v>
      </c>
      <c r="E28" s="14"/>
      <c r="F28" s="75" t="s">
        <v>658</v>
      </c>
      <c r="G28" s="75"/>
      <c r="H28" s="76"/>
      <c r="I28" s="14" t="str">
        <f t="shared" si="4"/>
        <v>* group[=].element[+].code = #Order.reason.code</v>
      </c>
      <c r="J28" s="14" t="str">
        <f t="shared" si="5"/>
        <v>* group[=].element[=].display = ##34#A.3.1 Problem / diagnosis / condition description##34#</v>
      </c>
      <c r="K28" s="14" t="str">
        <f t="shared" si="6"/>
        <v>* group[=].element[=].target.code = #ServiceRequest.reasonCode</v>
      </c>
      <c r="L28" s="14" t="str">
        <f t="shared" si="7"/>
        <v>* group[=].element[=].target.display = ##34###34#</v>
      </c>
      <c r="M28" s="14" t="str">
        <f t="shared" si="8"/>
        <v>* group[=].element[=].target.equivalence = #equivalent</v>
      </c>
      <c r="N28" s="4" t="str">
        <f t="shared" si="9"/>
        <v/>
      </c>
      <c r="P28" s="9">
        <v>14</v>
      </c>
      <c r="Q28" s="9">
        <f t="shared" si="10"/>
        <v>2</v>
      </c>
      <c r="R28" s="9">
        <f t="shared" si="11"/>
        <v>2</v>
      </c>
      <c r="S28" s="14" t="str" cm="1">
        <f t="array" ref="S28">INDEX('Order-ConceptMap-1'!$I$15:$N$178,Q28+1,R28)</f>
        <v>* group[=].element[=].display = ##34#A.2.1 Order Id##34#</v>
      </c>
    </row>
    <row r="29" spans="1:19" x14ac:dyDescent="0.75">
      <c r="A29" s="23"/>
      <c r="B29" s="9"/>
      <c r="C29" s="9"/>
      <c r="D29" s="14"/>
      <c r="E29" s="14"/>
      <c r="F29" s="75"/>
      <c r="G29" s="75"/>
      <c r="H29" s="76"/>
      <c r="I29" s="14"/>
      <c r="J29" s="14"/>
      <c r="K29" s="14"/>
      <c r="L29" s="14"/>
      <c r="M29" s="14"/>
      <c r="N29" s="4"/>
      <c r="P29" s="9">
        <v>15</v>
      </c>
      <c r="Q29" s="9">
        <f t="shared" si="10"/>
        <v>2</v>
      </c>
      <c r="R29" s="9">
        <f t="shared" si="11"/>
        <v>3</v>
      </c>
      <c r="S29" s="14" t="str" cm="1">
        <f t="array" ref="S29">INDEX('Order-ConceptMap-1'!$I$15:$N$178,Q29+1,R29)</f>
        <v>* group[=].element[=].target.code = #ServiceRequest.requisition</v>
      </c>
    </row>
    <row r="30" spans="1:19" x14ac:dyDescent="0.75">
      <c r="B30" s="9"/>
      <c r="C30" s="9"/>
      <c r="D30" s="14"/>
      <c r="E30" s="14"/>
      <c r="F30" s="75"/>
      <c r="G30" s="75"/>
      <c r="H30" s="76"/>
      <c r="I30" s="14"/>
      <c r="J30" s="14"/>
      <c r="K30" s="14"/>
      <c r="L30" s="14"/>
      <c r="M30" s="14"/>
      <c r="N30" s="4"/>
      <c r="P30" s="9">
        <v>16</v>
      </c>
      <c r="Q30" s="9">
        <f t="shared" si="10"/>
        <v>2</v>
      </c>
      <c r="R30" s="9">
        <f t="shared" si="11"/>
        <v>4</v>
      </c>
      <c r="S30" s="14" t="str" cm="1">
        <f t="array" ref="S30">INDEX('Order-ConceptMap-1'!$I$15:$N$178,Q30+1,R30)</f>
        <v>* group[=].element[=].target.display = ##34###34#</v>
      </c>
    </row>
    <row r="31" spans="1:19" x14ac:dyDescent="0.75">
      <c r="B31" s="9"/>
      <c r="C31" s="9"/>
      <c r="D31" s="14"/>
      <c r="E31" s="14"/>
      <c r="F31" s="75"/>
      <c r="G31" s="75"/>
      <c r="H31" s="76"/>
      <c r="I31" s="14"/>
      <c r="J31" s="14"/>
      <c r="K31" s="14"/>
      <c r="L31" s="14"/>
      <c r="M31" s="14"/>
      <c r="N31" s="4"/>
      <c r="P31" s="9">
        <v>17</v>
      </c>
      <c r="Q31" s="9">
        <f t="shared" si="10"/>
        <v>2</v>
      </c>
      <c r="R31" s="9">
        <f t="shared" si="11"/>
        <v>5</v>
      </c>
      <c r="S31" s="14" t="str" cm="1">
        <f t="array" ref="S31">INDEX('Order-ConceptMap-1'!$I$15:$N$178,Q31+1,R31)</f>
        <v>* group[=].element[=].target.equivalence = #relatedto</v>
      </c>
    </row>
    <row r="32" spans="1:19" x14ac:dyDescent="0.75">
      <c r="B32" s="9"/>
      <c r="C32" s="9"/>
      <c r="D32" s="14"/>
      <c r="E32" s="14"/>
      <c r="F32" s="75"/>
      <c r="G32" s="75"/>
      <c r="H32" s="76"/>
      <c r="I32" s="14"/>
      <c r="J32" s="14"/>
      <c r="K32" s="14"/>
      <c r="L32" s="14"/>
      <c r="M32" s="14"/>
      <c r="N32" s="4"/>
      <c r="P32" s="9">
        <v>18</v>
      </c>
      <c r="Q32" s="9">
        <f t="shared" si="10"/>
        <v>2</v>
      </c>
      <c r="R32" s="9">
        <f t="shared" si="11"/>
        <v>6</v>
      </c>
      <c r="S32" s="14" t="str" cm="1">
        <f t="array" ref="S32">INDEX('Order-ConceptMap-1'!$I$15:$N$178,Q32+1,R32)</f>
        <v>* group[=].element[=].target.comment = ##34#if the Composite Request ID.##34#</v>
      </c>
    </row>
    <row r="33" spans="1:19" x14ac:dyDescent="0.75">
      <c r="B33" s="9"/>
      <c r="C33" s="9"/>
      <c r="D33" s="14"/>
      <c r="E33" s="14"/>
      <c r="F33" s="75"/>
      <c r="G33" s="75"/>
      <c r="H33" s="76"/>
      <c r="I33" s="14"/>
      <c r="J33" s="14"/>
      <c r="K33" s="14"/>
      <c r="L33" s="14"/>
      <c r="M33" s="14"/>
      <c r="N33" s="4"/>
      <c r="P33" s="9">
        <v>19</v>
      </c>
      <c r="Q33" s="9">
        <f t="shared" si="10"/>
        <v>3</v>
      </c>
      <c r="R33" s="9">
        <f t="shared" si="11"/>
        <v>1</v>
      </c>
      <c r="S33" s="14" t="str" cm="1">
        <f t="array" ref="S33">INDEX('Order-ConceptMap-1'!$I$15:$N$178,Q33+1,R33)</f>
        <v>* group[=].element[+].code = #Order.orderDetails.dateTime</v>
      </c>
    </row>
    <row r="34" spans="1:19" x14ac:dyDescent="0.75">
      <c r="B34" s="9"/>
      <c r="C34" s="9"/>
      <c r="D34" s="14"/>
      <c r="E34" s="14"/>
      <c r="F34" s="75"/>
      <c r="G34" s="75"/>
      <c r="H34" s="76"/>
      <c r="I34" s="14"/>
      <c r="J34" s="14"/>
      <c r="K34" s="14"/>
      <c r="L34" s="14"/>
      <c r="M34" s="14"/>
      <c r="N34" s="4"/>
      <c r="P34" s="9">
        <v>20</v>
      </c>
      <c r="Q34" s="9">
        <f t="shared" si="10"/>
        <v>3</v>
      </c>
      <c r="R34" s="9">
        <f t="shared" si="11"/>
        <v>2</v>
      </c>
      <c r="S34" s="14" t="str" cm="1">
        <f t="array" ref="S34">INDEX('Order-ConceptMap-1'!$I$15:$N$178,Q34+1,R34)</f>
        <v>* group[=].element[=].display = ##34#A.2.2 Order date and time##34#</v>
      </c>
    </row>
    <row r="35" spans="1:19" x14ac:dyDescent="0.75">
      <c r="B35" s="9"/>
      <c r="C35" s="9"/>
      <c r="D35" s="14"/>
      <c r="E35" s="14"/>
      <c r="F35" s="75"/>
      <c r="G35" s="75"/>
      <c r="H35" s="76"/>
      <c r="I35" s="14"/>
      <c r="J35" s="14"/>
      <c r="K35" s="14"/>
      <c r="L35" s="14"/>
      <c r="M35" s="14"/>
      <c r="N35" s="4"/>
      <c r="P35" s="9">
        <v>21</v>
      </c>
      <c r="Q35" s="9">
        <f t="shared" si="10"/>
        <v>3</v>
      </c>
      <c r="R35" s="9">
        <f t="shared" si="11"/>
        <v>3</v>
      </c>
      <c r="S35" s="14" t="str" cm="1">
        <f t="array" ref="S35">INDEX('Order-ConceptMap-1'!$I$15:$N$178,Q35+1,R35)</f>
        <v>* group[=].element[=].target.code = #ServiceRequest.authoredOn</v>
      </c>
    </row>
    <row r="36" spans="1:19" x14ac:dyDescent="0.75">
      <c r="B36" s="9"/>
      <c r="C36" s="9"/>
      <c r="D36" s="14"/>
      <c r="E36" s="14"/>
      <c r="F36" s="75"/>
      <c r="G36" s="75"/>
      <c r="H36" s="76"/>
      <c r="I36" s="14"/>
      <c r="J36" s="14"/>
      <c r="K36" s="14"/>
      <c r="L36" s="14"/>
      <c r="M36" s="14"/>
      <c r="N36" s="4"/>
      <c r="P36" s="9">
        <v>22</v>
      </c>
      <c r="Q36" s="9">
        <f t="shared" si="10"/>
        <v>3</v>
      </c>
      <c r="R36" s="9">
        <f t="shared" si="11"/>
        <v>4</v>
      </c>
      <c r="S36" s="14" t="str" cm="1">
        <f t="array" ref="S36">INDEX('Order-ConceptMap-1'!$I$15:$N$178,Q36+1,R36)</f>
        <v>* group[=].element[=].target.display = ##34###34#</v>
      </c>
    </row>
    <row r="37" spans="1:19" x14ac:dyDescent="0.75">
      <c r="B37" s="9"/>
      <c r="C37" s="9"/>
      <c r="D37" s="14"/>
      <c r="E37" s="14"/>
      <c r="F37" s="75"/>
      <c r="G37" s="75"/>
      <c r="H37" s="76"/>
      <c r="I37" s="14"/>
      <c r="J37" s="14"/>
      <c r="K37" s="14"/>
      <c r="L37" s="14"/>
      <c r="M37" s="14"/>
      <c r="N37" s="4"/>
      <c r="P37" s="9">
        <v>23</v>
      </c>
      <c r="Q37" s="9">
        <f t="shared" si="10"/>
        <v>3</v>
      </c>
      <c r="R37" s="9">
        <f t="shared" si="11"/>
        <v>5</v>
      </c>
      <c r="S37" s="14" t="str" cm="1">
        <f t="array" ref="S37">INDEX('Order-ConceptMap-1'!$I$15:$N$178,Q37+1,R37)</f>
        <v>* group[=].element[=].target.equivalence = #equivalent</v>
      </c>
    </row>
    <row r="38" spans="1:19" x14ac:dyDescent="0.75">
      <c r="B38" s="9"/>
      <c r="C38" s="9"/>
      <c r="D38" s="14"/>
      <c r="E38" s="14"/>
      <c r="F38" s="75"/>
      <c r="G38" s="75"/>
      <c r="H38" s="76"/>
      <c r="I38" s="14"/>
      <c r="J38" s="14"/>
      <c r="K38" s="14"/>
      <c r="L38" s="14"/>
      <c r="M38" s="14"/>
      <c r="N38" s="4"/>
      <c r="P38" s="9">
        <v>24</v>
      </c>
      <c r="Q38" s="9">
        <f t="shared" si="10"/>
        <v>3</v>
      </c>
      <c r="R38" s="9">
        <f t="shared" si="11"/>
        <v>6</v>
      </c>
      <c r="S38" s="14" t="str" cm="1">
        <f t="array" ref="S38">INDEX('Order-ConceptMap-1'!$I$15:$N$178,Q38+1,R38)</f>
        <v/>
      </c>
    </row>
    <row r="39" spans="1:19" x14ac:dyDescent="0.75">
      <c r="B39" s="9"/>
      <c r="C39" s="9"/>
      <c r="D39" s="14"/>
      <c r="E39" s="14"/>
      <c r="F39" s="75"/>
      <c r="G39" s="75"/>
      <c r="H39" s="76"/>
      <c r="I39" s="14"/>
      <c r="J39" s="14"/>
      <c r="K39" s="14"/>
      <c r="L39" s="14"/>
      <c r="M39" s="14"/>
      <c r="N39" s="4"/>
      <c r="P39" s="9">
        <v>25</v>
      </c>
      <c r="Q39" s="9">
        <f t="shared" si="10"/>
        <v>4</v>
      </c>
      <c r="R39" s="9">
        <f t="shared" si="11"/>
        <v>1</v>
      </c>
      <c r="S39" s="14" t="str" cm="1">
        <f t="array" ref="S39">INDEX('Order-ConceptMap-1'!$I$15:$N$178,Q39+1,R39)</f>
        <v>* group[=].element[+].code = #Order.orderDetails.orderPlacerIdentifier</v>
      </c>
    </row>
    <row r="40" spans="1:19" x14ac:dyDescent="0.75">
      <c r="B40" s="9"/>
      <c r="C40" s="9"/>
      <c r="D40" s="14"/>
      <c r="E40" s="14"/>
      <c r="F40" s="75"/>
      <c r="G40" s="75"/>
      <c r="H40" s="76"/>
      <c r="I40" s="14"/>
      <c r="J40" s="14"/>
      <c r="K40" s="14"/>
      <c r="L40" s="14"/>
      <c r="M40" s="14"/>
      <c r="N40" s="4"/>
      <c r="P40" s="9">
        <v>26</v>
      </c>
      <c r="Q40" s="9">
        <f t="shared" si="10"/>
        <v>4</v>
      </c>
      <c r="R40" s="9">
        <f t="shared" si="11"/>
        <v>2</v>
      </c>
      <c r="S40" s="14" t="str" cm="1">
        <f t="array" ref="S40">INDEX('Order-ConceptMap-1'!$I$15:$N$178,Q40+1,R40)</f>
        <v>* group[=].element[=].display = ##34#A.2.3 Order placer identifier##34#</v>
      </c>
    </row>
    <row r="41" spans="1:19" x14ac:dyDescent="0.75">
      <c r="B41" s="9"/>
      <c r="C41" s="9"/>
      <c r="D41" s="14"/>
      <c r="E41" s="14"/>
      <c r="F41" s="75"/>
      <c r="G41" s="75"/>
      <c r="H41" s="76"/>
      <c r="I41" s="14"/>
      <c r="J41" s="14"/>
      <c r="K41" s="14"/>
      <c r="L41" s="14"/>
      <c r="M41" s="14"/>
      <c r="N41" s="4"/>
      <c r="P41" s="9">
        <v>27</v>
      </c>
      <c r="Q41" s="9">
        <f t="shared" si="10"/>
        <v>4</v>
      </c>
      <c r="R41" s="9">
        <f t="shared" si="11"/>
        <v>3</v>
      </c>
      <c r="S41" s="14" t="str" cm="1">
        <f t="array" ref="S41">INDEX('Order-ConceptMap-1'!$I$15:$N$178,Q41+1,R41)</f>
        <v>* group[=].element[=].target.code = #ServiceRequest.requester.resolve().identifier</v>
      </c>
    </row>
    <row r="42" spans="1:19" s="1" customFormat="1" x14ac:dyDescent="0.75">
      <c r="A42"/>
      <c r="B42" s="9"/>
      <c r="C42" s="9"/>
      <c r="D42" s="14"/>
      <c r="E42" s="14"/>
      <c r="F42" s="75"/>
      <c r="G42" s="76"/>
      <c r="H42" s="76"/>
      <c r="I42" s="14"/>
      <c r="J42" s="14"/>
      <c r="K42" s="14"/>
      <c r="L42" s="14"/>
      <c r="M42" s="14"/>
      <c r="N42" s="4"/>
      <c r="P42" s="9">
        <v>28</v>
      </c>
      <c r="Q42" s="9">
        <f t="shared" si="10"/>
        <v>4</v>
      </c>
      <c r="R42" s="9">
        <f t="shared" si="11"/>
        <v>4</v>
      </c>
      <c r="S42" s="14" t="str" cm="1">
        <f t="array" ref="S42">INDEX('Order-ConceptMap-1'!$I$15:$N$178,Q42+1,R42)</f>
        <v>* group[=].element[=].target.display = ##34###34#</v>
      </c>
    </row>
    <row r="43" spans="1:19" s="1" customFormat="1" x14ac:dyDescent="0.75">
      <c r="A43"/>
      <c r="B43" s="9"/>
      <c r="C43" s="9"/>
      <c r="D43" s="60"/>
      <c r="F43" s="76"/>
      <c r="G43" s="76"/>
      <c r="H43" s="76"/>
      <c r="I43" s="14"/>
      <c r="J43" s="14"/>
      <c r="K43" s="14"/>
      <c r="L43" s="14"/>
      <c r="M43" s="14"/>
      <c r="N43" s="4"/>
      <c r="P43" s="9">
        <v>29</v>
      </c>
      <c r="Q43" s="9">
        <f t="shared" si="10"/>
        <v>4</v>
      </c>
      <c r="R43" s="9">
        <f t="shared" si="11"/>
        <v>5</v>
      </c>
      <c r="S43" s="14" t="str" cm="1">
        <f t="array" ref="S43">INDEX('Order-ConceptMap-1'!$I$15:$N$178,Q43+1,R43)</f>
        <v>* group[=].element[=].target.equivalence = #relatedto</v>
      </c>
    </row>
    <row r="44" spans="1:19" s="1" customFormat="1" x14ac:dyDescent="0.75">
      <c r="A44"/>
      <c r="B44" s="9"/>
      <c r="C44" s="9"/>
      <c r="F44" s="76"/>
      <c r="G44" s="76"/>
      <c r="H44" s="76"/>
      <c r="I44" s="14"/>
      <c r="J44" s="14"/>
      <c r="K44" s="14"/>
      <c r="L44" s="14"/>
      <c r="M44" s="14"/>
      <c r="N44" s="4"/>
      <c r="P44" s="9">
        <v>30</v>
      </c>
      <c r="Q44" s="9">
        <f t="shared" si="10"/>
        <v>4</v>
      </c>
      <c r="R44" s="9">
        <f t="shared" si="11"/>
        <v>6</v>
      </c>
      <c r="S44" s="14" t="str" cm="1">
        <f t="array" ref="S44">INDEX('Order-ConceptMap-1'!$I$15:$N$178,Q44+1,R44)</f>
        <v>* group[=].element[=].target.comment = ##34#if the Composite Request ID.##34#</v>
      </c>
    </row>
    <row r="45" spans="1:19" s="1" customFormat="1" x14ac:dyDescent="0.75">
      <c r="A45"/>
      <c r="B45" s="9"/>
      <c r="C45" s="9"/>
      <c r="F45" s="76"/>
      <c r="G45" s="76"/>
      <c r="H45" s="76"/>
      <c r="I45" s="14"/>
      <c r="J45" s="14"/>
      <c r="K45" s="14"/>
      <c r="L45" s="14"/>
      <c r="M45" s="14"/>
      <c r="N45" s="4"/>
      <c r="P45" s="9">
        <v>31</v>
      </c>
      <c r="Q45" s="9">
        <f t="shared" si="10"/>
        <v>5</v>
      </c>
      <c r="R45" s="9">
        <f t="shared" si="11"/>
        <v>1</v>
      </c>
      <c r="S45" s="14" t="str" cm="1">
        <f t="array" ref="S45">INDEX('Order-ConceptMap-1'!$I$15:$N$178,Q45+1,R45)</f>
        <v>* group[=].element[+].code = #Order.orderDetails.orderPlacerName</v>
      </c>
    </row>
    <row r="46" spans="1:19" s="1" customFormat="1" x14ac:dyDescent="0.75">
      <c r="A46"/>
      <c r="B46" s="9"/>
      <c r="C46" s="9"/>
      <c r="F46" s="76"/>
      <c r="G46" s="76"/>
      <c r="H46" s="76"/>
      <c r="I46" s="14"/>
      <c r="J46" s="14"/>
      <c r="K46" s="14"/>
      <c r="L46" s="14"/>
      <c r="M46" s="14"/>
      <c r="N46" s="4"/>
      <c r="P46" s="9">
        <v>32</v>
      </c>
      <c r="Q46" s="9">
        <f t="shared" si="10"/>
        <v>5</v>
      </c>
      <c r="R46" s="9">
        <f t="shared" si="11"/>
        <v>2</v>
      </c>
      <c r="S46" s="14" t="str" cm="1">
        <f t="array" ref="S46">INDEX('Order-ConceptMap-1'!$I$15:$N$178,Q46+1,R46)</f>
        <v>* group[=].element[=].display = ##34#A.2.4 Order placer name##34#</v>
      </c>
    </row>
    <row r="47" spans="1:19" s="1" customFormat="1" ht="29.5" x14ac:dyDescent="0.75">
      <c r="A47"/>
      <c r="B47" s="9"/>
      <c r="C47" s="9"/>
      <c r="F47" s="76"/>
      <c r="G47" s="76"/>
      <c r="H47" s="76"/>
      <c r="I47" s="14"/>
      <c r="J47" s="14"/>
      <c r="K47" s="14"/>
      <c r="L47" s="14"/>
      <c r="M47" s="14"/>
      <c r="N47" s="4"/>
      <c r="P47" s="9">
        <v>33</v>
      </c>
      <c r="Q47" s="9">
        <f t="shared" si="10"/>
        <v>5</v>
      </c>
      <c r="R47" s="9">
        <f t="shared" si="11"/>
        <v>3</v>
      </c>
      <c r="S47" s="14" t="str" cm="1">
        <f t="array" ref="S47">INDEX('Order-ConceptMap-1'!$I$15:$N$178,Q47+1,R47)</f>
        <v>* group[=].element[=].target.code = #ServiceRequest.requester.resolve().ofType(Practictioner).name</v>
      </c>
    </row>
    <row r="48" spans="1:19" s="1" customFormat="1" x14ac:dyDescent="0.75">
      <c r="A48"/>
      <c r="B48" s="9"/>
      <c r="C48" s="9"/>
      <c r="F48" s="76"/>
      <c r="G48" s="76"/>
      <c r="H48" s="76"/>
      <c r="I48" s="14"/>
      <c r="J48" s="14"/>
      <c r="K48" s="14"/>
      <c r="L48" s="14"/>
      <c r="M48" s="14"/>
      <c r="N48" s="4"/>
      <c r="P48" s="9">
        <v>34</v>
      </c>
      <c r="Q48" s="9">
        <f t="shared" si="10"/>
        <v>5</v>
      </c>
      <c r="R48" s="9">
        <f t="shared" si="11"/>
        <v>4</v>
      </c>
      <c r="S48" s="14" t="str" cm="1">
        <f t="array" ref="S48">INDEX('Order-ConceptMap-1'!$I$15:$N$178,Q48+1,R48)</f>
        <v>* group[=].element[=].target.display = ##34###34#</v>
      </c>
    </row>
    <row r="49" spans="1:19" s="1" customFormat="1" x14ac:dyDescent="0.75">
      <c r="A49"/>
      <c r="B49" s="9"/>
      <c r="C49"/>
      <c r="F49" s="76"/>
      <c r="G49" s="76"/>
      <c r="H49" s="76"/>
      <c r="I49" s="14"/>
      <c r="J49" s="14"/>
      <c r="K49" s="14"/>
      <c r="L49" s="14"/>
      <c r="M49" s="14"/>
      <c r="N49" s="4"/>
      <c r="P49" s="9">
        <v>35</v>
      </c>
      <c r="Q49" s="9">
        <f t="shared" si="10"/>
        <v>5</v>
      </c>
      <c r="R49" s="9">
        <f t="shared" si="11"/>
        <v>5</v>
      </c>
      <c r="S49" s="14" t="str" cm="1">
        <f t="array" ref="S49">INDEX('Order-ConceptMap-1'!$I$15:$N$178,Q49+1,R49)</f>
        <v>* group[=].element[=].target.equivalence = #relatedto</v>
      </c>
    </row>
    <row r="50" spans="1:19" s="1" customFormat="1" x14ac:dyDescent="0.75">
      <c r="A50"/>
      <c r="B50" s="9"/>
      <c r="C50"/>
      <c r="F50" s="76"/>
      <c r="G50" s="76"/>
      <c r="H50" s="76"/>
      <c r="I50" s="14"/>
      <c r="J50" s="14"/>
      <c r="K50" s="14"/>
      <c r="L50" s="14"/>
      <c r="M50" s="14"/>
      <c r="N50" s="4"/>
      <c r="P50" s="9">
        <v>36</v>
      </c>
      <c r="Q50" s="9">
        <f t="shared" si="10"/>
        <v>5</v>
      </c>
      <c r="R50" s="9">
        <f t="shared" si="11"/>
        <v>6</v>
      </c>
      <c r="S50" s="14" t="str" cm="1">
        <f t="array" ref="S50">INDEX('Order-ConceptMap-1'!$I$15:$N$178,Q50+1,R50)</f>
        <v/>
      </c>
    </row>
    <row r="51" spans="1:19" s="1" customFormat="1" x14ac:dyDescent="0.75">
      <c r="A51"/>
      <c r="B51" s="9"/>
      <c r="C51"/>
      <c r="F51" s="76"/>
      <c r="G51" s="76"/>
      <c r="H51" s="76"/>
      <c r="I51" s="14"/>
      <c r="J51" s="14"/>
      <c r="K51" s="14"/>
      <c r="L51" s="14"/>
      <c r="M51" s="14"/>
      <c r="N51" s="4"/>
      <c r="P51" s="9">
        <v>37</v>
      </c>
      <c r="Q51" s="9">
        <f t="shared" si="10"/>
        <v>6</v>
      </c>
      <c r="R51" s="9">
        <f t="shared" si="11"/>
        <v>1</v>
      </c>
      <c r="S51" s="14" t="str" cm="1">
        <f t="array" ref="S51">INDEX('Order-ConceptMap-1'!$I$15:$N$178,Q51+1,R51)</f>
        <v>* group[=].element[+].code = #Order.orderDetails.orderPlacerName</v>
      </c>
    </row>
    <row r="52" spans="1:19" s="1" customFormat="1" x14ac:dyDescent="0.75">
      <c r="A52"/>
      <c r="B52" s="9"/>
      <c r="C52"/>
      <c r="F52" s="76"/>
      <c r="G52" s="76"/>
      <c r="H52" s="76"/>
      <c r="J52" s="76"/>
      <c r="K52" s="76"/>
      <c r="L52" s="76"/>
      <c r="M52" s="76"/>
      <c r="N52" s="76"/>
      <c r="P52" s="9">
        <v>38</v>
      </c>
      <c r="Q52" s="9">
        <f t="shared" si="10"/>
        <v>6</v>
      </c>
      <c r="R52" s="9">
        <f t="shared" si="11"/>
        <v>2</v>
      </c>
      <c r="S52" s="14" t="str" cm="1">
        <f t="array" ref="S52">INDEX('Order-ConceptMap-1'!$I$15:$N$178,Q52+1,R52)</f>
        <v>* group[=].element[=].display = ##34#A.2.4 Order placer name##34#</v>
      </c>
    </row>
    <row r="53" spans="1:19" s="1" customFormat="1" ht="44.25" x14ac:dyDescent="0.75">
      <c r="A53"/>
      <c r="B53" s="9"/>
      <c r="C53"/>
      <c r="F53" s="76"/>
      <c r="G53" s="76"/>
      <c r="H53" s="76"/>
      <c r="J53" s="76"/>
      <c r="K53" s="76"/>
      <c r="L53" s="76"/>
      <c r="M53" s="76"/>
      <c r="N53" s="76"/>
      <c r="P53" s="9">
        <v>39</v>
      </c>
      <c r="Q53" s="9">
        <f t="shared" si="10"/>
        <v>6</v>
      </c>
      <c r="R53" s="9">
        <f t="shared" si="11"/>
        <v>3</v>
      </c>
      <c r="S53" s="14" t="str" cm="1">
        <f t="array" ref="S53">INDEX('Order-ConceptMap-1'!$I$15:$N$178,Q53+1,R53)</f>
        <v>* group[=].element[=].target.code = #ServiceRequest.requester.resolve().ofType(PractictionerRole).practictioner.resolve().name</v>
      </c>
    </row>
    <row r="54" spans="1:19" x14ac:dyDescent="0.75">
      <c r="F54" s="76"/>
      <c r="G54" s="76"/>
      <c r="H54" s="76"/>
      <c r="J54" s="76"/>
      <c r="K54" s="76"/>
      <c r="L54" s="76"/>
      <c r="M54" s="76"/>
      <c r="N54" s="76"/>
      <c r="P54" s="9">
        <v>40</v>
      </c>
      <c r="Q54" s="9">
        <f t="shared" si="10"/>
        <v>6</v>
      </c>
      <c r="R54" s="9">
        <f t="shared" si="11"/>
        <v>4</v>
      </c>
      <c r="S54" s="14" t="str" cm="1">
        <f t="array" ref="S54">INDEX('Order-ConceptMap-1'!$I$15:$N$178,Q54+1,R54)</f>
        <v>* group[=].element[=].target.display = ##34###34#</v>
      </c>
    </row>
    <row r="55" spans="1:19" x14ac:dyDescent="0.75">
      <c r="F55" s="76"/>
      <c r="G55" s="76"/>
      <c r="H55" s="76"/>
      <c r="J55" s="76"/>
      <c r="K55" s="76"/>
      <c r="L55" s="76"/>
      <c r="M55" s="76"/>
      <c r="N55" s="76"/>
      <c r="P55" s="9">
        <v>41</v>
      </c>
      <c r="Q55" s="9">
        <f t="shared" si="10"/>
        <v>6</v>
      </c>
      <c r="R55" s="9">
        <f t="shared" si="11"/>
        <v>5</v>
      </c>
      <c r="S55" s="14" t="str" cm="1">
        <f t="array" ref="S55">INDEX('Order-ConceptMap-1'!$I$15:$N$178,Q55+1,R55)</f>
        <v>* group[=].element[=].target.equivalence = #relatedto</v>
      </c>
    </row>
    <row r="56" spans="1:19" x14ac:dyDescent="0.75">
      <c r="F56" s="76"/>
      <c r="G56" s="76"/>
      <c r="H56" s="76"/>
      <c r="J56" s="76"/>
      <c r="K56" s="76"/>
      <c r="L56" s="76"/>
      <c r="M56" s="76"/>
      <c r="N56" s="76"/>
      <c r="P56" s="9">
        <v>42</v>
      </c>
      <c r="Q56" s="9">
        <f t="shared" si="10"/>
        <v>6</v>
      </c>
      <c r="R56" s="9">
        <f t="shared" si="11"/>
        <v>6</v>
      </c>
      <c r="S56" s="14" t="str" cm="1">
        <f t="array" ref="S56">INDEX('Order-ConceptMap-1'!$I$15:$N$178,Q56+1,R56)</f>
        <v/>
      </c>
    </row>
    <row r="57" spans="1:19" x14ac:dyDescent="0.75">
      <c r="F57" s="76"/>
      <c r="G57" s="76"/>
      <c r="H57" s="76"/>
      <c r="J57" s="76"/>
      <c r="K57" s="76"/>
      <c r="L57" s="76"/>
      <c r="M57" s="76"/>
      <c r="N57" s="76"/>
      <c r="P57" s="9">
        <v>43</v>
      </c>
      <c r="Q57" s="9">
        <f t="shared" si="10"/>
        <v>7</v>
      </c>
      <c r="R57" s="9">
        <f t="shared" si="11"/>
        <v>1</v>
      </c>
      <c r="S57" s="14" t="str" cm="1">
        <f t="array" ref="S57">INDEX('Order-ConceptMap-1'!$I$15:$N$178,Q57+1,R57)</f>
        <v>* group[=].element[+].code = #Order.orderDetails.orderPlacerContacts</v>
      </c>
    </row>
    <row r="58" spans="1:19" x14ac:dyDescent="0.75">
      <c r="E58"/>
      <c r="P58" s="9">
        <v>44</v>
      </c>
      <c r="Q58" s="9">
        <f t="shared" si="10"/>
        <v>7</v>
      </c>
      <c r="R58" s="9">
        <f t="shared" si="11"/>
        <v>2</v>
      </c>
      <c r="S58" s="14" t="str" cm="1">
        <f t="array" ref="S58">INDEX('Order-ConceptMap-1'!$I$15:$N$178,Q58+1,R58)</f>
        <v>* group[=].element[=].display = ##34#A.2.5 Order placer contact details##34#</v>
      </c>
    </row>
    <row r="59" spans="1:19" ht="29.5" x14ac:dyDescent="0.75">
      <c r="P59" s="9">
        <v>45</v>
      </c>
      <c r="Q59" s="9">
        <f t="shared" si="10"/>
        <v>7</v>
      </c>
      <c r="R59" s="9">
        <f t="shared" si="11"/>
        <v>3</v>
      </c>
      <c r="S59" s="14" t="str" cm="1">
        <f t="array" ref="S59">INDEX('Order-ConceptMap-1'!$I$15:$N$178,Q59+1,R59)</f>
        <v>* group[=].element[=].target.code = #ServiceRequest.requester.resolve().ofType(Practictioner).telecom</v>
      </c>
    </row>
    <row r="60" spans="1:19" x14ac:dyDescent="0.75">
      <c r="P60" s="9">
        <v>46</v>
      </c>
      <c r="Q60" s="9">
        <f t="shared" si="10"/>
        <v>7</v>
      </c>
      <c r="R60" s="9">
        <f t="shared" si="11"/>
        <v>4</v>
      </c>
      <c r="S60" s="14" t="str" cm="1">
        <f t="array" ref="S60">INDEX('Order-ConceptMap-1'!$I$15:$N$178,Q60+1,R60)</f>
        <v>* group[=].element[=].target.display = ##34###34#</v>
      </c>
    </row>
    <row r="61" spans="1:19" x14ac:dyDescent="0.75">
      <c r="P61" s="9">
        <v>47</v>
      </c>
      <c r="Q61" s="9">
        <f t="shared" si="10"/>
        <v>7</v>
      </c>
      <c r="R61" s="9">
        <f t="shared" si="11"/>
        <v>5</v>
      </c>
      <c r="S61" s="14" t="str" cm="1">
        <f t="array" ref="S61">INDEX('Order-ConceptMap-1'!$I$15:$N$178,Q61+1,R61)</f>
        <v>* group[=].element[=].target.equivalence = #relatedto</v>
      </c>
    </row>
    <row r="62" spans="1:19" x14ac:dyDescent="0.75">
      <c r="P62" s="9">
        <v>48</v>
      </c>
      <c r="Q62" s="9">
        <f t="shared" si="10"/>
        <v>7</v>
      </c>
      <c r="R62" s="9">
        <f t="shared" si="11"/>
        <v>6</v>
      </c>
      <c r="S62" s="14" t="str" cm="1">
        <f t="array" ref="S62">INDEX('Order-ConceptMap-1'!$I$15:$N$178,Q62+1,R62)</f>
        <v/>
      </c>
    </row>
    <row r="63" spans="1:19" x14ac:dyDescent="0.75">
      <c r="P63" s="9">
        <v>49</v>
      </c>
      <c r="Q63" s="9">
        <f t="shared" si="10"/>
        <v>8</v>
      </c>
      <c r="R63" s="9">
        <f t="shared" si="11"/>
        <v>1</v>
      </c>
      <c r="S63" s="14" t="str" cm="1">
        <f t="array" ref="S63">INDEX('Order-ConceptMap-1'!$I$15:$N$178,Q63+1,R63)</f>
        <v>* group[=].element[+].code = #Order.orderDetails.orderPlacerContacts</v>
      </c>
    </row>
    <row r="64" spans="1:19" x14ac:dyDescent="0.75">
      <c r="P64" s="9">
        <v>50</v>
      </c>
      <c r="Q64" s="9">
        <f t="shared" si="10"/>
        <v>8</v>
      </c>
      <c r="R64" s="9">
        <f t="shared" si="11"/>
        <v>2</v>
      </c>
      <c r="S64" s="14" t="str" cm="1">
        <f t="array" ref="S64">INDEX('Order-ConceptMap-1'!$I$15:$N$178,Q64+1,R64)</f>
        <v>* group[=].element[=].display = ##34#A.2.5 Order placer contact details##34#</v>
      </c>
    </row>
    <row r="65" spans="16:19" ht="29.5" x14ac:dyDescent="0.75">
      <c r="P65" s="9">
        <v>51</v>
      </c>
      <c r="Q65" s="9">
        <f t="shared" si="10"/>
        <v>8</v>
      </c>
      <c r="R65" s="9">
        <f t="shared" si="11"/>
        <v>3</v>
      </c>
      <c r="S65" s="14" t="str" cm="1">
        <f t="array" ref="S65">INDEX('Order-ConceptMap-1'!$I$15:$N$178,Q65+1,R65)</f>
        <v>* group[=].element[=].target.code = #ServiceRequest.requester.resolve().ofType(Practictioner).address</v>
      </c>
    </row>
    <row r="66" spans="16:19" x14ac:dyDescent="0.75">
      <c r="P66" s="9">
        <v>52</v>
      </c>
      <c r="Q66" s="9">
        <f t="shared" si="10"/>
        <v>8</v>
      </c>
      <c r="R66" s="9">
        <f t="shared" si="11"/>
        <v>4</v>
      </c>
      <c r="S66" s="14" t="str" cm="1">
        <f t="array" ref="S66">INDEX('Order-ConceptMap-1'!$I$15:$N$178,Q66+1,R66)</f>
        <v>* group[=].element[=].target.display = ##34###34#</v>
      </c>
    </row>
    <row r="67" spans="16:19" x14ac:dyDescent="0.75">
      <c r="P67" s="9">
        <v>53</v>
      </c>
      <c r="Q67" s="9">
        <f t="shared" si="10"/>
        <v>8</v>
      </c>
      <c r="R67" s="9">
        <f t="shared" si="11"/>
        <v>5</v>
      </c>
      <c r="S67" s="14" t="str" cm="1">
        <f t="array" ref="S67">INDEX('Order-ConceptMap-1'!$I$15:$N$178,Q67+1,R67)</f>
        <v>* group[=].element[=].target.equivalence = #relatedto</v>
      </c>
    </row>
    <row r="68" spans="16:19" x14ac:dyDescent="0.75">
      <c r="P68" s="9">
        <v>54</v>
      </c>
      <c r="Q68" s="9">
        <f t="shared" si="10"/>
        <v>8</v>
      </c>
      <c r="R68" s="9">
        <f t="shared" si="11"/>
        <v>6</v>
      </c>
      <c r="S68" s="14" t="str" cm="1">
        <f t="array" ref="S68">INDEX('Order-ConceptMap-1'!$I$15:$N$178,Q68+1,R68)</f>
        <v/>
      </c>
    </row>
    <row r="69" spans="16:19" x14ac:dyDescent="0.75">
      <c r="P69" s="9">
        <v>55</v>
      </c>
      <c r="Q69" s="9">
        <f t="shared" si="10"/>
        <v>9</v>
      </c>
      <c r="R69" s="9">
        <f t="shared" si="11"/>
        <v>1</v>
      </c>
      <c r="S69" s="14" t="str" cm="1">
        <f t="array" ref="S69">INDEX('Order-ConceptMap-1'!$I$15:$N$178,Q69+1,R69)</f>
        <v>* group[=].element[+].code = #Order.orderDetails.orderPlacerContacts</v>
      </c>
    </row>
    <row r="70" spans="16:19" x14ac:dyDescent="0.75">
      <c r="P70" s="9">
        <v>56</v>
      </c>
      <c r="Q70" s="9">
        <f t="shared" si="10"/>
        <v>9</v>
      </c>
      <c r="R70" s="9">
        <f t="shared" si="11"/>
        <v>2</v>
      </c>
      <c r="S70" s="14" t="str" cm="1">
        <f t="array" ref="S70">INDEX('Order-ConceptMap-1'!$I$15:$N$178,Q70+1,R70)</f>
        <v>* group[=].element[=].display = ##34#A.2.5 Order placer contact details##34#</v>
      </c>
    </row>
    <row r="71" spans="16:19" ht="29.5" x14ac:dyDescent="0.75">
      <c r="P71" s="9">
        <v>57</v>
      </c>
      <c r="Q71" s="9">
        <f t="shared" si="10"/>
        <v>9</v>
      </c>
      <c r="R71" s="9">
        <f t="shared" si="11"/>
        <v>3</v>
      </c>
      <c r="S71" s="14" t="str" cm="1">
        <f t="array" ref="S71">INDEX('Order-ConceptMap-1'!$I$15:$N$178,Q71+1,R71)</f>
        <v>* group[=].element[=].target.code = #ServiceRequest.requester.resolve().ofType(PractictionerRole).telecom</v>
      </c>
    </row>
    <row r="72" spans="16:19" x14ac:dyDescent="0.75">
      <c r="P72" s="9">
        <v>58</v>
      </c>
      <c r="Q72" s="9">
        <f t="shared" si="10"/>
        <v>9</v>
      </c>
      <c r="R72" s="9">
        <f t="shared" si="11"/>
        <v>4</v>
      </c>
      <c r="S72" s="14" t="str" cm="1">
        <f t="array" ref="S72">INDEX('Order-ConceptMap-1'!$I$15:$N$178,Q72+1,R72)</f>
        <v>* group[=].element[=].target.display = ##34###34#</v>
      </c>
    </row>
    <row r="73" spans="16:19" x14ac:dyDescent="0.75">
      <c r="P73" s="9">
        <v>59</v>
      </c>
      <c r="Q73" s="9">
        <f t="shared" si="10"/>
        <v>9</v>
      </c>
      <c r="R73" s="9">
        <f t="shared" si="11"/>
        <v>5</v>
      </c>
      <c r="S73" s="14" t="str" cm="1">
        <f t="array" ref="S73">INDEX('Order-ConceptMap-1'!$I$15:$N$178,Q73+1,R73)</f>
        <v>* group[=].element[=].target.equivalence = #relatedto</v>
      </c>
    </row>
    <row r="74" spans="16:19" x14ac:dyDescent="0.75">
      <c r="P74" s="9">
        <v>60</v>
      </c>
      <c r="Q74" s="9">
        <f t="shared" si="10"/>
        <v>9</v>
      </c>
      <c r="R74" s="9">
        <f t="shared" si="11"/>
        <v>6</v>
      </c>
      <c r="S74" s="14" t="str" cm="1">
        <f t="array" ref="S74">INDEX('Order-ConceptMap-1'!$I$15:$N$178,Q74+1,R74)</f>
        <v/>
      </c>
    </row>
    <row r="75" spans="16:19" x14ac:dyDescent="0.75">
      <c r="P75" s="9">
        <v>61</v>
      </c>
      <c r="Q75" s="9">
        <f t="shared" si="10"/>
        <v>10</v>
      </c>
      <c r="R75" s="9">
        <f t="shared" si="11"/>
        <v>1</v>
      </c>
      <c r="S75" s="14" t="str" cm="1">
        <f t="array" ref="S75">INDEX('Order-ConceptMap-1'!$I$15:$N$178,Q75+1,R75)</f>
        <v>* group[=].element[+].code = #Order.orderDetails.orderPlacerOrganization</v>
      </c>
    </row>
    <row r="76" spans="16:19" x14ac:dyDescent="0.75">
      <c r="P76" s="9">
        <v>62</v>
      </c>
      <c r="Q76" s="9">
        <f t="shared" si="10"/>
        <v>10</v>
      </c>
      <c r="R76" s="9">
        <f t="shared" si="11"/>
        <v>2</v>
      </c>
      <c r="S76" s="14" t="str" cm="1">
        <f t="array" ref="S76">INDEX('Order-ConceptMap-1'!$I$15:$N$178,Q76+1,R76)</f>
        <v>* group[=].element[=].display = ##34#A.2.6 Order placer organization##34#</v>
      </c>
    </row>
    <row r="77" spans="16:19" ht="29.5" x14ac:dyDescent="0.75">
      <c r="P77" s="9">
        <v>63</v>
      </c>
      <c r="Q77" s="9">
        <f t="shared" si="10"/>
        <v>10</v>
      </c>
      <c r="R77" s="9">
        <f t="shared" si="11"/>
        <v>3</v>
      </c>
      <c r="S77" s="14" t="str" cm="1">
        <f t="array" ref="S77">INDEX('Order-ConceptMap-1'!$I$15:$N$178,Q77+1,R77)</f>
        <v>* group[=].element[=].target.code = #ServiceRequest.requester.resolve().ofType(PractictionerRole).organization.resolve()</v>
      </c>
    </row>
    <row r="78" spans="16:19" x14ac:dyDescent="0.75">
      <c r="P78" s="9">
        <v>64</v>
      </c>
      <c r="Q78" s="9">
        <f t="shared" si="10"/>
        <v>10</v>
      </c>
      <c r="R78" s="9">
        <f t="shared" si="11"/>
        <v>4</v>
      </c>
      <c r="S78" s="14" t="str" cm="1">
        <f t="array" ref="S78">INDEX('Order-ConceptMap-1'!$I$15:$N$178,Q78+1,R78)</f>
        <v>* group[=].element[=].target.display = ##34###34#</v>
      </c>
    </row>
    <row r="79" spans="16:19" x14ac:dyDescent="0.75">
      <c r="P79" s="9">
        <v>65</v>
      </c>
      <c r="Q79" s="9">
        <f t="shared" si="10"/>
        <v>10</v>
      </c>
      <c r="R79" s="9">
        <f t="shared" si="11"/>
        <v>5</v>
      </c>
      <c r="S79" s="14" t="str" cm="1">
        <f t="array" ref="S79">INDEX('Order-ConceptMap-1'!$I$15:$N$178,Q79+1,R79)</f>
        <v>* group[=].element[=].target.equivalence = #equivalent</v>
      </c>
    </row>
    <row r="80" spans="16:19" x14ac:dyDescent="0.75">
      <c r="P80" s="9">
        <v>66</v>
      </c>
      <c r="Q80" s="9">
        <f t="shared" ref="Q80:Q99" si="12">IF(MOD(P80,$Q$8)=0,P80/$Q$8-1,INT(P80/$Q$8))</f>
        <v>10</v>
      </c>
      <c r="R80" s="9">
        <f t="shared" ref="R80:R99" si="13">IF(MOD(P80,$Q$8)=0,$Q$8,MOD(P80,$Q$8))</f>
        <v>6</v>
      </c>
      <c r="S80" s="14" t="str" cm="1">
        <f t="array" ref="S80">INDEX('Order-ConceptMap-1'!$I$15:$N$178,Q80+1,R80)</f>
        <v/>
      </c>
    </row>
    <row r="81" spans="16:19" x14ac:dyDescent="0.75">
      <c r="P81" s="9">
        <v>67</v>
      </c>
      <c r="Q81" s="9">
        <f t="shared" si="12"/>
        <v>11</v>
      </c>
      <c r="R81" s="9">
        <f t="shared" si="13"/>
        <v>1</v>
      </c>
      <c r="S81" s="14" t="str" cm="1">
        <f t="array" ref="S81">INDEX('Order-ConceptMap-1'!$I$15:$N$178,Q81+1,R81)</f>
        <v>* group[=].element[+].code = #Order.reason</v>
      </c>
    </row>
    <row r="82" spans="16:19" x14ac:dyDescent="0.75">
      <c r="P82" s="9">
        <v>68</v>
      </c>
      <c r="Q82" s="9">
        <f t="shared" si="12"/>
        <v>11</v>
      </c>
      <c r="R82" s="9">
        <f t="shared" si="13"/>
        <v>2</v>
      </c>
      <c r="S82" s="14" t="str" cm="1">
        <f t="array" ref="S82">INDEX('Order-ConceptMap-1'!$I$15:$N$178,Q82+1,R82)</f>
        <v>* group[=].element[=].display = ##34#A.3 Order reason##34#</v>
      </c>
    </row>
    <row r="83" spans="16:19" x14ac:dyDescent="0.75">
      <c r="P83" s="9">
        <v>69</v>
      </c>
      <c r="Q83" s="9">
        <f t="shared" si="12"/>
        <v>11</v>
      </c>
      <c r="R83" s="9">
        <f t="shared" si="13"/>
        <v>3</v>
      </c>
      <c r="S83" s="14" t="str" cm="1">
        <f t="array" ref="S83">INDEX('Order-ConceptMap-1'!$I$15:$N$178,Q83+1,R83)</f>
        <v>* group[=].element[=].target.code = #ServiceRequest.reasonCode</v>
      </c>
    </row>
    <row r="84" spans="16:19" x14ac:dyDescent="0.75">
      <c r="P84" s="9">
        <v>70</v>
      </c>
      <c r="Q84" s="9">
        <f t="shared" si="12"/>
        <v>11</v>
      </c>
      <c r="R84" s="9">
        <f t="shared" si="13"/>
        <v>4</v>
      </c>
      <c r="S84" s="14" t="str" cm="1">
        <f t="array" ref="S84">INDEX('Order-ConceptMap-1'!$I$15:$N$178,Q84+1,R84)</f>
        <v>* group[=].element[=].target.display = ##34###34#</v>
      </c>
    </row>
    <row r="85" spans="16:19" x14ac:dyDescent="0.75">
      <c r="P85" s="9">
        <v>71</v>
      </c>
      <c r="Q85" s="9">
        <f t="shared" si="12"/>
        <v>11</v>
      </c>
      <c r="R85" s="9">
        <f t="shared" si="13"/>
        <v>5</v>
      </c>
      <c r="S85" s="14" t="str" cm="1">
        <f t="array" ref="S85">INDEX('Order-ConceptMap-1'!$I$15:$N$178,Q85+1,R85)</f>
        <v>* group[=].element[=].target.equivalence = #relatedto</v>
      </c>
    </row>
    <row r="86" spans="16:19" x14ac:dyDescent="0.75">
      <c r="P86" s="9">
        <v>72</v>
      </c>
      <c r="Q86" s="9">
        <f t="shared" si="12"/>
        <v>11</v>
      </c>
      <c r="R86" s="9">
        <f t="shared" si="13"/>
        <v>6</v>
      </c>
      <c r="S86" s="14" t="str" cm="1">
        <f t="array" ref="S86">INDEX('Order-ConceptMap-1'!$I$15:$N$178,Q86+1,R86)</f>
        <v/>
      </c>
    </row>
    <row r="87" spans="16:19" x14ac:dyDescent="0.75">
      <c r="P87" s="9">
        <v>73</v>
      </c>
      <c r="Q87" s="9">
        <f t="shared" si="12"/>
        <v>12</v>
      </c>
      <c r="R87" s="9">
        <f t="shared" si="13"/>
        <v>1</v>
      </c>
      <c r="S87" s="14" t="str" cm="1">
        <f t="array" ref="S87">INDEX('Order-ConceptMap-1'!$I$15:$N$178,Q87+1,R87)</f>
        <v>* group[=].element[+].code = #Order.reason</v>
      </c>
    </row>
    <row r="88" spans="16:19" x14ac:dyDescent="0.75">
      <c r="P88" s="9">
        <v>74</v>
      </c>
      <c r="Q88" s="9">
        <f t="shared" si="12"/>
        <v>12</v>
      </c>
      <c r="R88" s="9">
        <f t="shared" si="13"/>
        <v>2</v>
      </c>
      <c r="S88" s="14" t="str" cm="1">
        <f t="array" ref="S88">INDEX('Order-ConceptMap-1'!$I$15:$N$178,Q88+1,R88)</f>
        <v>* group[=].element[=].display = ##34#A.3 Order reason##34#</v>
      </c>
    </row>
    <row r="89" spans="16:19" x14ac:dyDescent="0.75">
      <c r="P89" s="9">
        <v>75</v>
      </c>
      <c r="Q89" s="9">
        <f t="shared" si="12"/>
        <v>12</v>
      </c>
      <c r="R89" s="9">
        <f t="shared" si="13"/>
        <v>3</v>
      </c>
      <c r="S89" s="14" t="str" cm="1">
        <f t="array" ref="S89">INDEX('Order-ConceptMap-1'!$I$15:$N$178,Q89+1,R89)</f>
        <v>* group[=].element[=].target.code = #ServiceRequest.reasonReference</v>
      </c>
    </row>
    <row r="90" spans="16:19" x14ac:dyDescent="0.75">
      <c r="P90" s="9">
        <v>76</v>
      </c>
      <c r="Q90" s="9">
        <f t="shared" si="12"/>
        <v>12</v>
      </c>
      <c r="R90" s="9">
        <f t="shared" si="13"/>
        <v>4</v>
      </c>
      <c r="S90" s="14" t="str" cm="1">
        <f t="array" ref="S90">INDEX('Order-ConceptMap-1'!$I$15:$N$178,Q90+1,R90)</f>
        <v>* group[=].element[=].target.display = ##34###34#</v>
      </c>
    </row>
    <row r="91" spans="16:19" x14ac:dyDescent="0.75">
      <c r="P91" s="9">
        <v>77</v>
      </c>
      <c r="Q91" s="9">
        <f t="shared" si="12"/>
        <v>12</v>
      </c>
      <c r="R91" s="9">
        <f t="shared" si="13"/>
        <v>5</v>
      </c>
      <c r="S91" s="14" t="str" cm="1">
        <f t="array" ref="S91">INDEX('Order-ConceptMap-1'!$I$15:$N$178,Q91+1,R91)</f>
        <v>* group[=].element[=].target.equivalence = #relatedto</v>
      </c>
    </row>
    <row r="92" spans="16:19" x14ac:dyDescent="0.75">
      <c r="P92" s="9">
        <v>78</v>
      </c>
      <c r="Q92" s="9">
        <f t="shared" si="12"/>
        <v>12</v>
      </c>
      <c r="R92" s="9">
        <f t="shared" si="13"/>
        <v>6</v>
      </c>
      <c r="S92" s="14" t="str" cm="1">
        <f t="array" ref="S92">INDEX('Order-ConceptMap-1'!$I$15:$N$178,Q92+1,R92)</f>
        <v/>
      </c>
    </row>
    <row r="93" spans="16:19" x14ac:dyDescent="0.75">
      <c r="P93" s="9">
        <v>79</v>
      </c>
      <c r="Q93" s="9">
        <f t="shared" si="12"/>
        <v>13</v>
      </c>
      <c r="R93" s="9">
        <f t="shared" si="13"/>
        <v>1</v>
      </c>
      <c r="S93" s="14" t="str" cm="1">
        <f t="array" ref="S93">INDEX('Order-ConceptMap-1'!$I$15:$N$178,Q93+1,R93)</f>
        <v>* group[=].element[+].code = #Order.reason.code</v>
      </c>
    </row>
    <row r="94" spans="16:19" ht="29.5" x14ac:dyDescent="0.75">
      <c r="P94" s="9">
        <v>80</v>
      </c>
      <c r="Q94" s="9">
        <f t="shared" si="12"/>
        <v>13</v>
      </c>
      <c r="R94" s="9">
        <f t="shared" si="13"/>
        <v>2</v>
      </c>
      <c r="S94" s="14" t="str" cm="1">
        <f t="array" ref="S94">INDEX('Order-ConceptMap-1'!$I$15:$N$178,Q94+1,R94)</f>
        <v>* group[=].element[=].display = ##34#A.3.1 Problem / diagnosis / condition description##34#</v>
      </c>
    </row>
    <row r="95" spans="16:19" x14ac:dyDescent="0.75">
      <c r="P95" s="9">
        <v>81</v>
      </c>
      <c r="Q95" s="9">
        <f t="shared" si="12"/>
        <v>13</v>
      </c>
      <c r="R95" s="9">
        <f t="shared" si="13"/>
        <v>3</v>
      </c>
      <c r="S95" s="14" t="str" cm="1">
        <f t="array" ref="S95">INDEX('Order-ConceptMap-1'!$I$15:$N$178,Q95+1,R95)</f>
        <v>* group[=].element[=].target.code = #ServiceRequest.reasonCode</v>
      </c>
    </row>
    <row r="96" spans="16:19" x14ac:dyDescent="0.75">
      <c r="P96" s="9">
        <v>82</v>
      </c>
      <c r="Q96" s="9">
        <f t="shared" si="12"/>
        <v>13</v>
      </c>
      <c r="R96" s="9">
        <f t="shared" si="13"/>
        <v>4</v>
      </c>
      <c r="S96" s="14" t="str" cm="1">
        <f t="array" ref="S96">INDEX('Order-ConceptMap-1'!$I$15:$N$178,Q96+1,R96)</f>
        <v>* group[=].element[=].target.display = ##34###34#</v>
      </c>
    </row>
    <row r="97" spans="16:19" x14ac:dyDescent="0.75">
      <c r="P97" s="9">
        <v>83</v>
      </c>
      <c r="Q97" s="9">
        <f t="shared" si="12"/>
        <v>13</v>
      </c>
      <c r="R97" s="9">
        <f t="shared" si="13"/>
        <v>5</v>
      </c>
      <c r="S97" s="14" t="str" cm="1">
        <f t="array" ref="S97">INDEX('Order-ConceptMap-1'!$I$15:$N$178,Q97+1,R97)</f>
        <v>* group[=].element[=].target.equivalence = #equivalent</v>
      </c>
    </row>
    <row r="98" spans="16:19" x14ac:dyDescent="0.75">
      <c r="P98" s="9">
        <v>84</v>
      </c>
      <c r="Q98" s="9">
        <f t="shared" si="12"/>
        <v>13</v>
      </c>
      <c r="R98" s="9">
        <f t="shared" si="13"/>
        <v>6</v>
      </c>
      <c r="S98" s="14" t="str" cm="1">
        <f t="array" ref="S98">INDEX('Order-ConceptMap-1'!$I$15:$N$178,Q98+1,R98)</f>
        <v/>
      </c>
    </row>
    <row r="99" spans="16:19" x14ac:dyDescent="0.75">
      <c r="P99" s="9">
        <v>85</v>
      </c>
      <c r="Q99" s="9">
        <f t="shared" si="12"/>
        <v>14</v>
      </c>
      <c r="R99" s="9">
        <f t="shared" si="13"/>
        <v>1</v>
      </c>
      <c r="S99" s="14" cm="1">
        <f t="array" ref="S99">INDEX('Order-ConceptMap-1'!$I$15:$N$178,Q99+1,R99)</f>
        <v>0</v>
      </c>
    </row>
  </sheetData>
  <mergeCells count="2">
    <mergeCell ref="E6:G6"/>
    <mergeCell ref="E7:G7"/>
  </mergeCells>
  <hyperlinks>
    <hyperlink ref="C6" r:id="rId1" xr:uid="{6851C86D-F6F0-45BB-BBDD-0872DB9084D6}"/>
  </hyperlinks>
  <pageMargins left="0.7" right="0.7" top="0.75" bottom="0.75" header="0.3" footer="0.3"/>
</worksheet>
</file>

<file path=xl/worksheets/sheet4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FDD633-93E5-4B6F-A4B3-1401CE7F1A71}">
  <sheetPr codeName="Foglio21">
    <tabColor theme="0" tint="-0.34998626667073579"/>
  </sheetPr>
  <dimension ref="B1:G110"/>
  <sheetViews>
    <sheetView workbookViewId="0">
      <selection activeCell="B4" sqref="B4"/>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2" t="s">
        <v>37</v>
      </c>
    </row>
    <row r="2" spans="2:7" ht="16.75" thickBot="1" x14ac:dyDescent="0.9">
      <c r="B2" s="33" t="s">
        <v>661</v>
      </c>
      <c r="G2" s="56" t="s">
        <v>780</v>
      </c>
    </row>
    <row r="3" spans="2:7" x14ac:dyDescent="0.75">
      <c r="B3" s="33" t="s">
        <v>37</v>
      </c>
    </row>
    <row r="4" spans="2:7" x14ac:dyDescent="0.75">
      <c r="B4" s="77" t="str">
        <f>"Instance: "&amp;'Order-ConceptMap-1'!C4</f>
        <v>Instance: ConceptMap-eu-order2FHIR</v>
      </c>
    </row>
    <row r="5" spans="2:7" x14ac:dyDescent="0.75">
      <c r="B5" s="77" t="s">
        <v>662</v>
      </c>
    </row>
    <row r="6" spans="2:7" x14ac:dyDescent="0.75">
      <c r="B6" s="77" t="s">
        <v>663</v>
      </c>
    </row>
    <row r="7" spans="2:7" x14ac:dyDescent="0.75">
      <c r="B7" s="77" t="s">
        <v>677</v>
      </c>
    </row>
    <row r="8" spans="2:7" x14ac:dyDescent="0.75">
      <c r="B8" s="77" t="str">
        <f>"* name = ##34#"&amp;'Order-ConceptMap-1'!C3&amp;"##34#"</f>
        <v>* name = ##34#Order2Fhir##34#</v>
      </c>
    </row>
    <row r="9" spans="2:7" x14ac:dyDescent="0.75">
      <c r="B9" s="77" t="str">
        <f>"* title = ##34#"&amp;'Order-ConceptMap-1'!C5&amp;"##34#"</f>
        <v>* title = ##34#eHN Order to this guide Map##34#</v>
      </c>
    </row>
    <row r="10" spans="2:7" x14ac:dyDescent="0.75">
      <c r="B10" s="77" t="s">
        <v>664</v>
      </c>
    </row>
    <row r="11" spans="2:7" x14ac:dyDescent="0.75">
      <c r="B11" s="77" t="s">
        <v>665</v>
      </c>
    </row>
    <row r="12" spans="2:7" x14ac:dyDescent="0.75">
      <c r="B12" s="77" t="str">
        <f>"* description = ##34#"&amp;'Order-ConceptMap-1'!C8&amp;"##34#"</f>
        <v>* description = ##34#eHN Order to this guide Map##34#</v>
      </c>
    </row>
    <row r="13" spans="2:7" x14ac:dyDescent="0.75">
      <c r="B13" s="77" t="str">
        <f>"* purpose = ##34#"&amp;'Order-ConceptMap-1'!C9&amp;"##34#"</f>
        <v>* purpose = ##34#It shows how the Order data set defined by the EU eHN guidelines is mapped into this guide##34#</v>
      </c>
    </row>
    <row r="14" spans="2:7" x14ac:dyDescent="0.75">
      <c r="B14" s="78" t="str">
        <f>"* sourceUri = ##34#"&amp;'Order-ConceptMap-1'!E3&amp;"##34#"</f>
        <v>* sourceUri = ##34#http://hl7.eu/fhir/laboratory/StructureDefinition/Order##34#</v>
      </c>
    </row>
    <row r="15" spans="2:7" x14ac:dyDescent="0.75">
      <c r="B15" s="78" t="str">
        <f>"* targetUri = ##34#"&amp;'Order-ConceptMap-1'!E4&amp;"##34#"</f>
        <v>* targetUri = ##34#http://hl7.eu/fhir/laboratory/StructureDefinition/Bundle-eu-lab##34#</v>
      </c>
    </row>
    <row r="16" spans="2:7" x14ac:dyDescent="0.75">
      <c r="B16" s="77"/>
    </row>
    <row r="17" spans="2:7" x14ac:dyDescent="0.75">
      <c r="B17" s="79" t="str">
        <f>"* group[+].source = ##34#"&amp;'Order-ConceptMap-1'!E6&amp;"##34#"</f>
        <v>* group[+].source = ##34#http://hl7.eu/fhir/laboratory/StructureDefinition/Order##34#</v>
      </c>
    </row>
    <row r="18" spans="2:7" x14ac:dyDescent="0.75">
      <c r="B18" s="79" t="str">
        <f>"* group[=].target = ##34#"&amp;'Order-ConceptMap-1'!E7&amp;"##34#"</f>
        <v>* group[=].target = ##34#http://hl7.eu/fhir/laboratory/StructureDefinition/ServiceRequest-eu-lab##34#</v>
      </c>
    </row>
    <row r="19" spans="2:7" x14ac:dyDescent="0.75">
      <c r="B19" s="81"/>
    </row>
    <row r="20" spans="2:7" x14ac:dyDescent="0.75">
      <c r="B20" s="14" t="str">
        <f>IF('Order-ConceptMap-1'!S15=0,"//---END",'Order-ConceptMap-1'!S15)</f>
        <v>* group[=].element[+].code = #Order.orderDetails</v>
      </c>
    </row>
    <row r="21" spans="2:7" x14ac:dyDescent="0.75">
      <c r="B21" s="14" t="str">
        <f>IF('Order-ConceptMap-1'!S16=0,"//---END",'Order-ConceptMap-1'!S16)</f>
        <v>* group[=].element[=].display = ##34#A.2 Order information##34#</v>
      </c>
    </row>
    <row r="22" spans="2:7" x14ac:dyDescent="0.75">
      <c r="B22" s="14" t="str">
        <f>IF('Order-ConceptMap-1'!S17=0,"//---END",'Order-ConceptMap-1'!S17)</f>
        <v>* group[=].element[=].target.code = #ServiceRequest</v>
      </c>
    </row>
    <row r="23" spans="2:7" x14ac:dyDescent="0.75">
      <c r="B23" s="14" t="str">
        <f>IF('Order-ConceptMap-1'!S18=0,"//---END",'Order-ConceptMap-1'!S18)</f>
        <v>* group[=].element[=].target.display = ##34###34#</v>
      </c>
    </row>
    <row r="24" spans="2:7" x14ac:dyDescent="0.75">
      <c r="B24" s="14" t="str">
        <f>IF('Order-ConceptMap-1'!S19=0,"//---END",'Order-ConceptMap-1'!S19)</f>
        <v>* group[=].element[=].target.equivalence = #relatedto</v>
      </c>
    </row>
    <row r="25" spans="2:7" x14ac:dyDescent="0.75">
      <c r="B25" s="14" t="str">
        <f>IF('Order-ConceptMap-1'!S20=0,"//---END",'Order-ConceptMap-1'!S20)</f>
        <v/>
      </c>
      <c r="G25" s="10"/>
    </row>
    <row r="26" spans="2:7" x14ac:dyDescent="0.75">
      <c r="B26" s="14" t="str">
        <f>IF('Order-ConceptMap-1'!S21=0,"//---END",'Order-ConceptMap-1'!S21)</f>
        <v>* group[=].element[+].code = #Order.orderDetails.identifier</v>
      </c>
    </row>
    <row r="27" spans="2:7" x14ac:dyDescent="0.75">
      <c r="B27" s="14" t="str">
        <f>IF('Order-ConceptMap-1'!S22=0,"//---END",'Order-ConceptMap-1'!S22)</f>
        <v>* group[=].element[=].display = ##34#A.2.1 Order Id##34#</v>
      </c>
    </row>
    <row r="28" spans="2:7" x14ac:dyDescent="0.75">
      <c r="B28" s="14" t="str">
        <f>IF('Order-ConceptMap-1'!S23=0,"//---END",'Order-ConceptMap-1'!S23)</f>
        <v>* group[=].element[=].target.code = #ServiceRequest.identifier</v>
      </c>
    </row>
    <row r="29" spans="2:7" x14ac:dyDescent="0.75">
      <c r="B29" s="14" t="str">
        <f>IF('Order-ConceptMap-1'!S24=0,"//---END",'Order-ConceptMap-1'!S24)</f>
        <v>* group[=].element[=].target.display = ##34###34#</v>
      </c>
    </row>
    <row r="30" spans="2:7" x14ac:dyDescent="0.75">
      <c r="B30" s="14" t="str">
        <f>IF('Order-ConceptMap-1'!S25=0,"//---END",'Order-ConceptMap-1'!S25)</f>
        <v>* group[=].element[=].target.equivalence = #relatedto</v>
      </c>
    </row>
    <row r="31" spans="2:7" x14ac:dyDescent="0.75">
      <c r="B31" s="14" t="str">
        <f>IF('Order-ConceptMap-1'!S26=0,"//---END",'Order-ConceptMap-1'!S26)</f>
        <v/>
      </c>
    </row>
    <row r="32" spans="2:7" x14ac:dyDescent="0.75">
      <c r="B32" s="14" t="str">
        <f>IF('Order-ConceptMap-1'!S27=0,"//---END",'Order-ConceptMap-1'!S27)</f>
        <v>* group[=].element[+].code = #Order.orderDetails.identifier</v>
      </c>
    </row>
    <row r="33" spans="2:2" x14ac:dyDescent="0.75">
      <c r="B33" s="14" t="str">
        <f>IF('Order-ConceptMap-1'!S28=0,"//---END",'Order-ConceptMap-1'!S28)</f>
        <v>* group[=].element[=].display = ##34#A.2.1 Order Id##34#</v>
      </c>
    </row>
    <row r="34" spans="2:2" x14ac:dyDescent="0.75">
      <c r="B34" s="14" t="str">
        <f>IF('Order-ConceptMap-1'!S29=0,"//---END",'Order-ConceptMap-1'!S29)</f>
        <v>* group[=].element[=].target.code = #ServiceRequest.requisition</v>
      </c>
    </row>
    <row r="35" spans="2:2" x14ac:dyDescent="0.75">
      <c r="B35" s="14" t="str">
        <f>IF('Order-ConceptMap-1'!S30=0,"//---END",'Order-ConceptMap-1'!S30)</f>
        <v>* group[=].element[=].target.display = ##34###34#</v>
      </c>
    </row>
    <row r="36" spans="2:2" x14ac:dyDescent="0.75">
      <c r="B36" s="14" t="str">
        <f>IF('Order-ConceptMap-1'!S31=0,"//---END",'Order-ConceptMap-1'!S31)</f>
        <v>* group[=].element[=].target.equivalence = #relatedto</v>
      </c>
    </row>
    <row r="37" spans="2:2" x14ac:dyDescent="0.75">
      <c r="B37" s="14" t="str">
        <f>IF('Order-ConceptMap-1'!S32=0,"//---END",'Order-ConceptMap-1'!S32)</f>
        <v>* group[=].element[=].target.comment = ##34#if the Composite Request ID.##34#</v>
      </c>
    </row>
    <row r="38" spans="2:2" x14ac:dyDescent="0.75">
      <c r="B38" s="14" t="str">
        <f>IF('Order-ConceptMap-1'!S33=0,"//---END",'Order-ConceptMap-1'!S33)</f>
        <v>* group[=].element[+].code = #Order.orderDetails.dateTime</v>
      </c>
    </row>
    <row r="39" spans="2:2" x14ac:dyDescent="0.75">
      <c r="B39" s="14" t="str">
        <f>IF('Order-ConceptMap-1'!S34=0,"//---END",'Order-ConceptMap-1'!S34)</f>
        <v>* group[=].element[=].display = ##34#A.2.2 Order date and time##34#</v>
      </c>
    </row>
    <row r="40" spans="2:2" x14ac:dyDescent="0.75">
      <c r="B40" s="14" t="str">
        <f>IF('Order-ConceptMap-1'!S35=0,"//---END",'Order-ConceptMap-1'!S35)</f>
        <v>* group[=].element[=].target.code = #ServiceRequest.authoredOn</v>
      </c>
    </row>
    <row r="41" spans="2:2" x14ac:dyDescent="0.75">
      <c r="B41" s="14" t="str">
        <f>IF('Order-ConceptMap-1'!S36=0,"//---END",'Order-ConceptMap-1'!S36)</f>
        <v>* group[=].element[=].target.display = ##34###34#</v>
      </c>
    </row>
    <row r="42" spans="2:2" x14ac:dyDescent="0.75">
      <c r="B42" s="14" t="str">
        <f>IF('Order-ConceptMap-1'!S37=0,"//---END",'Order-ConceptMap-1'!S37)</f>
        <v>* group[=].element[=].target.equivalence = #equivalent</v>
      </c>
    </row>
    <row r="43" spans="2:2" x14ac:dyDescent="0.75">
      <c r="B43" s="14" t="str">
        <f>IF('Order-ConceptMap-1'!S38=0,"//---END",'Order-ConceptMap-1'!S38)</f>
        <v/>
      </c>
    </row>
    <row r="44" spans="2:2" x14ac:dyDescent="0.75">
      <c r="B44" s="14" t="str">
        <f>IF('Order-ConceptMap-1'!S39=0,"//---END",'Order-ConceptMap-1'!S39)</f>
        <v>* group[=].element[+].code = #Order.orderDetails.orderPlacerIdentifier</v>
      </c>
    </row>
    <row r="45" spans="2:2" x14ac:dyDescent="0.75">
      <c r="B45" s="14" t="str">
        <f>IF('Order-ConceptMap-1'!S40=0,"//---END",'Order-ConceptMap-1'!S40)</f>
        <v>* group[=].element[=].display = ##34#A.2.3 Order placer identifier##34#</v>
      </c>
    </row>
    <row r="46" spans="2:2" x14ac:dyDescent="0.75">
      <c r="B46" s="14" t="str">
        <f>IF('Order-ConceptMap-1'!S41=0,"//---END",'Order-ConceptMap-1'!S41)</f>
        <v>* group[=].element[=].target.code = #ServiceRequest.requester.resolve().identifier</v>
      </c>
    </row>
    <row r="47" spans="2:2" x14ac:dyDescent="0.75">
      <c r="B47" s="14" t="str">
        <f>IF('Order-ConceptMap-1'!S42=0,"//---END",'Order-ConceptMap-1'!S42)</f>
        <v>* group[=].element[=].target.display = ##34###34#</v>
      </c>
    </row>
    <row r="48" spans="2:2" x14ac:dyDescent="0.75">
      <c r="B48" s="14" t="str">
        <f>IF('Order-ConceptMap-1'!S43=0,"//---END",'Order-ConceptMap-1'!S43)</f>
        <v>* group[=].element[=].target.equivalence = #relatedto</v>
      </c>
    </row>
    <row r="49" spans="2:2" x14ac:dyDescent="0.75">
      <c r="B49" s="14" t="str">
        <f>IF('Order-ConceptMap-1'!S44=0,"//---END",'Order-ConceptMap-1'!S44)</f>
        <v>* group[=].element[=].target.comment = ##34#if the Composite Request ID.##34#</v>
      </c>
    </row>
    <row r="50" spans="2:2" x14ac:dyDescent="0.75">
      <c r="B50" s="14" t="str">
        <f>IF('Order-ConceptMap-1'!S45=0,"//---END",'Order-ConceptMap-1'!S45)</f>
        <v>* group[=].element[+].code = #Order.orderDetails.orderPlacerName</v>
      </c>
    </row>
    <row r="51" spans="2:2" x14ac:dyDescent="0.75">
      <c r="B51" s="14" t="str">
        <f>IF('Order-ConceptMap-1'!S46=0,"//---END",'Order-ConceptMap-1'!S46)</f>
        <v>* group[=].element[=].display = ##34#A.2.4 Order placer name##34#</v>
      </c>
    </row>
    <row r="52" spans="2:2" x14ac:dyDescent="0.75">
      <c r="B52" s="14" t="str">
        <f>IF('Order-ConceptMap-1'!S47=0,"//---END",'Order-ConceptMap-1'!S47)</f>
        <v>* group[=].element[=].target.code = #ServiceRequest.requester.resolve().ofType(Practictioner).name</v>
      </c>
    </row>
    <row r="53" spans="2:2" x14ac:dyDescent="0.75">
      <c r="B53" s="14" t="str">
        <f>IF('Order-ConceptMap-1'!S48=0,"//---END",'Order-ConceptMap-1'!S48)</f>
        <v>* group[=].element[=].target.display = ##34###34#</v>
      </c>
    </row>
    <row r="54" spans="2:2" x14ac:dyDescent="0.75">
      <c r="B54" s="14" t="str">
        <f>IF('Order-ConceptMap-1'!S49=0,"//---END",'Order-ConceptMap-1'!S49)</f>
        <v>* group[=].element[=].target.equivalence = #relatedto</v>
      </c>
    </row>
    <row r="55" spans="2:2" x14ac:dyDescent="0.75">
      <c r="B55" s="14" t="str">
        <f>IF('Order-ConceptMap-1'!S50=0,"//---END",'Order-ConceptMap-1'!S50)</f>
        <v/>
      </c>
    </row>
    <row r="56" spans="2:2" x14ac:dyDescent="0.75">
      <c r="B56" s="14" t="str">
        <f>IF('Order-ConceptMap-1'!S51=0,"//---END",'Order-ConceptMap-1'!S51)</f>
        <v>* group[=].element[+].code = #Order.orderDetails.orderPlacerName</v>
      </c>
    </row>
    <row r="57" spans="2:2" x14ac:dyDescent="0.75">
      <c r="B57" s="14" t="str">
        <f>IF('Order-ConceptMap-1'!S52=0,"//---END",'Order-ConceptMap-1'!S52)</f>
        <v>* group[=].element[=].display = ##34#A.2.4 Order placer name##34#</v>
      </c>
    </row>
    <row r="58" spans="2:2" x14ac:dyDescent="0.75">
      <c r="B58" s="14" t="str">
        <f>IF('Order-ConceptMap-1'!S53=0,"//---END",'Order-ConceptMap-1'!S53)</f>
        <v>* group[=].element[=].target.code = #ServiceRequest.requester.resolve().ofType(PractictionerRole).practictioner.resolve().name</v>
      </c>
    </row>
    <row r="59" spans="2:2" x14ac:dyDescent="0.75">
      <c r="B59" s="14" t="str">
        <f>IF('Order-ConceptMap-1'!S54=0,"//---END",'Order-ConceptMap-1'!S54)</f>
        <v>* group[=].element[=].target.display = ##34###34#</v>
      </c>
    </row>
    <row r="60" spans="2:2" x14ac:dyDescent="0.75">
      <c r="B60" s="14" t="str">
        <f>IF('Order-ConceptMap-1'!S55=0,"//---END",'Order-ConceptMap-1'!S55)</f>
        <v>* group[=].element[=].target.equivalence = #relatedto</v>
      </c>
    </row>
    <row r="61" spans="2:2" x14ac:dyDescent="0.75">
      <c r="B61" s="14" t="str">
        <f>IF('Order-ConceptMap-1'!S56=0,"//---END",'Order-ConceptMap-1'!S56)</f>
        <v/>
      </c>
    </row>
    <row r="62" spans="2:2" x14ac:dyDescent="0.75">
      <c r="B62" s="14" t="str">
        <f>IF('Order-ConceptMap-1'!S57=0,"//---END",'Order-ConceptMap-1'!S57)</f>
        <v>* group[=].element[+].code = #Order.orderDetails.orderPlacerContacts</v>
      </c>
    </row>
    <row r="63" spans="2:2" x14ac:dyDescent="0.75">
      <c r="B63" s="14" t="str">
        <f>IF('Order-ConceptMap-1'!S58=0,"//---END",'Order-ConceptMap-1'!S58)</f>
        <v>* group[=].element[=].display = ##34#A.2.5 Order placer contact details##34#</v>
      </c>
    </row>
    <row r="64" spans="2:2" x14ac:dyDescent="0.75">
      <c r="B64" s="14" t="str">
        <f>IF('Order-ConceptMap-1'!S59=0,"//---END",'Order-ConceptMap-1'!S59)</f>
        <v>* group[=].element[=].target.code = #ServiceRequest.requester.resolve().ofType(Practictioner).telecom</v>
      </c>
    </row>
    <row r="65" spans="2:4" x14ac:dyDescent="0.75">
      <c r="B65" s="14" t="str">
        <f>IF('Order-ConceptMap-1'!S60=0,"//---END",'Order-ConceptMap-1'!S60)</f>
        <v>* group[=].element[=].target.display = ##34###34#</v>
      </c>
    </row>
    <row r="66" spans="2:4" x14ac:dyDescent="0.75">
      <c r="B66" s="14" t="str">
        <f>IF('Order-ConceptMap-1'!S61=0,"//---END",'Order-ConceptMap-1'!S61)</f>
        <v>* group[=].element[=].target.equivalence = #relatedto</v>
      </c>
    </row>
    <row r="67" spans="2:4" x14ac:dyDescent="0.75">
      <c r="B67" s="14" t="str">
        <f>IF('Order-ConceptMap-1'!S62=0,"//---END",'Order-ConceptMap-1'!S62)</f>
        <v/>
      </c>
    </row>
    <row r="68" spans="2:4" x14ac:dyDescent="0.75">
      <c r="B68" s="14" t="str">
        <f>IF('Order-ConceptMap-1'!S63=0,"//---END",'Order-ConceptMap-1'!S63)</f>
        <v>* group[=].element[+].code = #Order.orderDetails.orderPlacerContacts</v>
      </c>
    </row>
    <row r="69" spans="2:4" x14ac:dyDescent="0.75">
      <c r="B69" s="14" t="str">
        <f>IF('Order-ConceptMap-1'!S64=0,"//---END",'Order-ConceptMap-1'!S64)</f>
        <v>* group[=].element[=].display = ##34#A.2.5 Order placer contact details##34#</v>
      </c>
    </row>
    <row r="70" spans="2:4" x14ac:dyDescent="0.75">
      <c r="B70" s="14" t="str">
        <f>IF('Order-ConceptMap-1'!S65=0,"//---END",'Order-ConceptMap-1'!S65)</f>
        <v>* group[=].element[=].target.code = #ServiceRequest.requester.resolve().ofType(Practictioner).address</v>
      </c>
      <c r="D70" s="76"/>
    </row>
    <row r="71" spans="2:4" x14ac:dyDescent="0.75">
      <c r="B71" s="14" t="str">
        <f>IF('Order-ConceptMap-1'!S66=0,"//---END",'Order-ConceptMap-1'!S66)</f>
        <v>* group[=].element[=].target.display = ##34###34#</v>
      </c>
    </row>
    <row r="72" spans="2:4" x14ac:dyDescent="0.75">
      <c r="B72" s="14" t="str">
        <f>IF('Order-ConceptMap-1'!S67=0,"//---END",'Order-ConceptMap-1'!S67)</f>
        <v>* group[=].element[=].target.equivalence = #relatedto</v>
      </c>
    </row>
    <row r="73" spans="2:4" x14ac:dyDescent="0.75">
      <c r="B73" s="14" t="str">
        <f>IF('Order-ConceptMap-1'!S68=0,"//---END",'Order-ConceptMap-1'!S68)</f>
        <v/>
      </c>
    </row>
    <row r="74" spans="2:4" x14ac:dyDescent="0.75">
      <c r="B74" s="14" t="str">
        <f>IF('Order-ConceptMap-1'!S69=0,"//---END",'Order-ConceptMap-1'!S69)</f>
        <v>* group[=].element[+].code = #Order.orderDetails.orderPlacerContacts</v>
      </c>
    </row>
    <row r="75" spans="2:4" x14ac:dyDescent="0.75">
      <c r="B75" s="14" t="str">
        <f>IF('Order-ConceptMap-1'!S70=0,"//---END",'Order-ConceptMap-1'!S70)</f>
        <v>* group[=].element[=].display = ##34#A.2.5 Order placer contact details##34#</v>
      </c>
    </row>
    <row r="76" spans="2:4" x14ac:dyDescent="0.75">
      <c r="B76" s="14" t="str">
        <f>IF('Order-ConceptMap-1'!S71=0,"//---END",'Order-ConceptMap-1'!S71)</f>
        <v>* group[=].element[=].target.code = #ServiceRequest.requester.resolve().ofType(PractictionerRole).telecom</v>
      </c>
    </row>
    <row r="77" spans="2:4" x14ac:dyDescent="0.75">
      <c r="B77" s="14" t="str">
        <f>IF('Order-ConceptMap-1'!S72=0,"//---END",'Order-ConceptMap-1'!S72)</f>
        <v>* group[=].element[=].target.display = ##34###34#</v>
      </c>
    </row>
    <row r="78" spans="2:4" x14ac:dyDescent="0.75">
      <c r="B78" s="14" t="str">
        <f>IF('Order-ConceptMap-1'!S73=0,"//---END",'Order-ConceptMap-1'!S73)</f>
        <v>* group[=].element[=].target.equivalence = #relatedto</v>
      </c>
    </row>
    <row r="79" spans="2:4" x14ac:dyDescent="0.75">
      <c r="B79" s="14" t="str">
        <f>IF('Order-ConceptMap-1'!S74=0,"//---END",'Order-ConceptMap-1'!S74)</f>
        <v/>
      </c>
    </row>
    <row r="80" spans="2:4" x14ac:dyDescent="0.75">
      <c r="B80" s="14" t="str">
        <f>IF('Order-ConceptMap-1'!S75=0,"//---END",'Order-ConceptMap-1'!S75)</f>
        <v>* group[=].element[+].code = #Order.orderDetails.orderPlacerOrganization</v>
      </c>
    </row>
    <row r="81" spans="2:2" x14ac:dyDescent="0.75">
      <c r="B81" s="14" t="str">
        <f>IF('Order-ConceptMap-1'!S76=0,"//---END",'Order-ConceptMap-1'!S76)</f>
        <v>* group[=].element[=].display = ##34#A.2.6 Order placer organization##34#</v>
      </c>
    </row>
    <row r="82" spans="2:2" x14ac:dyDescent="0.75">
      <c r="B82" s="14" t="str">
        <f>IF('Order-ConceptMap-1'!S77=0,"//---END",'Order-ConceptMap-1'!S77)</f>
        <v>* group[=].element[=].target.code = #ServiceRequest.requester.resolve().ofType(PractictionerRole).organization.resolve()</v>
      </c>
    </row>
    <row r="83" spans="2:2" x14ac:dyDescent="0.75">
      <c r="B83" s="14" t="str">
        <f>IF('Order-ConceptMap-1'!S78=0,"//---END",'Order-ConceptMap-1'!S78)</f>
        <v>* group[=].element[=].target.display = ##34###34#</v>
      </c>
    </row>
    <row r="84" spans="2:2" x14ac:dyDescent="0.75">
      <c r="B84" s="14" t="str">
        <f>IF('Order-ConceptMap-1'!S79=0,"//---END",'Order-ConceptMap-1'!S79)</f>
        <v>* group[=].element[=].target.equivalence = #equivalent</v>
      </c>
    </row>
    <row r="85" spans="2:2" x14ac:dyDescent="0.75">
      <c r="B85" s="14" t="str">
        <f>IF('Order-ConceptMap-1'!S80=0,"//---END",'Order-ConceptMap-1'!S80)</f>
        <v/>
      </c>
    </row>
    <row r="86" spans="2:2" x14ac:dyDescent="0.75">
      <c r="B86" s="14" t="str">
        <f>IF('Order-ConceptMap-1'!S81=0,"//---END",'Order-ConceptMap-1'!S81)</f>
        <v>* group[=].element[+].code = #Order.reason</v>
      </c>
    </row>
    <row r="87" spans="2:2" x14ac:dyDescent="0.75">
      <c r="B87" s="14" t="str">
        <f>IF('Order-ConceptMap-1'!S82=0,"//---END",'Order-ConceptMap-1'!S82)</f>
        <v>* group[=].element[=].display = ##34#A.3 Order reason##34#</v>
      </c>
    </row>
    <row r="88" spans="2:2" x14ac:dyDescent="0.75">
      <c r="B88" s="14" t="str">
        <f>IF('Order-ConceptMap-1'!S83=0,"//---END",'Order-ConceptMap-1'!S83)</f>
        <v>* group[=].element[=].target.code = #ServiceRequest.reasonCode</v>
      </c>
    </row>
    <row r="89" spans="2:2" x14ac:dyDescent="0.75">
      <c r="B89" s="14" t="str">
        <f>IF('Order-ConceptMap-1'!S84=0,"//---END",'Order-ConceptMap-1'!S84)</f>
        <v>* group[=].element[=].target.display = ##34###34#</v>
      </c>
    </row>
    <row r="90" spans="2:2" x14ac:dyDescent="0.75">
      <c r="B90" s="14" t="str">
        <f>IF('Order-ConceptMap-1'!S85=0,"//---END",'Order-ConceptMap-1'!S85)</f>
        <v>* group[=].element[=].target.equivalence = #relatedto</v>
      </c>
    </row>
    <row r="91" spans="2:2" x14ac:dyDescent="0.75">
      <c r="B91" s="14" t="str">
        <f>IF('Order-ConceptMap-1'!S86=0,"//---END",'Order-ConceptMap-1'!S86)</f>
        <v/>
      </c>
    </row>
    <row r="92" spans="2:2" x14ac:dyDescent="0.75">
      <c r="B92" s="14" t="str">
        <f>IF('Order-ConceptMap-1'!S87=0,"//---END",'Order-ConceptMap-1'!S87)</f>
        <v>* group[=].element[+].code = #Order.reason</v>
      </c>
    </row>
    <row r="93" spans="2:2" x14ac:dyDescent="0.75">
      <c r="B93" s="14" t="str">
        <f>IF('Order-ConceptMap-1'!S88=0,"//---END",'Order-ConceptMap-1'!S88)</f>
        <v>* group[=].element[=].display = ##34#A.3 Order reason##34#</v>
      </c>
    </row>
    <row r="94" spans="2:2" x14ac:dyDescent="0.75">
      <c r="B94" s="14" t="str">
        <f>IF('Order-ConceptMap-1'!S89=0,"//---END",'Order-ConceptMap-1'!S89)</f>
        <v>* group[=].element[=].target.code = #ServiceRequest.reasonReference</v>
      </c>
    </row>
    <row r="95" spans="2:2" x14ac:dyDescent="0.75">
      <c r="B95" s="14" t="str">
        <f>IF('Order-ConceptMap-1'!S90=0,"//---END",'Order-ConceptMap-1'!S90)</f>
        <v>* group[=].element[=].target.display = ##34###34#</v>
      </c>
    </row>
    <row r="96" spans="2:2" x14ac:dyDescent="0.75">
      <c r="B96" s="14" t="str">
        <f>IF('Order-ConceptMap-1'!S91=0,"//---END",'Order-ConceptMap-1'!S91)</f>
        <v>* group[=].element[=].target.equivalence = #relatedto</v>
      </c>
    </row>
    <row r="97" spans="2:2" x14ac:dyDescent="0.75">
      <c r="B97" s="14" t="str">
        <f>IF('Order-ConceptMap-1'!S92=0,"//---END",'Order-ConceptMap-1'!S92)</f>
        <v/>
      </c>
    </row>
    <row r="98" spans="2:2" x14ac:dyDescent="0.75">
      <c r="B98" s="14" t="str">
        <f>IF('Order-ConceptMap-1'!S93=0,"//---END",'Order-ConceptMap-1'!S93)</f>
        <v>* group[=].element[+].code = #Order.reason.code</v>
      </c>
    </row>
    <row r="99" spans="2:2" x14ac:dyDescent="0.75">
      <c r="B99" s="14" t="str">
        <f>IF('Order-ConceptMap-1'!S94=0,"//---END",'Order-ConceptMap-1'!S94)</f>
        <v>* group[=].element[=].display = ##34#A.3.1 Problem / diagnosis / condition description##34#</v>
      </c>
    </row>
    <row r="100" spans="2:2" x14ac:dyDescent="0.75">
      <c r="B100" s="14" t="str">
        <f>IF('Order-ConceptMap-1'!S95=0,"//---END",'Order-ConceptMap-1'!S95)</f>
        <v>* group[=].element[=].target.code = #ServiceRequest.reasonCode</v>
      </c>
    </row>
    <row r="101" spans="2:2" x14ac:dyDescent="0.75">
      <c r="B101" s="14" t="str">
        <f>IF('Order-ConceptMap-1'!S96=0,"//---END",'Order-ConceptMap-1'!S96)</f>
        <v>* group[=].element[=].target.display = ##34###34#</v>
      </c>
    </row>
    <row r="102" spans="2:2" x14ac:dyDescent="0.75">
      <c r="B102" s="14" t="str">
        <f>IF('Order-ConceptMap-1'!S97=0,"//---END",'Order-ConceptMap-1'!S97)</f>
        <v>* group[=].element[=].target.equivalence = #equivalent</v>
      </c>
    </row>
    <row r="103" spans="2:2" x14ac:dyDescent="0.75">
      <c r="B103" s="14" t="str">
        <f>IF('Order-ConceptMap-1'!S98=0,"//---END",'Order-ConceptMap-1'!S98)</f>
        <v/>
      </c>
    </row>
    <row r="104" spans="2:2" x14ac:dyDescent="0.75">
      <c r="B104" s="14" t="str">
        <f>IF('Order-ConceptMap-1'!S99=0,"//---END",'Order-ConceptMap-1'!S99)</f>
        <v>//---END</v>
      </c>
    </row>
    <row r="105" spans="2:2" x14ac:dyDescent="0.75">
      <c r="B105" s="14" t="str">
        <f>IF('Order-ConceptMap-1'!S100=0,"//---END",'Order-ConceptMap-1'!S100)</f>
        <v>//---END</v>
      </c>
    </row>
    <row r="106" spans="2:2" x14ac:dyDescent="0.75">
      <c r="B106" s="14" t="str">
        <f>IF('Order-ConceptMap-1'!S101=0,"//---END",'Order-ConceptMap-1'!S101)</f>
        <v>//---END</v>
      </c>
    </row>
    <row r="107" spans="2:2" x14ac:dyDescent="0.75">
      <c r="B107" s="14" t="str">
        <f>IF('Order-ConceptMap-1'!S102=0,"//---END",'Order-ConceptMap-1'!S102)</f>
        <v>//---END</v>
      </c>
    </row>
    <row r="108" spans="2:2" x14ac:dyDescent="0.75">
      <c r="B108" s="14" t="str">
        <f>IF('Order-ConceptMap-1'!S103=0,"//---END",'Order-ConceptMap-1'!S103)</f>
        <v>//---END</v>
      </c>
    </row>
    <row r="109" spans="2:2" x14ac:dyDescent="0.75">
      <c r="B109" s="14" t="str">
        <f>IF('Order-ConceptMap-1'!S104=0,"//---END",'Order-ConceptMap-1'!S104)</f>
        <v>//---END</v>
      </c>
    </row>
    <row r="110" spans="2:2" x14ac:dyDescent="0.75">
      <c r="B110" s="14" t="str">
        <f>IF('Order-ConceptMap-1'!S105=0,"//---END",'Order-ConceptMap-1'!S105)</f>
        <v>//---END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65217"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53A17B-5619-4949-ADA4-4CA5CEE32BE4}">
  <sheetPr codeName="Foglio41">
    <tabColor theme="7" tint="0.39997558519241921"/>
  </sheetPr>
  <dimension ref="A1:L37"/>
  <sheetViews>
    <sheetView workbookViewId="0">
      <selection activeCell="D14" sqref="D14"/>
    </sheetView>
  </sheetViews>
  <sheetFormatPr defaultRowHeight="14.75" x14ac:dyDescent="0.75"/>
  <cols>
    <col min="1" max="1" width="16.54296875" customWidth="1"/>
    <col min="2" max="2" width="59.5" customWidth="1"/>
    <col min="3" max="3" width="44.6328125" customWidth="1"/>
    <col min="4" max="4" width="71.58984375" style="1" bestFit="1" customWidth="1"/>
    <col min="5" max="5" width="30.63281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11" x14ac:dyDescent="0.75">
      <c r="I1" s="32" t="s">
        <v>37</v>
      </c>
    </row>
    <row r="2" spans="1:11" x14ac:dyDescent="0.75">
      <c r="I2" s="33" t="s">
        <v>36</v>
      </c>
    </row>
    <row r="3" spans="1:11" ht="15.5" thickBot="1" x14ac:dyDescent="0.9">
      <c r="I3" s="33" t="str">
        <f>I1</f>
        <v>// -------------------------------------------------------------------------------</v>
      </c>
    </row>
    <row r="4" spans="1:11" x14ac:dyDescent="0.75">
      <c r="A4" s="6" t="s">
        <v>14</v>
      </c>
      <c r="B4" s="17" t="s">
        <v>457</v>
      </c>
      <c r="I4" s="25" t="str">
        <f>CONCATENATE("Logical: ",B4)</f>
        <v>Logical: SpecimenLabEhn</v>
      </c>
    </row>
    <row r="5" spans="1:11" x14ac:dyDescent="0.75">
      <c r="A5" s="18" t="s">
        <v>19</v>
      </c>
      <c r="B5" s="34" t="s">
        <v>562</v>
      </c>
      <c r="I5" s="25" t="str">
        <f>CONCATENATE("Id: ",B5)</f>
        <v>Id: SpecimenLab</v>
      </c>
    </row>
    <row r="6" spans="1:11" x14ac:dyDescent="0.75">
      <c r="A6" s="18" t="s">
        <v>13</v>
      </c>
      <c r="B6" s="19" t="s">
        <v>816</v>
      </c>
      <c r="I6" s="26" t="str">
        <f>CONCATENATE("Title: ##34#",B6,"##34#")</f>
        <v>Title: ##34#A.4, Specimen information##34#</v>
      </c>
    </row>
    <row r="7" spans="1:11" x14ac:dyDescent="0.75">
      <c r="A7" s="46" t="s">
        <v>5</v>
      </c>
      <c r="B7" s="19" t="s">
        <v>169</v>
      </c>
      <c r="C7" s="12"/>
      <c r="D7" s="2"/>
      <c r="E7" s="57"/>
      <c r="F7" s="3" t="s">
        <v>9</v>
      </c>
      <c r="G7" s="3" t="s">
        <v>10</v>
      </c>
      <c r="I7" s="26" t="str">
        <f>CONCATENATE("Description: "," ##334#",B7,"##334#",)</f>
        <v>Description:  ##334#A.4 Specimen information##334#</v>
      </c>
    </row>
    <row r="8" spans="1:11" ht="59" x14ac:dyDescent="0.75">
      <c r="A8" s="9">
        <v>1</v>
      </c>
      <c r="B8" s="9" t="s">
        <v>367</v>
      </c>
      <c r="C8" s="14" t="s">
        <v>448</v>
      </c>
      <c r="D8" s="14" t="s">
        <v>461</v>
      </c>
      <c r="E8" s="9">
        <v>0</v>
      </c>
      <c r="F8" s="9">
        <v>1</v>
      </c>
      <c r="G8" s="9" t="s">
        <v>0</v>
      </c>
      <c r="H8" s="23"/>
      <c r="I8" s="14" t="str">
        <f>CONCATENATE("* ",B8, " ",E8,"..",F8," ",G8," ##34#",C8,"##34# ##334#",D8,"##334#")</f>
        <v>* identifier 0..1 Identifier ##34#A.4.1 Specimen identifier##34# ##334#An identifier of the specimen which is unique within in a defined scope. Example: identifier assigned by Specimening system, identifier assigned by laboratory etc. Multiple identifiers can be used. - Preferred system(s): ##334#</v>
      </c>
    </row>
    <row r="9" spans="1:11" ht="45" thickBot="1" x14ac:dyDescent="0.9">
      <c r="A9" s="9">
        <v>2</v>
      </c>
      <c r="B9" s="9" t="s">
        <v>470</v>
      </c>
      <c r="C9" s="14" t="s">
        <v>449</v>
      </c>
      <c r="D9" s="37" t="s">
        <v>462</v>
      </c>
      <c r="E9" s="9">
        <v>0</v>
      </c>
      <c r="F9" s="9" t="s">
        <v>11</v>
      </c>
      <c r="G9" s="9" t="s">
        <v>1</v>
      </c>
      <c r="H9" s="23"/>
      <c r="I9" s="14" t="str">
        <f t="shared" ref="I9:I19" si="0">CONCATENATE("* ",B9, " ",E9,"..",F9," ",G9," ##34#",C9,"##34# ##334#",D9,"##334#")</f>
        <v>* speciesType 0..* CodeableConcept ##34#A.4.2 Type of species##34# ##334#Biologic type of species for laboratory result reports bound to non-human subjects. - Preferred system(s): SNOMED CT##334#</v>
      </c>
    </row>
    <row r="10" spans="1:11" ht="29.5" x14ac:dyDescent="0.75">
      <c r="A10" s="9">
        <v>3</v>
      </c>
      <c r="B10" s="9" t="s">
        <v>471</v>
      </c>
      <c r="C10" s="1" t="s">
        <v>450</v>
      </c>
      <c r="D10" s="14" t="s">
        <v>463</v>
      </c>
      <c r="E10" s="9">
        <v>0</v>
      </c>
      <c r="F10" s="9" t="s">
        <v>11</v>
      </c>
      <c r="G10" s="9" t="s">
        <v>1</v>
      </c>
      <c r="H10" s="23"/>
      <c r="I10" s="14" t="str">
        <f t="shared" si="0"/>
        <v>* material 0..* CodeableConcept ##34#A.4.3 Material##34# ##334#Specimen material. - Preferred system(s): SNOMED CT##334#</v>
      </c>
    </row>
    <row r="11" spans="1:11" ht="29.5" x14ac:dyDescent="0.75">
      <c r="A11" s="59">
        <v>4</v>
      </c>
      <c r="B11" s="9" t="s">
        <v>827</v>
      </c>
      <c r="C11" s="14" t="s">
        <v>451</v>
      </c>
      <c r="D11" s="60" t="s">
        <v>464</v>
      </c>
      <c r="E11" s="59">
        <v>0</v>
      </c>
      <c r="F11" s="59" t="s">
        <v>11</v>
      </c>
      <c r="G11" s="9" t="s">
        <v>2</v>
      </c>
      <c r="H11" s="23"/>
      <c r="I11" s="14" t="str">
        <f t="shared" si="0"/>
        <v>* collected 0..* dateTime ##34#A.4.4 Collection period##34# ##334#Collection date time or period. - Preferred system(s): ISO 8601##334#</v>
      </c>
    </row>
    <row r="12" spans="1:11" ht="44.25" x14ac:dyDescent="0.75">
      <c r="A12" s="9">
        <v>5</v>
      </c>
      <c r="B12" s="9" t="s">
        <v>472</v>
      </c>
      <c r="C12" s="52" t="s">
        <v>452</v>
      </c>
      <c r="D12" s="14" t="s">
        <v>465</v>
      </c>
      <c r="E12" s="59">
        <v>0</v>
      </c>
      <c r="F12" s="59" t="s">
        <v>11</v>
      </c>
      <c r="G12" s="9" t="s">
        <v>1</v>
      </c>
      <c r="H12" s="23"/>
      <c r="I12" s="14" t="str">
        <f t="shared" si="0"/>
        <v>* anatomicLocation 0..* CodeableConcept ##34#A.4.5 Anatomic location##34# ##334#Anatomic location (body location, laterality) where the material is collected, e.g. Elbow, left - Preferred system(s): SNOMED CT##334#</v>
      </c>
    </row>
    <row r="13" spans="1:11" ht="59" x14ac:dyDescent="0.75">
      <c r="A13" s="9">
        <v>6</v>
      </c>
      <c r="B13" s="9" t="s">
        <v>474</v>
      </c>
      <c r="C13" s="52" t="s">
        <v>453</v>
      </c>
      <c r="D13" s="14" t="s">
        <v>466</v>
      </c>
      <c r="E13" s="59">
        <v>0</v>
      </c>
      <c r="F13" s="59" t="s">
        <v>11</v>
      </c>
      <c r="G13" s="9" t="s">
        <v>1</v>
      </c>
      <c r="H13" s="23"/>
      <c r="I13" s="14" t="str">
        <f t="shared" si="0"/>
        <v>* morphology 0..* CodeableConcept ##34#A.4.6 Morphology##34# ##334#Morphological abnormalities of the anatomical location where the material is taken, for example wound, ulcer. - Preferred system(s): SNOMED CT##334#</v>
      </c>
    </row>
    <row r="14" spans="1:11" ht="73.75" x14ac:dyDescent="0.75">
      <c r="A14" s="9">
        <v>7</v>
      </c>
      <c r="B14" s="9" t="s">
        <v>473</v>
      </c>
      <c r="C14" s="14" t="s">
        <v>454</v>
      </c>
      <c r="D14" s="52" t="s">
        <v>469</v>
      </c>
      <c r="E14" s="59">
        <v>0</v>
      </c>
      <c r="F14" s="59" t="s">
        <v>11</v>
      </c>
      <c r="G14" s="9" t="s">
        <v>1</v>
      </c>
      <c r="H14" s="23"/>
      <c r="I14" s="14" t="str">
        <f t="shared" si="0"/>
        <v>* sourceDevice 0..* CodeableConcept ##34#A.4.7 Source Device##34# ##334#If the material is not collected directly from the patient but comes from a patient-related object, e.g. a catheter
 - Preferred system(s): SNOMED CT
 - Preferred system(s): EMDN##334#</v>
      </c>
    </row>
    <row r="15" spans="1:11" ht="44.25" x14ac:dyDescent="0.75">
      <c r="A15" s="9">
        <v>8</v>
      </c>
      <c r="B15" s="9" t="s">
        <v>475</v>
      </c>
      <c r="C15" t="s">
        <v>455</v>
      </c>
      <c r="D15" s="1" t="s">
        <v>467</v>
      </c>
      <c r="E15" s="9">
        <v>0</v>
      </c>
      <c r="F15" s="9" t="s">
        <v>11</v>
      </c>
      <c r="G15" s="9" t="s">
        <v>1</v>
      </c>
      <c r="H15" s="23"/>
      <c r="I15" s="14" t="str">
        <f t="shared" si="0"/>
        <v>* collectionMethod 0..* CodeableConcept ##34#A.4.8 Collection procedure/method##34# ##334#If relevant for the results, the method of obtaining the specimen. - Preferred system(s): SNOMED CT##334#</v>
      </c>
      <c r="J15" s="16"/>
      <c r="K15" s="9"/>
    </row>
    <row r="16" spans="1:11" ht="44.25" x14ac:dyDescent="0.75">
      <c r="A16" s="9">
        <v>9</v>
      </c>
      <c r="B16" s="9" t="s">
        <v>476</v>
      </c>
      <c r="C16" t="s">
        <v>456</v>
      </c>
      <c r="D16" s="1" t="s">
        <v>468</v>
      </c>
      <c r="E16" s="9">
        <v>0</v>
      </c>
      <c r="F16" s="9" t="s">
        <v>11</v>
      </c>
      <c r="G16" s="53" t="s">
        <v>2</v>
      </c>
      <c r="H16" s="9"/>
      <c r="I16" s="14" t="str">
        <f t="shared" si="0"/>
        <v>* receivedDateTime 0..* dateTime ##34#A.4.9 Received date##34# ##334#Date and time that the material is handed over at the laboratory or specimen collection centre. - Preferred system(s): ISO 8601##334#</v>
      </c>
    </row>
    <row r="17" spans="2:9" ht="14.75" customHeight="1" x14ac:dyDescent="0.75">
      <c r="I17" s="14" t="str">
        <f t="shared" si="0"/>
        <v>*  ..  ##34###34# ##334###334#</v>
      </c>
    </row>
    <row r="18" spans="2:9" ht="15.5" customHeight="1" x14ac:dyDescent="0.75">
      <c r="I18" s="14" t="str">
        <f t="shared" si="0"/>
        <v>*  ..  ##34###34# ##334###334#</v>
      </c>
    </row>
    <row r="19" spans="2:9" x14ac:dyDescent="0.75">
      <c r="I19" s="14" t="str">
        <f t="shared" si="0"/>
        <v>*  ..  ##34###34# ##334###334#</v>
      </c>
    </row>
    <row r="20" spans="2:9" x14ac:dyDescent="0.75">
      <c r="I20" s="14"/>
    </row>
    <row r="21" spans="2:9" x14ac:dyDescent="0.75">
      <c r="I21"/>
    </row>
    <row r="25" spans="2:9" ht="15.5" thickBot="1" x14ac:dyDescent="0.9"/>
    <row r="26" spans="2:9" ht="15.5" customHeight="1" thickBot="1" x14ac:dyDescent="0.9">
      <c r="B26" t="str">
        <f t="shared" ref="B26:B37" si="1">CONCATENATE(C26," ",D26)</f>
        <v xml:space="preserve">A.4 Specimen information </v>
      </c>
      <c r="C26" s="108" t="s">
        <v>169</v>
      </c>
      <c r="D26" s="109"/>
      <c r="E26" s="109"/>
      <c r="F26" s="110"/>
    </row>
    <row r="27" spans="2:9" ht="112.75" thickBot="1" x14ac:dyDescent="0.9">
      <c r="B27" t="str">
        <f t="shared" si="1"/>
        <v>A.4.1 Specimen identifier</v>
      </c>
      <c r="C27" s="36" t="s">
        <v>170</v>
      </c>
      <c r="D27" s="39" t="s">
        <v>171</v>
      </c>
      <c r="E27" s="37" t="s">
        <v>458</v>
      </c>
      <c r="F27" s="42"/>
      <c r="I27" s="1" t="str">
        <f t="shared" ref="I27:I37" si="2">CONCATENATE(E27," - Preferred system(s): ",F27)</f>
        <v xml:space="preserve">An identifier of the specimen which is unique within in a defined scope. Example: identifier assigned by Specimening system, identifier assigned by laboratory etc. Multiple identifiers can be used. - Preferred system(s): </v>
      </c>
    </row>
    <row r="28" spans="2:9" ht="48.75" thickBot="1" x14ac:dyDescent="0.9">
      <c r="B28" t="str">
        <f t="shared" si="1"/>
        <v>A.4.2 Type of species</v>
      </c>
      <c r="C28" s="36" t="s">
        <v>173</v>
      </c>
      <c r="D28" s="39" t="s">
        <v>174</v>
      </c>
      <c r="E28" s="37" t="s">
        <v>175</v>
      </c>
      <c r="F28" s="39" t="s">
        <v>167</v>
      </c>
      <c r="I28" s="1" t="str">
        <f t="shared" si="2"/>
        <v>Biologic type of species for laboratory result reports bound to non-human subjects. - Preferred system(s): SNOMED CT</v>
      </c>
    </row>
    <row r="29" spans="2:9" ht="32.75" thickBot="1" x14ac:dyDescent="0.9">
      <c r="B29" t="str">
        <f t="shared" si="1"/>
        <v>A.4.3 Material</v>
      </c>
      <c r="C29" s="36" t="s">
        <v>176</v>
      </c>
      <c r="D29" s="39" t="s">
        <v>177</v>
      </c>
      <c r="E29" s="37" t="s">
        <v>178</v>
      </c>
      <c r="F29" s="39" t="s">
        <v>167</v>
      </c>
      <c r="I29" s="1" t="str">
        <f t="shared" si="2"/>
        <v>Specimen material. - Preferred system(s): SNOMED CT</v>
      </c>
    </row>
    <row r="30" spans="2:9" ht="16.75" thickBot="1" x14ac:dyDescent="0.9">
      <c r="B30" t="str">
        <f t="shared" si="1"/>
        <v>A.4.4 Collection period</v>
      </c>
      <c r="C30" s="36" t="s">
        <v>179</v>
      </c>
      <c r="D30" s="39" t="s">
        <v>180</v>
      </c>
      <c r="E30" s="37" t="s">
        <v>181</v>
      </c>
      <c r="F30" s="39" t="s">
        <v>113</v>
      </c>
      <c r="I30" s="1" t="str">
        <f t="shared" si="2"/>
        <v>Collection date time or period. - Preferred system(s): ISO 8601</v>
      </c>
    </row>
    <row r="31" spans="2:9" ht="64.75" thickBot="1" x14ac:dyDescent="0.9">
      <c r="B31" t="str">
        <f t="shared" si="1"/>
        <v>A.4.5 Anatomic location</v>
      </c>
      <c r="C31" s="36" t="s">
        <v>182</v>
      </c>
      <c r="D31" s="39" t="s">
        <v>183</v>
      </c>
      <c r="E31" s="37" t="s">
        <v>184</v>
      </c>
      <c r="F31" s="39" t="s">
        <v>167</v>
      </c>
      <c r="I31" s="1" t="str">
        <f t="shared" si="2"/>
        <v>Anatomic location (body location, laterality) where the material is collected, e.g. Elbow, left - Preferred system(s): SNOMED CT</v>
      </c>
    </row>
    <row r="32" spans="2:9" ht="64.75" thickBot="1" x14ac:dyDescent="0.9">
      <c r="B32" t="str">
        <f t="shared" si="1"/>
        <v>A.4.6 Morphology</v>
      </c>
      <c r="C32" s="36" t="s">
        <v>185</v>
      </c>
      <c r="D32" s="39" t="s">
        <v>186</v>
      </c>
      <c r="E32" s="37" t="s">
        <v>187</v>
      </c>
      <c r="F32" s="39" t="s">
        <v>167</v>
      </c>
      <c r="I32" s="1" t="str">
        <f t="shared" si="2"/>
        <v>Morphological abnormalities of the anatomical location where the material is taken, for example wound, ulcer. - Preferred system(s): SNOMED CT</v>
      </c>
    </row>
    <row r="33" spans="2:9" ht="15.5" customHeight="1" x14ac:dyDescent="0.75">
      <c r="B33" t="str">
        <f t="shared" si="1"/>
        <v>A.4.7 Source Device</v>
      </c>
      <c r="C33" s="99" t="s">
        <v>188</v>
      </c>
      <c r="D33" s="102" t="s">
        <v>189</v>
      </c>
      <c r="E33" s="99" t="s">
        <v>190</v>
      </c>
      <c r="F33" s="43" t="s">
        <v>167</v>
      </c>
      <c r="I33" s="1" t="str">
        <f t="shared" si="2"/>
        <v>If the material is not collected directly from the patient but comes from a patient-related object, e.g. a catheter - Preferred system(s): SNOMED CT</v>
      </c>
    </row>
    <row r="34" spans="2:9" ht="80" customHeight="1" x14ac:dyDescent="0.75">
      <c r="B34" t="str">
        <f t="shared" si="1"/>
        <v xml:space="preserve"> </v>
      </c>
      <c r="C34" s="100"/>
      <c r="D34" s="103"/>
      <c r="E34" s="100"/>
      <c r="F34" s="41"/>
      <c r="I34" s="1" t="str">
        <f t="shared" si="2"/>
        <v xml:space="preserve"> - Preferred system(s): </v>
      </c>
    </row>
    <row r="35" spans="2:9" ht="16.75" thickBot="1" x14ac:dyDescent="0.9">
      <c r="B35" t="str">
        <f t="shared" si="1"/>
        <v xml:space="preserve"> </v>
      </c>
      <c r="C35" s="101"/>
      <c r="D35" s="104"/>
      <c r="E35" s="101"/>
      <c r="F35" s="39" t="s">
        <v>191</v>
      </c>
      <c r="I35" s="1" t="str">
        <f t="shared" si="2"/>
        <v xml:space="preserve"> - Preferred system(s): EMDN</v>
      </c>
    </row>
    <row r="36" spans="2:9" ht="48.75" thickBot="1" x14ac:dyDescent="0.9">
      <c r="B36" t="str">
        <f t="shared" si="1"/>
        <v>A.4.8 Collection procedure/method</v>
      </c>
      <c r="C36" s="36" t="s">
        <v>192</v>
      </c>
      <c r="D36" s="39" t="s">
        <v>193</v>
      </c>
      <c r="E36" s="37" t="s">
        <v>194</v>
      </c>
      <c r="F36" s="39" t="s">
        <v>167</v>
      </c>
      <c r="I36" s="1" t="str">
        <f t="shared" si="2"/>
        <v>If relevant for the results, the method of obtaining the specimen. - Preferred system(s): SNOMED CT</v>
      </c>
    </row>
    <row r="37" spans="2:9" ht="48.75" thickBot="1" x14ac:dyDescent="0.9">
      <c r="B37" t="str">
        <f t="shared" si="1"/>
        <v>A.4.9 Received date</v>
      </c>
      <c r="C37" s="36" t="s">
        <v>195</v>
      </c>
      <c r="D37" s="39" t="s">
        <v>196</v>
      </c>
      <c r="E37" s="37" t="s">
        <v>197</v>
      </c>
      <c r="F37" s="39" t="s">
        <v>113</v>
      </c>
      <c r="I37" s="1" t="str">
        <f t="shared" si="2"/>
        <v>Date and time that the material is handed over at the laboratory or specimen collection centre. - Preferred system(s): ISO 8601</v>
      </c>
    </row>
  </sheetData>
  <mergeCells count="4">
    <mergeCell ref="C26:F26"/>
    <mergeCell ref="C33:C35"/>
    <mergeCell ref="D33:D35"/>
    <mergeCell ref="E33:E35"/>
  </mergeCells>
  <hyperlinks>
    <hyperlink ref="C26:F26" location="'Specimen-fsh'!A1" display="A.4 Specimen information" xr:uid="{940CAA3B-8A30-49B9-8816-1815E351159B}"/>
  </hyperlinks>
  <pageMargins left="0.7" right="0.7" top="0.75" bottom="0.75" header="0.3" footer="0.3"/>
  <pageSetup paperSize="9" orientation="portrait" r:id="rId1"/>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1748A8-01BE-4EF7-AE5C-EB65A42991A0}">
  <sheetPr codeName="Foglio42"/>
  <dimension ref="A1:O24"/>
  <sheetViews>
    <sheetView workbookViewId="0"/>
  </sheetViews>
  <sheetFormatPr defaultRowHeight="14.75" x14ac:dyDescent="0.75"/>
  <cols>
    <col min="2" max="2" width="31.6796875" bestFit="1" customWidth="1"/>
    <col min="3" max="3" width="72.1328125" customWidth="1"/>
    <col min="4" max="4" width="8.04296875" customWidth="1"/>
    <col min="5" max="5" width="71.58984375" style="1" customWidth="1"/>
    <col min="6" max="6" width="10.76953125" customWidth="1"/>
    <col min="7" max="7" width="45.26953125" customWidth="1"/>
  </cols>
  <sheetData>
    <row r="1" spans="1:15" x14ac:dyDescent="0.75">
      <c r="E1" s="24" t="s">
        <v>37</v>
      </c>
      <c r="H1" s="10"/>
      <c r="I1" s="10"/>
      <c r="J1" s="10"/>
      <c r="K1" s="10"/>
      <c r="L1" s="10"/>
      <c r="M1" s="10"/>
      <c r="N1" s="10"/>
      <c r="O1" s="10"/>
    </row>
    <row r="2" spans="1:15" x14ac:dyDescent="0.75">
      <c r="E2" s="31" t="s">
        <v>38</v>
      </c>
      <c r="H2" s="10"/>
      <c r="I2" s="10"/>
      <c r="J2" s="10"/>
      <c r="K2" s="10"/>
      <c r="L2" s="10"/>
      <c r="M2" s="10"/>
      <c r="N2" s="10"/>
      <c r="O2" s="10"/>
    </row>
    <row r="3" spans="1:15" ht="15.5" thickBot="1" x14ac:dyDescent="0.9">
      <c r="E3" s="31" t="str">
        <f>E1</f>
        <v>// -------------------------------------------------------------------------------</v>
      </c>
      <c r="H3" s="10"/>
      <c r="I3" s="10"/>
      <c r="J3" s="10"/>
      <c r="K3" s="10"/>
      <c r="L3" s="10"/>
      <c r="M3" s="10"/>
      <c r="N3" s="10"/>
      <c r="O3" s="10"/>
    </row>
    <row r="4" spans="1:15" ht="15.5" thickBot="1" x14ac:dyDescent="0.9">
      <c r="B4" s="13" t="s">
        <v>34</v>
      </c>
      <c r="C4" s="7" t="s">
        <v>459</v>
      </c>
      <c r="E4" s="28" t="str">
        <f>CONCATENATE("Mapping: ",C4)</f>
        <v>Mapping: eHNLabSpecimen2Fhir</v>
      </c>
      <c r="G4" t="s">
        <v>20</v>
      </c>
      <c r="H4" s="10"/>
      <c r="I4" s="10"/>
      <c r="J4" s="10"/>
      <c r="K4" s="10"/>
      <c r="L4" s="10"/>
      <c r="M4" s="10"/>
      <c r="N4" s="10"/>
      <c r="O4" s="10"/>
    </row>
    <row r="5" spans="1:15" ht="15.5" thickBot="1" x14ac:dyDescent="0.9">
      <c r="B5" s="13" t="s">
        <v>19</v>
      </c>
      <c r="C5" s="5" t="s">
        <v>16</v>
      </c>
      <c r="E5" s="29" t="str">
        <f>CONCATENATE("Id: ",C5)</f>
        <v>Id: fhir</v>
      </c>
      <c r="G5" s="1" t="s">
        <v>21</v>
      </c>
      <c r="H5" s="10"/>
      <c r="I5" s="10"/>
      <c r="J5" s="10"/>
      <c r="K5" s="10"/>
      <c r="L5" s="10"/>
      <c r="M5" s="10"/>
      <c r="N5" s="10"/>
      <c r="O5" s="10"/>
    </row>
    <row r="6" spans="1:15" ht="15.5" thickBot="1" x14ac:dyDescent="0.9">
      <c r="B6" s="13" t="s">
        <v>13</v>
      </c>
      <c r="C6" s="22" t="s">
        <v>460</v>
      </c>
      <c r="E6" s="29" t="str">
        <f>CONCATENATE("Title: ##34#",C6,"##34#")</f>
        <v>Title: ##34#eHN Lab Specimen model to FHIR R4 Map##34#</v>
      </c>
      <c r="G6" s="1" t="s">
        <v>22</v>
      </c>
      <c r="H6" s="10"/>
      <c r="I6" s="10"/>
      <c r="J6" s="10"/>
      <c r="K6" s="10"/>
      <c r="L6" s="10"/>
      <c r="M6" s="10"/>
      <c r="N6" s="10"/>
      <c r="O6" s="10"/>
    </row>
    <row r="7" spans="1:15" ht="15.5" thickBot="1" x14ac:dyDescent="0.9">
      <c r="B7" s="13" t="s">
        <v>35</v>
      </c>
      <c r="C7" s="11" t="str">
        <f>B9</f>
        <v>SpecimenLab</v>
      </c>
      <c r="E7" s="29" t="str">
        <f>CONCATENATE("Source: ",C7)</f>
        <v>Source: SpecimenLab</v>
      </c>
      <c r="G7" s="1" t="s">
        <v>23</v>
      </c>
      <c r="H7" s="10"/>
      <c r="I7" s="10"/>
      <c r="J7" s="10"/>
      <c r="K7" s="10"/>
      <c r="L7" s="10"/>
      <c r="M7" s="10"/>
      <c r="N7" s="10"/>
      <c r="O7" s="10"/>
    </row>
    <row r="8" spans="1:15" ht="15.5" thickBot="1" x14ac:dyDescent="0.9">
      <c r="B8" s="27" t="s">
        <v>18</v>
      </c>
      <c r="C8" t="s">
        <v>15</v>
      </c>
      <c r="E8" s="30" t="str">
        <f>CONCATENATE("Target: ##34#",C8,"##34#")</f>
        <v>Target: ##34#hl7.org/fhir/r4##34#</v>
      </c>
      <c r="G8" s="1" t="s">
        <v>24</v>
      </c>
      <c r="H8" s="10"/>
      <c r="I8" s="10"/>
      <c r="J8" s="10"/>
      <c r="K8" s="10"/>
      <c r="L8" s="10"/>
      <c r="M8" s="10"/>
      <c r="N8" s="10"/>
      <c r="O8" s="10"/>
    </row>
    <row r="9" spans="1:15" ht="44.25" x14ac:dyDescent="0.75">
      <c r="A9" s="9"/>
      <c r="B9" s="8" t="str">
        <f>'A.4 Specimen'!B5</f>
        <v>SpecimenLab</v>
      </c>
      <c r="C9" s="4" t="s">
        <v>340</v>
      </c>
      <c r="E9" s="4" t="str">
        <f>CONCATENATE("* -&gt; ##34#",C9,"##34#")</f>
        <v>* -&gt; ##34#Observation.conformsTo('http://hl7.eu/fhir/ig/xeh/StructureDefinition/Observation-results-laboratory-eu-xeh').specimen.resolve()##34#</v>
      </c>
      <c r="H9" s="10"/>
      <c r="I9" s="10"/>
      <c r="J9" s="10"/>
      <c r="K9" s="10"/>
      <c r="L9" s="10"/>
      <c r="M9" s="10"/>
      <c r="N9" s="10"/>
      <c r="O9" s="10"/>
    </row>
    <row r="10" spans="1:15" x14ac:dyDescent="0.75">
      <c r="A10" s="9">
        <v>1</v>
      </c>
      <c r="B10" s="9" t="str">
        <f>'A.4 Specimen'!B8</f>
        <v>identifier</v>
      </c>
      <c r="C10" s="9" t="s">
        <v>604</v>
      </c>
      <c r="E10" s="14" t="str">
        <f t="shared" ref="E10:E12" si="0">IF(B10=0,"*  -&gt; ##34###34#",CONCATENATE("* ",B10," -&gt; ##34#",C10,"##34#"))</f>
        <v>* identifier -&gt; ##34#Specimen.identifier##34#</v>
      </c>
      <c r="G10" s="1" t="s">
        <v>25</v>
      </c>
      <c r="H10" s="10"/>
      <c r="I10" s="10"/>
      <c r="J10" s="10"/>
      <c r="K10" s="10"/>
      <c r="L10" s="10"/>
      <c r="M10" s="10"/>
      <c r="N10" s="10"/>
      <c r="O10" s="10"/>
    </row>
    <row r="11" spans="1:15" x14ac:dyDescent="0.75">
      <c r="A11" s="9">
        <v>2</v>
      </c>
      <c r="B11" s="9" t="str">
        <f>'A.4 Specimen'!B9</f>
        <v>speciesType</v>
      </c>
      <c r="C11" s="9" t="s">
        <v>605</v>
      </c>
      <c r="E11" s="14" t="str">
        <f t="shared" si="0"/>
        <v>* speciesType -&gt; ##34#Specimen.type##34#</v>
      </c>
      <c r="G11" s="1" t="s">
        <v>26</v>
      </c>
      <c r="H11" s="10"/>
      <c r="I11" s="10"/>
      <c r="J11" s="10"/>
      <c r="K11" s="10"/>
      <c r="L11" s="10"/>
      <c r="M11" s="10"/>
      <c r="N11" s="10"/>
      <c r="O11" s="10"/>
    </row>
    <row r="12" spans="1:15" ht="44.25" x14ac:dyDescent="0.75">
      <c r="A12" s="9">
        <v>3</v>
      </c>
      <c r="B12" s="9" t="str">
        <f>'A.4 Specimen'!B10</f>
        <v>material</v>
      </c>
      <c r="C12" s="66" t="s">
        <v>354</v>
      </c>
      <c r="E12" s="14" t="str">
        <f t="shared" si="0"/>
        <v>* material -&gt; ##34#to be mapped##34#</v>
      </c>
      <c r="G12" s="1" t="s">
        <v>27</v>
      </c>
      <c r="H12" s="10"/>
      <c r="I12" s="10"/>
      <c r="J12" s="10"/>
      <c r="K12" s="10"/>
      <c r="L12" s="10"/>
      <c r="M12" s="10"/>
      <c r="N12" s="10"/>
      <c r="O12" s="10"/>
    </row>
    <row r="13" spans="1:15" x14ac:dyDescent="0.75">
      <c r="A13" s="9">
        <v>4</v>
      </c>
      <c r="B13" s="9" t="str">
        <f>'A.4 Specimen'!B11</f>
        <v>collected</v>
      </c>
      <c r="C13" s="9" t="s">
        <v>606</v>
      </c>
      <c r="E13" s="14" t="str">
        <f>IF(B13=0,"*  -&gt; ##34###34#",CONCATENATE("* ",B13," -&gt; ##34#",C13,"##34#"))</f>
        <v>* collected -&gt; ##34#Specimen.collection.collected[x]##34#</v>
      </c>
      <c r="G13" s="1" t="s">
        <v>28</v>
      </c>
      <c r="H13" s="10"/>
      <c r="I13" s="10"/>
      <c r="J13" s="10"/>
      <c r="K13" s="10"/>
      <c r="L13" s="10"/>
      <c r="M13" s="10"/>
      <c r="N13" s="10"/>
      <c r="O13" s="10"/>
    </row>
    <row r="14" spans="1:15" x14ac:dyDescent="0.75">
      <c r="A14" s="9">
        <v>5</v>
      </c>
      <c r="B14" s="9" t="str">
        <f>'A.4 Specimen'!B12</f>
        <v>anatomicLocation</v>
      </c>
      <c r="C14" s="9" t="s">
        <v>607</v>
      </c>
      <c r="E14" s="14" t="str">
        <f>IF(B14=0,"*  -&gt; ##34###34#",CONCATENATE("* ",B14," -&gt; ##34#",C14,"##34#"))</f>
        <v>* anatomicLocation -&gt; ##34#Specimen.collection.bodySite##34#</v>
      </c>
      <c r="G14" s="1" t="s">
        <v>29</v>
      </c>
      <c r="H14" s="10"/>
      <c r="I14" s="10"/>
      <c r="J14" s="10"/>
      <c r="K14" s="10"/>
      <c r="L14" s="10"/>
      <c r="M14" s="10"/>
      <c r="N14" s="10"/>
      <c r="O14" s="10"/>
    </row>
    <row r="15" spans="1:15" ht="29.5" x14ac:dyDescent="0.75">
      <c r="A15" s="9">
        <v>6</v>
      </c>
      <c r="B15" s="9" t="str">
        <f>'A.4 Specimen'!B13</f>
        <v>morphology</v>
      </c>
      <c r="C15" s="66" t="s">
        <v>608</v>
      </c>
      <c r="E15" s="14" t="str">
        <f t="shared" ref="E15:E21" si="1">IF(B15=0,"*  -&gt; ##34###34#",CONCATENATE("* ",B15," -&gt; ##34#",C15,"##34#"))</f>
        <v>* morphology -&gt; ##34#Specimen.collection.bodySite.extension(qualifier) (TBD)##34#</v>
      </c>
      <c r="G15" s="1" t="s">
        <v>30</v>
      </c>
      <c r="H15" s="10"/>
      <c r="I15" s="10"/>
      <c r="J15" s="10"/>
      <c r="K15" s="10"/>
      <c r="L15" s="10"/>
      <c r="M15" s="10"/>
      <c r="N15" s="10"/>
      <c r="O15" s="10"/>
    </row>
    <row r="16" spans="1:15" ht="29.5" x14ac:dyDescent="0.75">
      <c r="A16" s="9">
        <v>7</v>
      </c>
      <c r="B16" s="9" t="str">
        <f>'A.4 Specimen'!B14</f>
        <v>sourceDevice</v>
      </c>
      <c r="C16" s="9" t="s">
        <v>609</v>
      </c>
      <c r="E16" s="14" t="str">
        <f t="shared" si="1"/>
        <v>* sourceDevice -&gt; ##34#Specimen.container##34#</v>
      </c>
      <c r="G16" s="1" t="s">
        <v>31</v>
      </c>
      <c r="H16" s="10"/>
      <c r="I16" s="10"/>
      <c r="J16" s="10"/>
      <c r="K16" s="10"/>
      <c r="L16" s="10"/>
      <c r="M16" s="10"/>
      <c r="N16" s="10"/>
      <c r="O16" s="10"/>
    </row>
    <row r="17" spans="1:7" ht="29.5" x14ac:dyDescent="0.75">
      <c r="A17" s="9">
        <v>8</v>
      </c>
      <c r="B17" s="9" t="str">
        <f>'A.4 Specimen'!B15</f>
        <v>collectionMethod</v>
      </c>
      <c r="C17" s="9" t="s">
        <v>610</v>
      </c>
      <c r="E17" s="14" t="str">
        <f t="shared" si="1"/>
        <v>* collectionMethod -&gt; ##34#Specimen.collection.method##34#</v>
      </c>
      <c r="G17" s="1" t="s">
        <v>32</v>
      </c>
    </row>
    <row r="18" spans="1:7" x14ac:dyDescent="0.75">
      <c r="A18" s="9">
        <v>9</v>
      </c>
      <c r="B18" s="9" t="str">
        <f>'A.4 Specimen'!B16</f>
        <v>receivedDateTime</v>
      </c>
      <c r="C18" s="9" t="s">
        <v>611</v>
      </c>
      <c r="E18" s="14" t="str">
        <f t="shared" si="1"/>
        <v>* receivedDateTime -&gt; ##34#Specimen.receivedTime##34#</v>
      </c>
      <c r="G18" s="1" t="s">
        <v>33</v>
      </c>
    </row>
    <row r="19" spans="1:7" x14ac:dyDescent="0.75">
      <c r="A19" s="9">
        <v>10</v>
      </c>
      <c r="B19" s="9">
        <f>'A.4 Specimen'!B17</f>
        <v>0</v>
      </c>
      <c r="C19" s="9" t="s">
        <v>354</v>
      </c>
      <c r="E19" s="14" t="str">
        <f t="shared" si="1"/>
        <v>*  -&gt; ##34###34#</v>
      </c>
    </row>
    <row r="20" spans="1:7" x14ac:dyDescent="0.75">
      <c r="A20" s="9"/>
      <c r="B20" s="9">
        <f>'A.4 Specimen'!B18</f>
        <v>0</v>
      </c>
      <c r="C20" s="9" t="s">
        <v>354</v>
      </c>
      <c r="E20" s="14" t="str">
        <f t="shared" si="1"/>
        <v>*  -&gt; ##34###34#</v>
      </c>
    </row>
    <row r="21" spans="1:7" x14ac:dyDescent="0.75">
      <c r="B21" s="9">
        <f>'A.4 Specimen'!B19</f>
        <v>0</v>
      </c>
      <c r="C21" s="9" t="s">
        <v>354</v>
      </c>
      <c r="E21" s="14" t="str">
        <f t="shared" si="1"/>
        <v>*  -&gt; ##34###34#</v>
      </c>
    </row>
    <row r="22" spans="1:7" x14ac:dyDescent="0.75">
      <c r="B22" s="9">
        <f>'A.4 Specimen'!B20</f>
        <v>0</v>
      </c>
      <c r="E22" s="14"/>
    </row>
    <row r="23" spans="1:7" x14ac:dyDescent="0.75">
      <c r="E23" s="14"/>
    </row>
    <row r="24" spans="1:7" x14ac:dyDescent="0.75">
      <c r="E24" s="22"/>
    </row>
  </sheetData>
  <pageMargins left="0.7" right="0.7" top="0.75" bottom="0.75" header="0.3" footer="0.3"/>
</worksheet>
</file>

<file path=xl/worksheets/sheet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BE0B1A-5FF1-414E-9484-4A41E4829924}">
  <sheetPr codeName="Foglio14">
    <tabColor theme="8" tint="-0.249977111117893"/>
  </sheetPr>
  <dimension ref="C1:G51"/>
  <sheetViews>
    <sheetView workbookViewId="0"/>
  </sheetViews>
  <sheetFormatPr defaultRowHeight="14.75" x14ac:dyDescent="0.75"/>
  <cols>
    <col min="3" max="3" width="108.2265625" style="14" customWidth="1"/>
    <col min="4" max="4" width="5.26953125" customWidth="1"/>
    <col min="5" max="5" width="4.81640625" customWidth="1"/>
    <col min="7" max="7" width="37.08984375" customWidth="1"/>
  </cols>
  <sheetData>
    <row r="1" spans="3:7" ht="15.5" thickBot="1" x14ac:dyDescent="0.9">
      <c r="C1" s="32" t="str">
        <f>'A.4 Specimen'!I1</f>
        <v>// -------------------------------------------------------------------------------</v>
      </c>
    </row>
    <row r="2" spans="3:7" ht="16.75" thickBot="1" x14ac:dyDescent="0.9">
      <c r="C2" s="33" t="str">
        <f>'A.4 Specimen'!I2</f>
        <v>//  Logical Model</v>
      </c>
      <c r="G2" s="56" t="s">
        <v>477</v>
      </c>
    </row>
    <row r="3" spans="3:7" x14ac:dyDescent="0.75">
      <c r="C3" s="33" t="str">
        <f>'A.4 Specimen'!I3</f>
        <v>// -------------------------------------------------------------------------------</v>
      </c>
    </row>
    <row r="4" spans="3:7" x14ac:dyDescent="0.75">
      <c r="C4" s="25" t="str">
        <f>'A.4 Specimen'!I4</f>
        <v>Logical: SpecimenLabEhn</v>
      </c>
    </row>
    <row r="5" spans="3:7" x14ac:dyDescent="0.75">
      <c r="C5" s="25" t="str">
        <f>'A.4 Specimen'!I5</f>
        <v>Id: SpecimenLab</v>
      </c>
    </row>
    <row r="6" spans="3:7" x14ac:dyDescent="0.75">
      <c r="C6" s="25" t="str">
        <f>'A.4 Specimen'!I6</f>
        <v>Title: ##34#A.4, Specimen information##34#</v>
      </c>
    </row>
    <row r="7" spans="3:7" x14ac:dyDescent="0.75">
      <c r="C7" s="25" t="str">
        <f>'A.4 Specimen'!I7</f>
        <v>Description:  ##334#A.4 Specimen information##334#</v>
      </c>
    </row>
    <row r="8" spans="3:7" ht="44.25" x14ac:dyDescent="0.75">
      <c r="C8" s="14" t="str">
        <f>IF('A.4 Specimen'!I8="*  ..  ##34###34# ##334###334#","//--- END",'A.4 Specimen'!I8)</f>
        <v>* identifier 0..1 Identifier ##34#A.4.1 Specimen identifier##34# ##334#An identifier of the specimen which is unique within in a defined scope. Example: identifier assigned by Specimening system, identifier assigned by laboratory etc. Multiple identifiers can be used. - Preferred system(s): ##334#</v>
      </c>
    </row>
    <row r="9" spans="3:7" ht="29.5" x14ac:dyDescent="0.75">
      <c r="C9" s="14" t="str">
        <f>IF('A.4 Specimen'!I9="*  ..  ##34###34# ##334###334#","//--- END",'A.4 Specimen'!I9)</f>
        <v>* speciesType 0..* CodeableConcept ##34#A.4.2 Type of species##34# ##334#Biologic type of species for laboratory result reports bound to non-human subjects. - Preferred system(s): SNOMED CT##334#</v>
      </c>
    </row>
    <row r="10" spans="3:7" ht="29.5" x14ac:dyDescent="0.75">
      <c r="C10" s="14" t="str">
        <f>IF('A.4 Specimen'!I10="*  ..  ##34###34# ##334###334#","//--- END",'A.4 Specimen'!I10)</f>
        <v>* material 0..* CodeableConcept ##34#A.4.3 Material##34# ##334#Specimen material. - Preferred system(s): SNOMED CT##334#</v>
      </c>
      <c r="E10" t="s">
        <v>307</v>
      </c>
    </row>
    <row r="11" spans="3:7" ht="29.5" x14ac:dyDescent="0.75">
      <c r="C11" s="14" t="str">
        <f>IF('A.4 Specimen'!I11="*  ..  ##34###34# ##334###334#","//--- END",'A.4 Specimen'!I11)</f>
        <v>* collected 0..* dateTime ##34#A.4.4 Collection period##34# ##334#Collection date time or period. - Preferred system(s): ISO 8601##334#</v>
      </c>
    </row>
    <row r="12" spans="3:7" ht="29.5" x14ac:dyDescent="0.75">
      <c r="C12" s="14" t="str">
        <f>IF('A.4 Specimen'!I12="*  ..  ##34###34# ##334###334#","//--- END",'A.4 Specimen'!I12)</f>
        <v>* anatomicLocation 0..* CodeableConcept ##34#A.4.5 Anatomic location##34# ##334#Anatomic location (body location, laterality) where the material is collected, e.g. Elbow, left - Preferred system(s): SNOMED CT##334#</v>
      </c>
    </row>
    <row r="13" spans="3:7" ht="29.5" x14ac:dyDescent="0.75">
      <c r="C13" s="14" t="str">
        <f>IF('A.4 Specimen'!I13="*  ..  ##34###34# ##334###334#","//--- END",'A.4 Specimen'!I13)</f>
        <v>* morphology 0..* CodeableConcept ##34#A.4.6 Morphology##34# ##334#Morphological abnormalities of the anatomical location where the material is taken, for example wound, ulcer. - Preferred system(s): SNOMED CT##334#</v>
      </c>
    </row>
    <row r="14" spans="3:7" ht="59" x14ac:dyDescent="0.75">
      <c r="C14" s="14" t="str">
        <f>IF('A.4 Specimen'!I14="*  ..  ##34###34# ##334###334#","//--- END",'A.4 Specimen'!I14)</f>
        <v>* sourceDevice 0..* CodeableConcept ##34#A.4.7 Source Device##34# ##334#If the material is not collected directly from the patient but comes from a patient-related object, e.g. a catheter
 - Preferred system(s): SNOMED CT
 - Preferred system(s): EMDN##334#</v>
      </c>
    </row>
    <row r="15" spans="3:7" ht="29.5" x14ac:dyDescent="0.75">
      <c r="C15" s="14" t="str">
        <f>IF('A.4 Specimen'!I15="*  ..  ##34###34# ##334###334#","//--- END",'A.4 Specimen'!I15)</f>
        <v>* collectionMethod 0..* CodeableConcept ##34#A.4.8 Collection procedure/method##34# ##334#If relevant for the results, the method of obtaining the specimen. - Preferred system(s): SNOMED CT##334#</v>
      </c>
    </row>
    <row r="16" spans="3:7" ht="29.5" x14ac:dyDescent="0.75">
      <c r="C16" s="14" t="str">
        <f>IF('A.4 Specimen'!I16="*  ..  ##34###34# ##334###334#","//--- END",'A.4 Specimen'!I16)</f>
        <v>* receivedDateTime 0..* dateTime ##34#A.4.9 Received date##34# ##334#Date and time that the material is handed over at the laboratory or specimen collection centre. - Preferred system(s): ISO 8601##334#</v>
      </c>
    </row>
    <row r="17" spans="3:3" x14ac:dyDescent="0.75">
      <c r="C17" s="14" t="str">
        <f>IF('A.4 Specimen'!I17="*  ..  ##34###34# ##334###334#","//--- END",'A.4 Specimen'!I17)</f>
        <v>//--- END</v>
      </c>
    </row>
    <row r="18" spans="3:3" x14ac:dyDescent="0.75">
      <c r="C18" s="14" t="str">
        <f>IF('A.4 Specimen'!I18="*  ..  ##34###34# ##334###334#","//--- END",'A.4 Specimen'!I18)</f>
        <v>//--- END</v>
      </c>
    </row>
    <row r="19" spans="3:3" x14ac:dyDescent="0.75">
      <c r="C19" s="14" t="str">
        <f>IF('A.4 Specimen'!I19="*  ..  ##34###34# ##334###334#","//--- END",'A.4 Specimen'!I19)</f>
        <v>//--- END</v>
      </c>
    </row>
    <row r="30" spans="3:3" x14ac:dyDescent="0.75">
      <c r="C30" s="32" t="str">
        <f>'Specimen-Map-1'!E1</f>
        <v>// -------------------------------------------------------------------------------</v>
      </c>
    </row>
    <row r="31" spans="3:3" x14ac:dyDescent="0.75">
      <c r="C31" s="33" t="str">
        <f>'Specimen-Map-1'!E2</f>
        <v>//  Map to FHIR R4</v>
      </c>
    </row>
    <row r="32" spans="3:3" x14ac:dyDescent="0.75">
      <c r="C32" s="33" t="str">
        <f>'Specimen-Map-1'!E3</f>
        <v>// -------------------------------------------------------------------------------</v>
      </c>
    </row>
    <row r="33" spans="3:7" x14ac:dyDescent="0.75">
      <c r="C33" s="14" t="str">
        <f>'Specimen-Map-1'!E4</f>
        <v>Mapping: eHNLabSpecimen2Fhir</v>
      </c>
    </row>
    <row r="34" spans="3:7" x14ac:dyDescent="0.75">
      <c r="C34" s="14" t="str">
        <f>'Specimen-Map-1'!E5</f>
        <v>Id: fhir</v>
      </c>
    </row>
    <row r="35" spans="3:7" x14ac:dyDescent="0.75">
      <c r="C35" s="14" t="str">
        <f>'Specimen-Map-1'!E6</f>
        <v>Title: ##34#eHN Lab Specimen model to FHIR R4 Map##34#</v>
      </c>
    </row>
    <row r="36" spans="3:7" x14ac:dyDescent="0.75">
      <c r="C36" s="14" t="str">
        <f>'Specimen-Map-1'!E7</f>
        <v>Source: SpecimenLab</v>
      </c>
    </row>
    <row r="37" spans="3:7" x14ac:dyDescent="0.75">
      <c r="C37" s="14" t="str">
        <f>'Specimen-Map-1'!E8</f>
        <v>Target: ##34#hl7.org/fhir/r4##34#</v>
      </c>
    </row>
    <row r="39" spans="3:7" ht="29.5" x14ac:dyDescent="0.75">
      <c r="C39" s="14" t="str">
        <f>'Specimen-Map-1'!E9</f>
        <v>* -&gt; ##34#Observation.conformsTo('http://hl7.eu/fhir/ig/xeh/StructureDefinition/Observation-results-laboratory-eu-xeh').specimen.resolve()##34#</v>
      </c>
    </row>
    <row r="40" spans="3:7" x14ac:dyDescent="0.75">
      <c r="C40" s="14" t="str">
        <f>IF('Specimen-Map-1'!E10="*  -&gt; ##34###34#","// --END",'Specimen-Map-1'!E10)</f>
        <v>* identifier -&gt; ##34#Specimen.identifier##34#</v>
      </c>
    </row>
    <row r="41" spans="3:7" x14ac:dyDescent="0.75">
      <c r="C41" s="14" t="str">
        <f>IF('Specimen-Map-1'!E11="*  -&gt; ##34###34#","// --END",'Specimen-Map-1'!E11)</f>
        <v>* speciesType -&gt; ##34#Specimen.type##34#</v>
      </c>
    </row>
    <row r="42" spans="3:7" x14ac:dyDescent="0.75">
      <c r="C42" s="14" t="str">
        <f>IF('Specimen-Map-1'!E12="*  -&gt; ##34###34#","// --END",'Specimen-Map-1'!E12)</f>
        <v>* material -&gt; ##34#to be mapped##34#</v>
      </c>
    </row>
    <row r="43" spans="3:7" x14ac:dyDescent="0.75">
      <c r="C43" s="14" t="str">
        <f>IF('Specimen-Map-1'!E13="*  -&gt; ##34###34#","// --END",'Specimen-Map-1'!E13)</f>
        <v>* collected -&gt; ##34#Specimen.collection.collected[x]##34#</v>
      </c>
    </row>
    <row r="44" spans="3:7" x14ac:dyDescent="0.75">
      <c r="C44" s="14" t="str">
        <f>IF('Specimen-Map-1'!E14="*  -&gt; ##34###34#","// --END",'Specimen-Map-1'!E14)</f>
        <v>* anatomicLocation -&gt; ##34#Specimen.collection.bodySite##34#</v>
      </c>
    </row>
    <row r="45" spans="3:7" x14ac:dyDescent="0.75">
      <c r="C45" s="14" t="str">
        <f>IF('Specimen-Map-1'!E15="*  -&gt; ##34###34#","// --END",'Specimen-Map-1'!E15)</f>
        <v>* morphology -&gt; ##34#Specimen.collection.bodySite.extension(qualifier) (TBD)##34#</v>
      </c>
    </row>
    <row r="46" spans="3:7" x14ac:dyDescent="0.75">
      <c r="C46" s="14" t="str">
        <f>IF('Specimen-Map-1'!E16="*  -&gt; ##34###34#","// --END",'Specimen-Map-1'!E16)</f>
        <v>* sourceDevice -&gt; ##34#Specimen.container##34#</v>
      </c>
    </row>
    <row r="47" spans="3:7" x14ac:dyDescent="0.75">
      <c r="C47" s="14" t="str">
        <f>IF('Specimen-Map-1'!E17="*  -&gt; ##34###34#","// --END",'Specimen-Map-1'!E17)</f>
        <v>* collectionMethod -&gt; ##34#Specimen.collection.method##34#</v>
      </c>
    </row>
    <row r="48" spans="3:7" x14ac:dyDescent="0.75">
      <c r="C48" s="14" t="str">
        <f>IF('Specimen-Map-1'!E18="*  -&gt; ##34###34#","// --END",'Specimen-Map-1'!E18)</f>
        <v>* receivedDateTime -&gt; ##34#Specimen.receivedTime##34#</v>
      </c>
      <c r="G48" s="10"/>
    </row>
    <row r="49" spans="3:3" x14ac:dyDescent="0.75">
      <c r="C49" s="14" t="str">
        <f>IF('Specimen-Map-1'!E19="*  -&gt; ##34###34#","// --END",'Specimen-Map-1'!E19)</f>
        <v>// --END</v>
      </c>
    </row>
    <row r="50" spans="3:3" x14ac:dyDescent="0.75">
      <c r="C50" s="14" t="str">
        <f>IF('Specimen-Map-1'!E20="*  -&gt; ##34###34#","// --END",'Specimen-Map-1'!E20)</f>
        <v>// --END</v>
      </c>
    </row>
    <row r="51" spans="3:3" x14ac:dyDescent="0.75">
      <c r="C51" s="14" t="str">
        <f>IF('Specimen-Map-1'!E21="*  -&gt; ##34###34#","// --END",'Specimen-Map-1'!E21)</f>
        <v>// --END</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91137" r:id="rId3" name="Button 1">
              <controlPr defaultSize="0" print="0" autoFill="0" autoPict="0" macro="[0]!export">
                <anchor moveWithCells="1">
                  <from>
                    <xdr:col>4</xdr:col>
                    <xdr:colOff>222250</xdr:colOff>
                    <xdr:row>0</xdr:row>
                    <xdr:rowOff>171450</xdr:rowOff>
                  </from>
                  <to>
                    <xdr:col>5</xdr:col>
                    <xdr:colOff>558800</xdr:colOff>
                    <xdr:row>2</xdr:row>
                    <xdr:rowOff>44450</xdr:rowOff>
                  </to>
                </anchor>
              </controlPr>
            </control>
          </mc:Choice>
        </mc:AlternateContent>
      </controls>
    </mc:Choice>
  </mc:AlternateContent>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411D18-3EFD-4D8A-BBF5-E090DD4E9096}">
  <sheetPr codeName="Foglio56">
    <tabColor theme="0" tint="-0.499984740745262"/>
  </sheetPr>
  <dimension ref="A2:S52"/>
  <sheetViews>
    <sheetView topLeftCell="C1" workbookViewId="0">
      <selection activeCell="K15" sqref="K15"/>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35.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73" t="s">
        <v>34</v>
      </c>
      <c r="C3" s="54" t="s">
        <v>817</v>
      </c>
      <c r="D3" s="73" t="s">
        <v>688</v>
      </c>
      <c r="E3" s="84" t="str">
        <f>"http://hl7.eu/fhir/laboratory/StructureDefinition/"&amp;'A.4 Specimen'!B5</f>
        <v>http://hl7.eu/fhir/laboratory/StructureDefinition/SpecimenLab</v>
      </c>
    </row>
    <row r="4" spans="1:19" x14ac:dyDescent="0.75">
      <c r="B4" s="73" t="s">
        <v>19</v>
      </c>
      <c r="C4" s="54" t="s">
        <v>818</v>
      </c>
      <c r="D4" s="73" t="s">
        <v>689</v>
      </c>
      <c r="E4" t="s">
        <v>691</v>
      </c>
    </row>
    <row r="5" spans="1:19" x14ac:dyDescent="0.75">
      <c r="B5" s="73" t="s">
        <v>13</v>
      </c>
      <c r="C5" s="10" t="s">
        <v>819</v>
      </c>
      <c r="D5" s="73"/>
      <c r="E5" s="10"/>
    </row>
    <row r="6" spans="1:19" x14ac:dyDescent="0.75">
      <c r="B6" s="73" t="s">
        <v>35</v>
      </c>
      <c r="C6" s="72"/>
      <c r="D6" s="73" t="s">
        <v>685</v>
      </c>
      <c r="E6" s="112" t="str">
        <f>E3</f>
        <v>http://hl7.eu/fhir/laboratory/StructureDefinition/SpecimenLab</v>
      </c>
      <c r="F6" s="111"/>
      <c r="G6" s="111"/>
    </row>
    <row r="7" spans="1:19" x14ac:dyDescent="0.75">
      <c r="B7" s="73" t="s">
        <v>18</v>
      </c>
      <c r="C7" s="80"/>
      <c r="D7" s="73" t="s">
        <v>686</v>
      </c>
      <c r="E7" s="112" t="s">
        <v>822</v>
      </c>
      <c r="F7" s="111"/>
      <c r="G7" s="111"/>
    </row>
    <row r="8" spans="1:19" ht="44.25" x14ac:dyDescent="0.75">
      <c r="B8" s="73" t="s">
        <v>679</v>
      </c>
      <c r="C8" s="53" t="s">
        <v>820</v>
      </c>
      <c r="D8" s="73"/>
      <c r="E8" s="10"/>
      <c r="I8" s="14" t="s">
        <v>647</v>
      </c>
      <c r="J8" s="14" t="s">
        <v>648</v>
      </c>
      <c r="K8" s="14" t="s">
        <v>649</v>
      </c>
      <c r="L8" s="14" t="s">
        <v>650</v>
      </c>
      <c r="M8" s="9" t="s">
        <v>651</v>
      </c>
      <c r="P8" s="69" t="s">
        <v>652</v>
      </c>
      <c r="Q8" s="69">
        <v>6</v>
      </c>
    </row>
    <row r="9" spans="1:19" ht="29.5" x14ac:dyDescent="0.75">
      <c r="B9" s="73" t="s">
        <v>680</v>
      </c>
      <c r="C9" s="14" t="s">
        <v>821</v>
      </c>
      <c r="D9" s="73"/>
      <c r="E9"/>
      <c r="I9" s="14"/>
      <c r="J9" s="9"/>
      <c r="K9" s="9"/>
      <c r="L9" s="9"/>
      <c r="M9" s="9"/>
    </row>
    <row r="10" spans="1:19" x14ac:dyDescent="0.75">
      <c r="B10" s="73"/>
      <c r="C10" s="9"/>
      <c r="D10" s="73"/>
      <c r="E10"/>
      <c r="I10" s="14"/>
      <c r="J10" s="9"/>
      <c r="K10" s="9"/>
      <c r="L10" s="9"/>
      <c r="M10" s="9"/>
    </row>
    <row r="11" spans="1:19" x14ac:dyDescent="0.75">
      <c r="E11" s="10"/>
      <c r="I11" s="25" t="s">
        <v>653</v>
      </c>
      <c r="J11" s="70" t="s">
        <v>654</v>
      </c>
      <c r="K11" s="25" t="s">
        <v>655</v>
      </c>
      <c r="L11" s="70" t="s">
        <v>656</v>
      </c>
      <c r="M11" s="71" t="s">
        <v>657</v>
      </c>
      <c r="N11" s="74" t="s">
        <v>644</v>
      </c>
    </row>
    <row r="12" spans="1:19" x14ac:dyDescent="0.75">
      <c r="E12" s="72"/>
      <c r="I12" s="14"/>
      <c r="J12" s="9"/>
      <c r="K12" s="9"/>
      <c r="L12" s="9"/>
      <c r="M12" s="9"/>
    </row>
    <row r="13" spans="1:19" x14ac:dyDescent="0.75">
      <c r="D13" s="14"/>
      <c r="E13" s="9"/>
      <c r="F13" s="71" t="s">
        <v>657</v>
      </c>
      <c r="G13" s="74" t="s">
        <v>644</v>
      </c>
      <c r="H13" s="74"/>
      <c r="I13" s="14"/>
      <c r="J13" s="9"/>
      <c r="K13" s="71"/>
      <c r="L13" s="71"/>
      <c r="M13" s="71"/>
      <c r="N13" s="74"/>
    </row>
    <row r="14" spans="1:19" x14ac:dyDescent="0.75">
      <c r="A14" s="23"/>
      <c r="B14" s="8" t="str">
        <f>'A.4 Specimen'!B5</f>
        <v>SpecimenLab</v>
      </c>
      <c r="C14" s="9"/>
      <c r="D14" s="4" t="s">
        <v>823</v>
      </c>
      <c r="E14" s="8"/>
      <c r="F14" s="75"/>
      <c r="G14" s="75"/>
      <c r="I14" s="14"/>
      <c r="J14" s="9"/>
      <c r="K14" s="9"/>
      <c r="L14" s="9"/>
      <c r="M14" s="71"/>
      <c r="N14" s="74"/>
    </row>
    <row r="15" spans="1:19" ht="73.75" x14ac:dyDescent="0.75">
      <c r="A15" s="23"/>
      <c r="B15" s="9" t="str">
        <f>'A.4 Specimen'!B8</f>
        <v>identifier</v>
      </c>
      <c r="C15" s="9" t="str">
        <f>'A.4 Specimen'!C8</f>
        <v>A.4.1 Specimen identifier</v>
      </c>
      <c r="D15" s="14" t="s">
        <v>367</v>
      </c>
      <c r="E15" s="62"/>
      <c r="F15" s="75" t="s">
        <v>658</v>
      </c>
      <c r="G15" s="75"/>
      <c r="I15" s="14" t="str">
        <f>"* group[=].element[+].code = #"&amp;$B$14&amp;"."&amp;B15</f>
        <v>* group[=].element[+].code = #SpecimenLab.identifier</v>
      </c>
      <c r="J15" s="14" t="str">
        <f t="shared" ref="J15" si="0">"* group[=].element[=].display = ##34#"&amp;C15&amp;"##34#"</f>
        <v>* group[=].element[=].display = ##34#A.4.1 Specimen identifier##34#</v>
      </c>
      <c r="K15" s="14" t="str">
        <f t="shared" ref="K15" si="1">IF(F15="unmatched","//-- unmatched","* group[=].element[=].target.code = #"&amp;$D$14&amp;"."&amp;D15)</f>
        <v>* group[=].element[=].target.code = #Specimen.identifier</v>
      </c>
      <c r="L15" s="14" t="str">
        <f t="shared" ref="L15" si="2">IF(F15="unmatched","//-- unmatched","* group[=].element[=].target.display = ##34#"&amp;E15&amp;"##34#")</f>
        <v>* group[=].element[=].target.display = ##34###34#</v>
      </c>
      <c r="M15" s="14" t="str">
        <f t="shared" ref="M15" si="3">"* group[=].element[=].target.equivalence = #"&amp;F15</f>
        <v>* group[=].element[=].target.equivalence = #equivalent</v>
      </c>
      <c r="N15" s="14" t="str">
        <f t="shared" ref="N15" si="4">IF(G15&lt;&gt;"",CONCATENATE("* group[=].element[=].target.comment = ","##34#",G15,"##34#"),"")</f>
        <v/>
      </c>
      <c r="P15" s="9">
        <v>1</v>
      </c>
      <c r="Q15" s="9">
        <f t="shared" ref="Q15:Q52" si="5">IF(MOD(P15,$Q$8)=0,P15/$Q$8-1,INT(P15/$Q$8))</f>
        <v>0</v>
      </c>
      <c r="R15" s="9">
        <f t="shared" ref="R15:R52" si="6">IF(MOD(P15,$Q$8)=0,$Q$8,MOD(P15,$Q$8))</f>
        <v>1</v>
      </c>
      <c r="S15" s="14" t="str" cm="1">
        <f t="array" ref="S15">INDEX('Specimen-ConceptMap-1'!$I$15:$N$123,Q15+1,R15)</f>
        <v>* group[=].element[+].code = #SpecimenLab.identifier</v>
      </c>
    </row>
    <row r="16" spans="1:19" ht="44.25" customHeight="1" x14ac:dyDescent="0.75">
      <c r="A16" s="23"/>
      <c r="B16" s="9" t="str">
        <f>'A.4 Specimen'!B9</f>
        <v>speciesType</v>
      </c>
      <c r="C16" s="9" t="str">
        <f>'A.4 Specimen'!C9</f>
        <v>A.4.2 Type of species</v>
      </c>
      <c r="D16" s="14" t="s">
        <v>824</v>
      </c>
      <c r="E16" s="9"/>
      <c r="F16" s="75" t="s">
        <v>659</v>
      </c>
      <c r="G16" s="86" t="s">
        <v>825</v>
      </c>
      <c r="H16" s="76"/>
      <c r="I16" s="14" t="str">
        <f t="shared" ref="I16:I23" si="7">"* group[=].element[+].code = #"&amp;$B$14&amp;"."&amp;B16</f>
        <v>* group[=].element[+].code = #SpecimenLab.speciesType</v>
      </c>
      <c r="J16" s="14" t="str">
        <f t="shared" ref="J16:J23" si="8">"* group[=].element[=].display = ##34#"&amp;C16&amp;"##34#"</f>
        <v>* group[=].element[=].display = ##34#A.4.2 Type of species##34#</v>
      </c>
      <c r="K16" s="14" t="str">
        <f t="shared" ref="K16:K23" si="9">IF(F16="unmatched","//-- unmatched","* group[=].element[=].target.code = #"&amp;$D$14&amp;"."&amp;D16)</f>
        <v>* group[=].element[=].target.code = #Specimen.type</v>
      </c>
      <c r="L16" s="14" t="str">
        <f t="shared" ref="L16:L23" si="10">IF(F16="unmatched","//-- unmatched","* group[=].element[=].target.display = ##34#"&amp;E16&amp;"##34#")</f>
        <v>* group[=].element[=].target.display = ##34###34#</v>
      </c>
      <c r="M16" s="14" t="str">
        <f t="shared" ref="M16:M23" si="11">"* group[=].element[=].target.equivalence = #"&amp;F16</f>
        <v>* group[=].element[=].target.equivalence = #relatedto</v>
      </c>
      <c r="N16" s="14" t="str">
        <f t="shared" ref="N16:N23" si="12">IF(G16&lt;&gt;"",CONCATENATE("* group[=].element[=].target.comment = ","##34#",G16,"##34#"),"")</f>
        <v>* group[=].element[=].target.comment = ##34#to be checked##34#</v>
      </c>
      <c r="P16" s="9">
        <v>2</v>
      </c>
      <c r="Q16" s="9">
        <f t="shared" si="5"/>
        <v>0</v>
      </c>
      <c r="R16" s="9">
        <f t="shared" si="6"/>
        <v>2</v>
      </c>
      <c r="S16" s="14" t="str" cm="1">
        <f t="array" ref="S16">INDEX('Specimen-ConceptMap-1'!$I$15:$N$123,Q16+1,R16)</f>
        <v>* group[=].element[=].display = ##34#A.4.1 Specimen identifier##34#</v>
      </c>
    </row>
    <row r="17" spans="1:19" ht="44.25" x14ac:dyDescent="0.75">
      <c r="A17" s="23"/>
      <c r="B17" s="9" t="str">
        <f>'A.4 Specimen'!B10</f>
        <v>material</v>
      </c>
      <c r="C17" s="9" t="str">
        <f>'A.4 Specimen'!C10</f>
        <v>A.4.3 Material</v>
      </c>
      <c r="D17" s="14" t="s">
        <v>824</v>
      </c>
      <c r="E17" s="9"/>
      <c r="F17" s="75" t="s">
        <v>659</v>
      </c>
      <c r="G17" s="86" t="s">
        <v>825</v>
      </c>
      <c r="H17" s="76"/>
      <c r="I17" s="14" t="str">
        <f t="shared" si="7"/>
        <v>* group[=].element[+].code = #SpecimenLab.material</v>
      </c>
      <c r="J17" s="14" t="str">
        <f t="shared" si="8"/>
        <v>* group[=].element[=].display = ##34#A.4.3 Material##34#</v>
      </c>
      <c r="K17" s="14" t="str">
        <f t="shared" si="9"/>
        <v>* group[=].element[=].target.code = #Specimen.type</v>
      </c>
      <c r="L17" s="14" t="str">
        <f t="shared" si="10"/>
        <v>* group[=].element[=].target.display = ##34###34#</v>
      </c>
      <c r="M17" s="14" t="str">
        <f t="shared" si="11"/>
        <v>* group[=].element[=].target.equivalence = #relatedto</v>
      </c>
      <c r="N17" s="14" t="str">
        <f t="shared" si="12"/>
        <v>* group[=].element[=].target.comment = ##34#to be checked##34#</v>
      </c>
      <c r="P17" s="9">
        <v>3</v>
      </c>
      <c r="Q17" s="9">
        <f t="shared" si="5"/>
        <v>0</v>
      </c>
      <c r="R17" s="9">
        <f t="shared" si="6"/>
        <v>3</v>
      </c>
      <c r="S17" s="14" t="str" cm="1">
        <f t="array" ref="S17">INDEX('Specimen-ConceptMap-1'!$I$15:$N$123,Q17+1,R17)</f>
        <v>* group[=].element[=].target.code = #Specimen.identifier</v>
      </c>
    </row>
    <row r="18" spans="1:19" ht="44.25" x14ac:dyDescent="0.75">
      <c r="A18" s="23"/>
      <c r="B18" s="9" t="str">
        <f>'A.4 Specimen'!B11</f>
        <v>collected</v>
      </c>
      <c r="C18" s="9" t="str">
        <f>'A.4 Specimen'!C11</f>
        <v>A.4.4 Collection period</v>
      </c>
      <c r="D18" s="14" t="s">
        <v>826</v>
      </c>
      <c r="E18" s="9"/>
      <c r="F18" s="75" t="s">
        <v>658</v>
      </c>
      <c r="G18" s="75"/>
      <c r="H18" s="76"/>
      <c r="I18" s="14" t="str">
        <f t="shared" si="7"/>
        <v>* group[=].element[+].code = #SpecimenLab.collected</v>
      </c>
      <c r="J18" s="14" t="str">
        <f t="shared" si="8"/>
        <v>* group[=].element[=].display = ##34#A.4.4 Collection period##34#</v>
      </c>
      <c r="K18" s="14" t="str">
        <f t="shared" si="9"/>
        <v>* group[=].element[=].target.code = #Specimen.collection.collected[x]</v>
      </c>
      <c r="L18" s="14" t="str">
        <f t="shared" si="10"/>
        <v>* group[=].element[=].target.display = ##34###34#</v>
      </c>
      <c r="M18" s="14" t="str">
        <f t="shared" si="11"/>
        <v>* group[=].element[=].target.equivalence = #equivalent</v>
      </c>
      <c r="N18" s="14" t="str">
        <f t="shared" si="12"/>
        <v/>
      </c>
      <c r="P18" s="9">
        <v>4</v>
      </c>
      <c r="Q18" s="9">
        <f t="shared" si="5"/>
        <v>0</v>
      </c>
      <c r="R18" s="9">
        <f t="shared" si="6"/>
        <v>4</v>
      </c>
      <c r="S18" s="14" t="str" cm="1">
        <f t="array" ref="S18">INDEX('Specimen-ConceptMap-1'!$I$15:$N$123,Q18+1,R18)</f>
        <v>* group[=].element[=].target.display = ##34###34#</v>
      </c>
    </row>
    <row r="19" spans="1:19" ht="44.25" x14ac:dyDescent="0.75">
      <c r="A19" s="23"/>
      <c r="B19" s="9" t="str">
        <f>'A.4 Specimen'!B12</f>
        <v>anatomicLocation</v>
      </c>
      <c r="C19" s="9" t="str">
        <f>'A.4 Specimen'!C12</f>
        <v>A.4.5 Anatomic location</v>
      </c>
      <c r="D19" s="14" t="s">
        <v>828</v>
      </c>
      <c r="E19" s="9"/>
      <c r="F19" s="75" t="s">
        <v>659</v>
      </c>
      <c r="G19" s="75"/>
      <c r="H19" s="76"/>
      <c r="I19" s="14" t="str">
        <f t="shared" si="7"/>
        <v>* group[=].element[+].code = #SpecimenLab.anatomicLocation</v>
      </c>
      <c r="J19" s="14" t="str">
        <f t="shared" si="8"/>
        <v>* group[=].element[=].display = ##34#A.4.5 Anatomic location##34#</v>
      </c>
      <c r="K19" s="14" t="str">
        <f t="shared" si="9"/>
        <v>* group[=].element[=].target.code = #Specimen.collection.bodySite</v>
      </c>
      <c r="L19" s="14" t="str">
        <f t="shared" si="10"/>
        <v>* group[=].element[=].target.display = ##34###34#</v>
      </c>
      <c r="M19" s="14" t="str">
        <f t="shared" si="11"/>
        <v>* group[=].element[=].target.equivalence = #relatedto</v>
      </c>
      <c r="N19" s="14" t="str">
        <f t="shared" si="12"/>
        <v/>
      </c>
      <c r="P19" s="9">
        <v>5</v>
      </c>
      <c r="Q19" s="9">
        <f t="shared" si="5"/>
        <v>0</v>
      </c>
      <c r="R19" s="9">
        <f t="shared" si="6"/>
        <v>5</v>
      </c>
      <c r="S19" s="14" t="str" cm="1">
        <f t="array" ref="S19">INDEX('Specimen-ConceptMap-1'!$I$15:$N$123,Q19+1,R19)</f>
        <v>* group[=].element[=].target.equivalence = #equivalent</v>
      </c>
    </row>
    <row r="20" spans="1:19" ht="44.25" x14ac:dyDescent="0.75">
      <c r="A20" s="23"/>
      <c r="B20" s="9" t="str">
        <f>'A.4 Specimen'!B13</f>
        <v>morphology</v>
      </c>
      <c r="C20" s="9" t="str">
        <f>'A.4 Specimen'!C13</f>
        <v>A.4.6 Morphology</v>
      </c>
      <c r="D20" s="14" t="s">
        <v>831</v>
      </c>
      <c r="E20" s="9"/>
      <c r="F20" s="75" t="s">
        <v>659</v>
      </c>
      <c r="G20" s="86" t="s">
        <v>830</v>
      </c>
      <c r="H20" s="76"/>
      <c r="I20" s="14" t="str">
        <f t="shared" si="7"/>
        <v>* group[=].element[+].code = #SpecimenLab.morphology</v>
      </c>
      <c r="J20" s="14" t="str">
        <f t="shared" si="8"/>
        <v>* group[=].element[=].display = ##34#A.4.6 Morphology##34#</v>
      </c>
      <c r="K20" s="14" t="str">
        <f t="shared" si="9"/>
        <v>* group[=].element[=].target.code = #Specimen.feature.type</v>
      </c>
      <c r="L20" s="14" t="str">
        <f t="shared" si="10"/>
        <v>* group[=].element[=].target.display = ##34###34#</v>
      </c>
      <c r="M20" s="14" t="str">
        <f t="shared" si="11"/>
        <v>* group[=].element[=].target.equivalence = #relatedto</v>
      </c>
      <c r="N20" s="14" t="str">
        <f t="shared" si="12"/>
        <v>* group[=].element[=].target.comment = ##34#to be checked. This is an R5 element##34#</v>
      </c>
      <c r="P20" s="9">
        <v>6</v>
      </c>
      <c r="Q20" s="9">
        <f t="shared" si="5"/>
        <v>0</v>
      </c>
      <c r="R20" s="9">
        <f t="shared" si="6"/>
        <v>6</v>
      </c>
      <c r="S20" s="14" t="str" cm="1">
        <f t="array" ref="S20">INDEX('Specimen-ConceptMap-1'!$I$15:$N$123,Q20+1,R20)</f>
        <v/>
      </c>
    </row>
    <row r="21" spans="1:19" ht="44.25" x14ac:dyDescent="0.75">
      <c r="A21" s="23"/>
      <c r="B21" s="9" t="str">
        <f>'A.4 Specimen'!B14</f>
        <v>sourceDevice</v>
      </c>
      <c r="C21" s="9" t="str">
        <f>'A.4 Specimen'!C14</f>
        <v>A.4.7 Source Device</v>
      </c>
      <c r="D21" s="14" t="s">
        <v>829</v>
      </c>
      <c r="E21" s="9"/>
      <c r="F21" s="75" t="s">
        <v>659</v>
      </c>
      <c r="G21" s="86" t="s">
        <v>830</v>
      </c>
      <c r="H21" s="76"/>
      <c r="I21" s="14" t="str">
        <f t="shared" si="7"/>
        <v>* group[=].element[+].code = #SpecimenLab.sourceDevice</v>
      </c>
      <c r="J21" s="14" t="str">
        <f t="shared" si="8"/>
        <v>* group[=].element[=].display = ##34#A.4.7 Source Device##34#</v>
      </c>
      <c r="K21" s="14" t="str">
        <f t="shared" si="9"/>
        <v>* group[=].element[=].target.code = #Specimen.collection.device</v>
      </c>
      <c r="L21" s="14" t="str">
        <f t="shared" si="10"/>
        <v>* group[=].element[=].target.display = ##34###34#</v>
      </c>
      <c r="M21" s="14" t="str">
        <f t="shared" si="11"/>
        <v>* group[=].element[=].target.equivalence = #relatedto</v>
      </c>
      <c r="N21" s="14" t="str">
        <f t="shared" si="12"/>
        <v>* group[=].element[=].target.comment = ##34#to be checked. This is an R5 element##34#</v>
      </c>
      <c r="P21" s="9">
        <v>7</v>
      </c>
      <c r="Q21" s="9">
        <f t="shared" si="5"/>
        <v>1</v>
      </c>
      <c r="R21" s="9">
        <f t="shared" si="6"/>
        <v>1</v>
      </c>
      <c r="S21" s="14" t="str" cm="1">
        <f t="array" ref="S21">INDEX('Specimen-ConceptMap-1'!$I$15:$N$123,Q21+1,R21)</f>
        <v>* group[=].element[+].code = #SpecimenLab.speciesType</v>
      </c>
    </row>
    <row r="22" spans="1:19" ht="44.25" x14ac:dyDescent="0.75">
      <c r="A22" s="23"/>
      <c r="B22" s="9" t="str">
        <f>'A.4 Specimen'!B15</f>
        <v>collectionMethod</v>
      </c>
      <c r="C22" s="9" t="str">
        <f>'A.4 Specimen'!C15</f>
        <v>A.4.8 Collection procedure/method</v>
      </c>
      <c r="D22" s="14" t="s">
        <v>832</v>
      </c>
      <c r="E22" s="9"/>
      <c r="F22" s="75" t="s">
        <v>658</v>
      </c>
      <c r="G22" s="75"/>
      <c r="H22" s="76"/>
      <c r="I22" s="14" t="str">
        <f t="shared" si="7"/>
        <v>* group[=].element[+].code = #SpecimenLab.collectionMethod</v>
      </c>
      <c r="J22" s="14" t="str">
        <f t="shared" si="8"/>
        <v>* group[=].element[=].display = ##34#A.4.8 Collection procedure/method##34#</v>
      </c>
      <c r="K22" s="14" t="str">
        <f t="shared" si="9"/>
        <v>* group[=].element[=].target.code = #Specimen.collection.method</v>
      </c>
      <c r="L22" s="14" t="str">
        <f t="shared" si="10"/>
        <v>* group[=].element[=].target.display = ##34###34#</v>
      </c>
      <c r="M22" s="14" t="str">
        <f t="shared" si="11"/>
        <v>* group[=].element[=].target.equivalence = #equivalent</v>
      </c>
      <c r="N22" s="14" t="str">
        <f t="shared" si="12"/>
        <v/>
      </c>
      <c r="P22" s="9">
        <v>8</v>
      </c>
      <c r="Q22" s="9">
        <f t="shared" si="5"/>
        <v>1</v>
      </c>
      <c r="R22" s="9">
        <f t="shared" si="6"/>
        <v>2</v>
      </c>
      <c r="S22" s="14" t="str" cm="1">
        <f t="array" ref="S22">INDEX('Specimen-ConceptMap-1'!$I$15:$N$123,Q22+1,R22)</f>
        <v>* group[=].element[=].display = ##34#A.4.2 Type of species##34#</v>
      </c>
    </row>
    <row r="23" spans="1:19" ht="29.5" customHeight="1" x14ac:dyDescent="0.75">
      <c r="A23" s="23"/>
      <c r="B23" s="9" t="str">
        <f>'A.4 Specimen'!B16</f>
        <v>receivedDateTime</v>
      </c>
      <c r="C23" s="9" t="str">
        <f>'A.4 Specimen'!C16</f>
        <v>A.4.9 Received date</v>
      </c>
      <c r="D23" s="14" t="s">
        <v>833</v>
      </c>
      <c r="E23" s="9"/>
      <c r="F23" s="75" t="s">
        <v>658</v>
      </c>
      <c r="G23" s="75"/>
      <c r="H23" s="76"/>
      <c r="I23" s="14" t="str">
        <f t="shared" si="7"/>
        <v>* group[=].element[+].code = #SpecimenLab.receivedDateTime</v>
      </c>
      <c r="J23" s="14" t="str">
        <f t="shared" si="8"/>
        <v>* group[=].element[=].display = ##34#A.4.9 Received date##34#</v>
      </c>
      <c r="K23" s="14" t="str">
        <f t="shared" si="9"/>
        <v>* group[=].element[=].target.code = #Specimen.receivedTime</v>
      </c>
      <c r="L23" s="14" t="str">
        <f t="shared" si="10"/>
        <v>* group[=].element[=].target.display = ##34###34#</v>
      </c>
      <c r="M23" s="14" t="str">
        <f t="shared" si="11"/>
        <v>* group[=].element[=].target.equivalence = #equivalent</v>
      </c>
      <c r="N23" s="14" t="str">
        <f t="shared" si="12"/>
        <v/>
      </c>
      <c r="P23" s="9">
        <v>9</v>
      </c>
      <c r="Q23" s="9">
        <f t="shared" si="5"/>
        <v>1</v>
      </c>
      <c r="R23" s="9">
        <f t="shared" si="6"/>
        <v>3</v>
      </c>
      <c r="S23" s="14" t="str" cm="1">
        <f t="array" ref="S23">INDEX('Specimen-ConceptMap-1'!$I$15:$N$123,Q23+1,R23)</f>
        <v>* group[=].element[=].target.code = #Specimen.type</v>
      </c>
    </row>
    <row r="24" spans="1:19" x14ac:dyDescent="0.75">
      <c r="A24" s="23"/>
      <c r="B24" s="9"/>
      <c r="C24" s="9"/>
      <c r="D24" s="14"/>
      <c r="E24" s="9"/>
      <c r="F24" s="75"/>
      <c r="G24" s="75"/>
      <c r="H24" s="76"/>
      <c r="I24" s="14"/>
      <c r="J24" s="14"/>
      <c r="K24" s="14"/>
      <c r="L24" s="14"/>
      <c r="M24" s="14"/>
      <c r="N24" s="14"/>
      <c r="P24" s="9">
        <v>10</v>
      </c>
      <c r="Q24" s="9">
        <f t="shared" si="5"/>
        <v>1</v>
      </c>
      <c r="R24" s="9">
        <f t="shared" si="6"/>
        <v>4</v>
      </c>
      <c r="S24" s="14" t="str" cm="1">
        <f t="array" ref="S24">INDEX('Specimen-ConceptMap-1'!$I$15:$N$123,Q24+1,R24)</f>
        <v>* group[=].element[=].target.display = ##34###34#</v>
      </c>
    </row>
    <row r="25" spans="1:19" x14ac:dyDescent="0.75">
      <c r="A25" s="23"/>
      <c r="B25" s="9"/>
      <c r="C25" s="9"/>
      <c r="D25" s="14"/>
      <c r="E25" s="14"/>
      <c r="F25" s="75"/>
      <c r="G25" s="75"/>
      <c r="H25" s="76"/>
      <c r="I25" s="14"/>
      <c r="J25" s="14"/>
      <c r="K25" s="14"/>
      <c r="L25" s="14"/>
      <c r="M25" s="14"/>
      <c r="N25" s="14"/>
      <c r="P25" s="9">
        <v>11</v>
      </c>
      <c r="Q25" s="9">
        <f t="shared" si="5"/>
        <v>1</v>
      </c>
      <c r="R25" s="9">
        <f t="shared" si="6"/>
        <v>5</v>
      </c>
      <c r="S25" s="14" t="str" cm="1">
        <f t="array" ref="S25">INDEX('Specimen-ConceptMap-1'!$I$15:$N$123,Q25+1,R25)</f>
        <v>* group[=].element[=].target.equivalence = #relatedto</v>
      </c>
    </row>
    <row r="26" spans="1:19" x14ac:dyDescent="0.75">
      <c r="A26" s="23"/>
      <c r="B26" s="9"/>
      <c r="C26" s="9"/>
      <c r="D26" s="14"/>
      <c r="E26" s="14"/>
      <c r="F26" s="75"/>
      <c r="G26" s="75"/>
      <c r="H26" s="76"/>
      <c r="I26" s="14"/>
      <c r="J26" s="14"/>
      <c r="K26" s="14"/>
      <c r="L26" s="14"/>
      <c r="M26" s="14"/>
      <c r="N26" s="14"/>
      <c r="P26" s="9">
        <v>12</v>
      </c>
      <c r="Q26" s="9">
        <f t="shared" si="5"/>
        <v>1</v>
      </c>
      <c r="R26" s="9">
        <f t="shared" si="6"/>
        <v>6</v>
      </c>
      <c r="S26" s="14" t="str" cm="1">
        <f t="array" ref="S26">INDEX('Specimen-ConceptMap-1'!$I$15:$N$123,Q26+1,R26)</f>
        <v>* group[=].element[=].target.comment = ##34#to be checked##34#</v>
      </c>
    </row>
    <row r="27" spans="1:19" x14ac:dyDescent="0.75">
      <c r="B27" s="9"/>
      <c r="C27" s="9"/>
      <c r="D27" s="14"/>
      <c r="E27" s="14"/>
      <c r="F27" s="75"/>
      <c r="G27" s="75"/>
      <c r="H27" s="76"/>
      <c r="I27" s="14"/>
      <c r="J27" s="14"/>
      <c r="K27" s="14"/>
      <c r="L27" s="14"/>
      <c r="M27" s="14"/>
      <c r="N27" s="14"/>
      <c r="P27" s="9">
        <v>13</v>
      </c>
      <c r="Q27" s="9">
        <f t="shared" si="5"/>
        <v>2</v>
      </c>
      <c r="R27" s="9">
        <f t="shared" si="6"/>
        <v>1</v>
      </c>
      <c r="S27" s="14" t="str" cm="1">
        <f t="array" ref="S27">INDEX('Specimen-ConceptMap-1'!$I$15:$N$123,Q27+1,R27)</f>
        <v>* group[=].element[+].code = #SpecimenLab.material</v>
      </c>
    </row>
    <row r="28" spans="1:19" x14ac:dyDescent="0.75">
      <c r="B28" s="9"/>
      <c r="C28" s="9"/>
      <c r="D28" s="14"/>
      <c r="E28" s="14"/>
      <c r="F28" s="75"/>
      <c r="G28" s="75"/>
      <c r="H28" s="76"/>
      <c r="I28" s="14"/>
      <c r="J28" s="14"/>
      <c r="K28" s="14"/>
      <c r="L28" s="14"/>
      <c r="M28" s="14"/>
      <c r="N28" s="14"/>
      <c r="P28" s="9">
        <v>14</v>
      </c>
      <c r="Q28" s="9">
        <f t="shared" si="5"/>
        <v>2</v>
      </c>
      <c r="R28" s="9">
        <f t="shared" si="6"/>
        <v>2</v>
      </c>
      <c r="S28" s="14" t="str" cm="1">
        <f t="array" ref="S28">INDEX('Specimen-ConceptMap-1'!$I$15:$N$123,Q28+1,R28)</f>
        <v>* group[=].element[=].display = ##34#A.4.3 Material##34#</v>
      </c>
    </row>
    <row r="29" spans="1:19" ht="29.5" x14ac:dyDescent="0.75">
      <c r="B29" s="9"/>
      <c r="C29" s="9"/>
      <c r="D29" s="14"/>
      <c r="E29" s="14"/>
      <c r="F29" s="75"/>
      <c r="G29" s="75"/>
      <c r="H29" s="76"/>
      <c r="I29" s="14"/>
      <c r="J29" s="14"/>
      <c r="K29" s="14"/>
      <c r="L29" s="14"/>
      <c r="M29" s="14"/>
      <c r="N29" s="14"/>
      <c r="P29" s="9">
        <v>15</v>
      </c>
      <c r="Q29" s="9">
        <f t="shared" si="5"/>
        <v>2</v>
      </c>
      <c r="R29" s="9">
        <f t="shared" si="6"/>
        <v>3</v>
      </c>
      <c r="S29" s="14" t="str" cm="1">
        <f t="array" ref="S29">INDEX('Specimen-ConceptMap-1'!$I$15:$N$123,Q29+1,R29)</f>
        <v>* group[=].element[=].target.code = #Specimen.type</v>
      </c>
    </row>
    <row r="30" spans="1:19" x14ac:dyDescent="0.75">
      <c r="B30" s="9"/>
      <c r="C30" s="9"/>
      <c r="D30" s="14"/>
      <c r="E30" s="14"/>
      <c r="F30" s="75"/>
      <c r="G30" s="75"/>
      <c r="H30" s="76"/>
      <c r="I30" s="14"/>
      <c r="J30" s="14"/>
      <c r="K30" s="14"/>
      <c r="L30" s="14"/>
      <c r="M30" s="14"/>
      <c r="N30" s="14"/>
      <c r="P30" s="9">
        <v>16</v>
      </c>
      <c r="Q30" s="9">
        <f t="shared" si="5"/>
        <v>2</v>
      </c>
      <c r="R30" s="9">
        <f t="shared" si="6"/>
        <v>4</v>
      </c>
      <c r="S30" s="14" t="str" cm="1">
        <f t="array" ref="S30">INDEX('Specimen-ConceptMap-1'!$I$15:$N$123,Q30+1,R30)</f>
        <v>* group[=].element[=].target.display = ##34###34#</v>
      </c>
    </row>
    <row r="31" spans="1:19" x14ac:dyDescent="0.75">
      <c r="B31" s="9"/>
      <c r="C31" s="9"/>
      <c r="D31" s="14"/>
      <c r="E31" s="14"/>
      <c r="F31" s="75"/>
      <c r="G31" s="75"/>
      <c r="H31" s="76"/>
      <c r="I31" s="14"/>
      <c r="J31" s="14"/>
      <c r="K31" s="14"/>
      <c r="L31" s="14"/>
      <c r="M31" s="14"/>
      <c r="N31" s="14"/>
      <c r="P31" s="9">
        <v>17</v>
      </c>
      <c r="Q31" s="9">
        <f t="shared" si="5"/>
        <v>2</v>
      </c>
      <c r="R31" s="9">
        <f t="shared" si="6"/>
        <v>5</v>
      </c>
      <c r="S31" s="14" t="str" cm="1">
        <f t="array" ref="S31">INDEX('Specimen-ConceptMap-1'!$I$15:$N$123,Q31+1,R31)</f>
        <v>* group[=].element[=].target.equivalence = #relatedto</v>
      </c>
    </row>
    <row r="32" spans="1:19" x14ac:dyDescent="0.75">
      <c r="B32" s="9"/>
      <c r="C32" s="9"/>
      <c r="D32" s="14"/>
      <c r="E32" s="14"/>
      <c r="F32" s="75"/>
      <c r="G32" s="75"/>
      <c r="H32" s="76"/>
      <c r="I32" s="14"/>
      <c r="J32" s="14"/>
      <c r="K32" s="14"/>
      <c r="L32" s="14"/>
      <c r="M32" s="14"/>
      <c r="N32" s="14"/>
      <c r="P32" s="9">
        <v>18</v>
      </c>
      <c r="Q32" s="9">
        <f t="shared" si="5"/>
        <v>2</v>
      </c>
      <c r="R32" s="9">
        <f t="shared" si="6"/>
        <v>6</v>
      </c>
      <c r="S32" s="14" t="str" cm="1">
        <f t="array" ref="S32">INDEX('Specimen-ConceptMap-1'!$I$15:$N$123,Q32+1,R32)</f>
        <v>* group[=].element[=].target.comment = ##34#to be checked##34#</v>
      </c>
    </row>
    <row r="33" spans="1:19" x14ac:dyDescent="0.75">
      <c r="B33" s="9"/>
      <c r="C33" s="9"/>
      <c r="D33" s="14"/>
      <c r="E33" s="14"/>
      <c r="F33" s="75"/>
      <c r="G33" s="75"/>
      <c r="H33" s="76"/>
      <c r="I33" s="14"/>
      <c r="J33" s="14"/>
      <c r="K33" s="14"/>
      <c r="L33" s="14"/>
      <c r="M33" s="14"/>
      <c r="N33" s="14"/>
      <c r="P33" s="9">
        <v>19</v>
      </c>
      <c r="Q33" s="9">
        <f t="shared" si="5"/>
        <v>3</v>
      </c>
      <c r="R33" s="9">
        <f t="shared" si="6"/>
        <v>1</v>
      </c>
      <c r="S33" s="14" t="str" cm="1">
        <f t="array" ref="S33">INDEX('Specimen-ConceptMap-1'!$I$15:$N$123,Q33+1,R33)</f>
        <v>* group[=].element[+].code = #SpecimenLab.collected</v>
      </c>
    </row>
    <row r="34" spans="1:19" x14ac:dyDescent="0.75">
      <c r="B34" s="9"/>
      <c r="C34" s="9"/>
      <c r="D34" s="14"/>
      <c r="E34" s="14"/>
      <c r="F34" s="75"/>
      <c r="G34" s="75"/>
      <c r="H34" s="76"/>
      <c r="I34" s="14"/>
      <c r="J34" s="14"/>
      <c r="K34" s="14"/>
      <c r="L34" s="14"/>
      <c r="M34" s="14"/>
      <c r="N34" s="1"/>
      <c r="P34" s="9">
        <v>20</v>
      </c>
      <c r="Q34" s="9">
        <f t="shared" si="5"/>
        <v>3</v>
      </c>
      <c r="R34" s="9">
        <f t="shared" si="6"/>
        <v>2</v>
      </c>
      <c r="S34" s="14" t="str" cm="1">
        <f t="array" ref="S34">INDEX('Specimen-ConceptMap-1'!$I$15:$N$123,Q34+1,R34)</f>
        <v>* group[=].element[=].display = ##34#A.4.4 Collection period##34#</v>
      </c>
    </row>
    <row r="35" spans="1:19" x14ac:dyDescent="0.75">
      <c r="B35" s="9"/>
      <c r="C35" s="9"/>
      <c r="D35" s="14"/>
      <c r="E35" s="14"/>
      <c r="F35" s="75"/>
      <c r="G35" s="75"/>
      <c r="H35" s="76"/>
      <c r="I35" s="14"/>
      <c r="J35" s="14"/>
      <c r="K35" s="14"/>
      <c r="L35" s="14"/>
      <c r="M35" s="14"/>
      <c r="N35" s="1"/>
      <c r="P35" s="9">
        <v>21</v>
      </c>
      <c r="Q35" s="9">
        <f t="shared" si="5"/>
        <v>3</v>
      </c>
      <c r="R35" s="9">
        <f t="shared" si="6"/>
        <v>3</v>
      </c>
      <c r="S35" s="14" t="str" cm="1">
        <f t="array" ref="S35">INDEX('Specimen-ConceptMap-1'!$I$15:$N$123,Q35+1,R35)</f>
        <v>* group[=].element[=].target.code = #Specimen.collection.collected[x]</v>
      </c>
    </row>
    <row r="36" spans="1:19" x14ac:dyDescent="0.75">
      <c r="B36" s="9"/>
      <c r="C36" s="9"/>
      <c r="D36" s="14"/>
      <c r="E36" s="14"/>
      <c r="F36" s="75"/>
      <c r="G36" s="75"/>
      <c r="H36" s="76"/>
      <c r="I36" s="14"/>
      <c r="J36" s="14"/>
      <c r="K36" s="14"/>
      <c r="L36" s="14"/>
      <c r="M36" s="14"/>
      <c r="N36" s="1"/>
      <c r="P36" s="9">
        <v>22</v>
      </c>
      <c r="Q36" s="9">
        <f t="shared" si="5"/>
        <v>3</v>
      </c>
      <c r="R36" s="9">
        <f t="shared" si="6"/>
        <v>4</v>
      </c>
      <c r="S36" s="14" t="str" cm="1">
        <f t="array" ref="S36">INDEX('Specimen-ConceptMap-1'!$I$15:$N$123,Q36+1,R36)</f>
        <v>* group[=].element[=].target.display = ##34###34#</v>
      </c>
    </row>
    <row r="37" spans="1:19" x14ac:dyDescent="0.75">
      <c r="B37" s="9"/>
      <c r="C37" s="9"/>
      <c r="D37" s="14"/>
      <c r="E37" s="14"/>
      <c r="F37" s="75"/>
      <c r="G37" s="75"/>
      <c r="H37" s="76"/>
      <c r="K37" s="76"/>
      <c r="L37" s="76"/>
      <c r="M37" s="74"/>
      <c r="N37" s="74"/>
      <c r="P37" s="9">
        <v>23</v>
      </c>
      <c r="Q37" s="9">
        <f t="shared" si="5"/>
        <v>3</v>
      </c>
      <c r="R37" s="9">
        <f t="shared" si="6"/>
        <v>5</v>
      </c>
      <c r="S37" s="14" t="str" cm="1">
        <f t="array" ref="S37">INDEX('Specimen-ConceptMap-1'!$I$15:$N$123,Q37+1,R37)</f>
        <v>* group[=].element[=].target.equivalence = #equivalent</v>
      </c>
    </row>
    <row r="38" spans="1:19" x14ac:dyDescent="0.75">
      <c r="B38" s="9"/>
      <c r="C38" s="9"/>
      <c r="D38" s="14"/>
      <c r="E38" s="14"/>
      <c r="F38" s="75"/>
      <c r="G38" s="75"/>
      <c r="H38" s="76"/>
      <c r="K38" s="76"/>
      <c r="L38" s="76"/>
      <c r="M38" s="74"/>
      <c r="N38" s="74"/>
      <c r="P38" s="9">
        <v>24</v>
      </c>
      <c r="Q38" s="9">
        <f t="shared" si="5"/>
        <v>3</v>
      </c>
      <c r="R38" s="9">
        <f t="shared" si="6"/>
        <v>6</v>
      </c>
      <c r="S38" s="14" t="str" cm="1">
        <f t="array" ref="S38">INDEX('Specimen-ConceptMap-1'!$I$15:$N$123,Q38+1,R38)</f>
        <v/>
      </c>
    </row>
    <row r="39" spans="1:19" s="1" customFormat="1" x14ac:dyDescent="0.75">
      <c r="A39"/>
      <c r="B39" s="9"/>
      <c r="C39" s="9"/>
      <c r="D39" s="14"/>
      <c r="E39" s="14"/>
      <c r="F39" s="75"/>
      <c r="G39" s="76"/>
      <c r="H39" s="76"/>
      <c r="J39"/>
      <c r="K39" s="76"/>
      <c r="L39" s="76"/>
      <c r="M39" s="74"/>
      <c r="N39" s="74"/>
      <c r="P39" s="9">
        <v>25</v>
      </c>
      <c r="Q39" s="9">
        <f t="shared" si="5"/>
        <v>4</v>
      </c>
      <c r="R39" s="9">
        <f t="shared" si="6"/>
        <v>1</v>
      </c>
      <c r="S39" s="14" t="str" cm="1">
        <f t="array" ref="S39">INDEX('Specimen-ConceptMap-1'!$I$15:$N$123,Q39+1,R39)</f>
        <v>* group[=].element[+].code = #SpecimenLab.anatomicLocation</v>
      </c>
    </row>
    <row r="40" spans="1:19" s="1" customFormat="1" x14ac:dyDescent="0.75">
      <c r="A40"/>
      <c r="B40" s="9"/>
      <c r="C40" s="9"/>
      <c r="D40" s="60"/>
      <c r="F40" s="76"/>
      <c r="G40" s="76"/>
      <c r="H40" s="76"/>
      <c r="J40"/>
      <c r="K40" s="76"/>
      <c r="L40" s="76"/>
      <c r="M40" s="74"/>
      <c r="N40" s="74"/>
      <c r="P40" s="9">
        <v>26</v>
      </c>
      <c r="Q40" s="9">
        <f t="shared" si="5"/>
        <v>4</v>
      </c>
      <c r="R40" s="9">
        <f t="shared" si="6"/>
        <v>2</v>
      </c>
      <c r="S40" s="14" t="str" cm="1">
        <f t="array" ref="S40">INDEX('Specimen-ConceptMap-1'!$I$15:$N$123,Q40+1,R40)</f>
        <v>* group[=].element[=].display = ##34#A.4.5 Anatomic location##34#</v>
      </c>
    </row>
    <row r="41" spans="1:19" s="1" customFormat="1" x14ac:dyDescent="0.75">
      <c r="A41"/>
      <c r="B41" s="9"/>
      <c r="C41" s="9"/>
      <c r="F41" s="76"/>
      <c r="G41" s="76"/>
      <c r="H41" s="76"/>
      <c r="J41"/>
      <c r="K41" s="76"/>
      <c r="L41" s="76"/>
      <c r="M41" s="74"/>
      <c r="N41" s="74"/>
      <c r="P41" s="9">
        <v>27</v>
      </c>
      <c r="Q41" s="9">
        <f t="shared" si="5"/>
        <v>4</v>
      </c>
      <c r="R41" s="9">
        <f t="shared" si="6"/>
        <v>3</v>
      </c>
      <c r="S41" s="14" t="str" cm="1">
        <f t="array" ref="S41">INDEX('Specimen-ConceptMap-1'!$I$15:$N$123,Q41+1,R41)</f>
        <v>* group[=].element[=].target.code = #Specimen.collection.bodySite</v>
      </c>
    </row>
    <row r="42" spans="1:19" s="1" customFormat="1" x14ac:dyDescent="0.75">
      <c r="A42"/>
      <c r="B42" s="9"/>
      <c r="C42" s="9"/>
      <c r="F42" s="76"/>
      <c r="G42" s="76"/>
      <c r="H42" s="76"/>
      <c r="J42" s="76"/>
      <c r="K42" s="76"/>
      <c r="L42" s="76"/>
      <c r="M42" s="74"/>
      <c r="N42" s="74"/>
      <c r="P42" s="9">
        <v>28</v>
      </c>
      <c r="Q42" s="9">
        <f t="shared" si="5"/>
        <v>4</v>
      </c>
      <c r="R42" s="9">
        <f t="shared" si="6"/>
        <v>4</v>
      </c>
      <c r="S42" s="14" t="str" cm="1">
        <f t="array" ref="S42">INDEX('Specimen-ConceptMap-1'!$I$15:$N$123,Q42+1,R42)</f>
        <v>* group[=].element[=].target.display = ##34###34#</v>
      </c>
    </row>
    <row r="43" spans="1:19" s="1" customFormat="1" x14ac:dyDescent="0.75">
      <c r="A43"/>
      <c r="B43" s="9"/>
      <c r="C43" s="9"/>
      <c r="F43" s="76"/>
      <c r="G43" s="76"/>
      <c r="H43" s="76"/>
      <c r="J43" s="76"/>
      <c r="K43" s="76"/>
      <c r="L43" s="76"/>
      <c r="M43" s="74"/>
      <c r="N43" s="74"/>
      <c r="P43" s="9">
        <v>29</v>
      </c>
      <c r="Q43" s="9">
        <f t="shared" si="5"/>
        <v>4</v>
      </c>
      <c r="R43" s="9">
        <f t="shared" si="6"/>
        <v>5</v>
      </c>
      <c r="S43" s="14" t="str" cm="1">
        <f t="array" ref="S43">INDEX('Specimen-ConceptMap-1'!$I$15:$N$123,Q43+1,R43)</f>
        <v>* group[=].element[=].target.equivalence = #relatedto</v>
      </c>
    </row>
    <row r="44" spans="1:19" x14ac:dyDescent="0.75">
      <c r="P44" s="9">
        <v>30</v>
      </c>
      <c r="Q44" s="9">
        <f t="shared" si="5"/>
        <v>4</v>
      </c>
      <c r="R44" s="9">
        <f t="shared" si="6"/>
        <v>6</v>
      </c>
      <c r="S44" s="14" t="str" cm="1">
        <f t="array" ref="S44">INDEX('Specimen-ConceptMap-1'!$I$15:$N$123,Q44+1,R44)</f>
        <v/>
      </c>
    </row>
    <row r="45" spans="1:19" x14ac:dyDescent="0.75">
      <c r="P45" s="9">
        <v>31</v>
      </c>
      <c r="Q45" s="9">
        <f t="shared" si="5"/>
        <v>5</v>
      </c>
      <c r="R45" s="9">
        <f t="shared" si="6"/>
        <v>1</v>
      </c>
      <c r="S45" s="14" t="str" cm="1">
        <f t="array" ref="S45">INDEX('Specimen-ConceptMap-1'!$I$15:$N$123,Q45+1,R45)</f>
        <v>* group[=].element[+].code = #SpecimenLab.morphology</v>
      </c>
    </row>
    <row r="46" spans="1:19" x14ac:dyDescent="0.75">
      <c r="P46" s="9">
        <v>32</v>
      </c>
      <c r="Q46" s="9">
        <f t="shared" si="5"/>
        <v>5</v>
      </c>
      <c r="R46" s="9">
        <f t="shared" si="6"/>
        <v>2</v>
      </c>
      <c r="S46" s="14" t="str" cm="1">
        <f t="array" ref="S46">INDEX('Specimen-ConceptMap-1'!$I$15:$N$123,Q46+1,R46)</f>
        <v>* group[=].element[=].display = ##34#A.4.6 Morphology##34#</v>
      </c>
    </row>
    <row r="47" spans="1:19" x14ac:dyDescent="0.75">
      <c r="P47" s="9">
        <v>33</v>
      </c>
      <c r="Q47" s="9">
        <f t="shared" si="5"/>
        <v>5</v>
      </c>
      <c r="R47" s="9">
        <f t="shared" si="6"/>
        <v>3</v>
      </c>
      <c r="S47" s="14" t="str" cm="1">
        <f t="array" ref="S47">INDEX('Specimen-ConceptMap-1'!$I$15:$N$123,Q47+1,R47)</f>
        <v>* group[=].element[=].target.code = #Specimen.feature.type</v>
      </c>
    </row>
    <row r="48" spans="1:19" x14ac:dyDescent="0.75">
      <c r="P48" s="9">
        <v>34</v>
      </c>
      <c r="Q48" s="9">
        <f t="shared" si="5"/>
        <v>5</v>
      </c>
      <c r="R48" s="9">
        <f t="shared" si="6"/>
        <v>4</v>
      </c>
      <c r="S48" s="14" t="str" cm="1">
        <f t="array" ref="S48">INDEX('Specimen-ConceptMap-1'!$I$15:$N$123,Q48+1,R48)</f>
        <v>* group[=].element[=].target.display = ##34###34#</v>
      </c>
    </row>
    <row r="49" spans="16:19" x14ac:dyDescent="0.75">
      <c r="P49" s="9">
        <v>35</v>
      </c>
      <c r="Q49" s="9">
        <f t="shared" si="5"/>
        <v>5</v>
      </c>
      <c r="R49" s="9">
        <f t="shared" si="6"/>
        <v>5</v>
      </c>
      <c r="S49" s="14" t="str" cm="1">
        <f t="array" ref="S49">INDEX('Specimen-ConceptMap-1'!$I$15:$N$123,Q49+1,R49)</f>
        <v>* group[=].element[=].target.equivalence = #relatedto</v>
      </c>
    </row>
    <row r="50" spans="16:19" ht="29.5" x14ac:dyDescent="0.75">
      <c r="P50" s="9">
        <v>36</v>
      </c>
      <c r="Q50" s="9">
        <f t="shared" si="5"/>
        <v>5</v>
      </c>
      <c r="R50" s="9">
        <f t="shared" si="6"/>
        <v>6</v>
      </c>
      <c r="S50" s="14" t="str" cm="1">
        <f t="array" ref="S50">INDEX('Specimen-ConceptMap-1'!$I$15:$N$123,Q50+1,R50)</f>
        <v>* group[=].element[=].target.comment = ##34#to be checked. This is an R5 element##34#</v>
      </c>
    </row>
    <row r="51" spans="16:19" x14ac:dyDescent="0.75">
      <c r="P51" s="9">
        <v>37</v>
      </c>
      <c r="Q51" s="9">
        <f t="shared" si="5"/>
        <v>6</v>
      </c>
      <c r="R51" s="9">
        <f t="shared" si="6"/>
        <v>1</v>
      </c>
      <c r="S51" s="14" t="str" cm="1">
        <f t="array" ref="S51">INDEX('Specimen-ConceptMap-1'!$I$15:$N$123,Q51+1,R51)</f>
        <v>* group[=].element[+].code = #SpecimenLab.sourceDevice</v>
      </c>
    </row>
    <row r="52" spans="16:19" x14ac:dyDescent="0.75">
      <c r="P52" s="9">
        <v>38</v>
      </c>
      <c r="Q52" s="9">
        <f t="shared" si="5"/>
        <v>6</v>
      </c>
      <c r="R52" s="9">
        <f t="shared" si="6"/>
        <v>2</v>
      </c>
      <c r="S52" s="14" t="str" cm="1">
        <f t="array" ref="S52">INDEX('Specimen-ConceptMap-1'!$I$15:$N$123,Q52+1,R52)</f>
        <v>* group[=].element[=].display = ##34#A.4.7 Source Device##34#</v>
      </c>
    </row>
  </sheetData>
  <mergeCells count="2">
    <mergeCell ref="E6:G6"/>
    <mergeCell ref="E7:G7"/>
  </mergeCells>
  <hyperlinks>
    <hyperlink ref="E3" r:id="rId1" display="http://hl7.eu/fhir/laboratory/StructureDefinition/Author" xr:uid="{3422F59E-2CD3-41F7-9B9D-DB52DF36E853}"/>
    <hyperlink ref="E6" r:id="rId2" display="http://hl7.eu/fhir/laboratory/StructureDefinition/Author" xr:uid="{890BCAF3-0B20-4B60-8B4B-23FB50C815CC}"/>
    <hyperlink ref="E7" r:id="rId3" xr:uid="{8CAEC037-B99B-4D92-BE3D-A3BBC7EBF90C}"/>
  </hyperlinks>
  <pageMargins left="0.7" right="0.7" top="0.75" bottom="0.75" header="0.3" footer="0.3"/>
</worksheet>
</file>

<file path=xl/worksheets/sheet5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50EC21-36F6-4355-AC49-4DE7B8426AF1}">
  <sheetPr codeName="Foglio59">
    <tabColor theme="0" tint="-0.34998626667073579"/>
  </sheetPr>
  <dimension ref="B1:G59"/>
  <sheetViews>
    <sheetView workbookViewId="0">
      <selection activeCell="C7" sqref="C7:C10"/>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2" t="s">
        <v>37</v>
      </c>
    </row>
    <row r="2" spans="2:7" ht="16.75" thickBot="1" x14ac:dyDescent="0.9">
      <c r="B2" s="33" t="s">
        <v>661</v>
      </c>
      <c r="G2" s="56" t="s">
        <v>834</v>
      </c>
    </row>
    <row r="3" spans="2:7" x14ac:dyDescent="0.75">
      <c r="B3" s="33" t="s">
        <v>37</v>
      </c>
    </row>
    <row r="4" spans="2:7" x14ac:dyDescent="0.75">
      <c r="B4" s="77" t="str">
        <f>"Instance: "&amp;'Specimen-ConceptMap-1'!C4</f>
        <v>Instance: ConceptMap-eu-specimen2FHIR</v>
      </c>
    </row>
    <row r="5" spans="2:7" x14ac:dyDescent="0.75">
      <c r="B5" s="77" t="s">
        <v>662</v>
      </c>
    </row>
    <row r="6" spans="2:7" x14ac:dyDescent="0.75">
      <c r="B6" s="77" t="s">
        <v>663</v>
      </c>
    </row>
    <row r="7" spans="2:7" x14ac:dyDescent="0.75">
      <c r="B7" s="77" t="s">
        <v>677</v>
      </c>
    </row>
    <row r="8" spans="2:7" x14ac:dyDescent="0.75">
      <c r="B8" s="77" t="str">
        <f>"* name = ##34#"&amp;'Specimen-ConceptMap-1'!C3&amp;"##34#"</f>
        <v>* name = ##34#Specimen2Fhir##34#</v>
      </c>
    </row>
    <row r="9" spans="2:7" x14ac:dyDescent="0.75">
      <c r="B9" s="77" t="str">
        <f>"* title = ##34#"&amp;'Specimen-ConceptMap-1'!C5&amp;"##34#"</f>
        <v>* title = ##34#eHN Specimen to this guide Map##34#</v>
      </c>
    </row>
    <row r="10" spans="2:7" x14ac:dyDescent="0.75">
      <c r="B10" s="77" t="s">
        <v>664</v>
      </c>
    </row>
    <row r="11" spans="2:7" x14ac:dyDescent="0.75">
      <c r="B11" s="77" t="s">
        <v>665</v>
      </c>
    </row>
    <row r="12" spans="2:7" x14ac:dyDescent="0.75">
      <c r="B12" s="77" t="str">
        <f>"* description = ##34#"&amp;'Specimen-ConceptMap-1'!C8&amp;"##34#"</f>
        <v>* description = ##34#eHN Specimen Model to this guide Map##34#</v>
      </c>
    </row>
    <row r="13" spans="2:7" x14ac:dyDescent="0.75">
      <c r="B13" s="77" t="str">
        <f>"* purpose = ##34#"&amp;'Specimen-ConceptMap-1'!C9&amp;"##34#"</f>
        <v>* purpose = ##34#It shows how the Specimen data set defined by the EU eHN guidelines is mapped into this guide##34#</v>
      </c>
    </row>
    <row r="14" spans="2:7" x14ac:dyDescent="0.75">
      <c r="B14" s="78" t="str">
        <f>"* sourceUri = ##34#"&amp;'Specimen-ConceptMap-1'!E3&amp;"##34#"</f>
        <v>* sourceUri = ##34#http://hl7.eu/fhir/laboratory/StructureDefinition/SpecimenLab##34#</v>
      </c>
    </row>
    <row r="15" spans="2:7" x14ac:dyDescent="0.75">
      <c r="B15" s="78" t="str">
        <f>"* targetUri = ##34#"&amp;'Specimen-ConceptMap-1'!E4&amp;"##34#"</f>
        <v>* targetUri = ##34#http://hl7.eu/fhir/laboratory/StructureDefinition/Bundle-eu-lab##34#</v>
      </c>
    </row>
    <row r="16" spans="2:7" x14ac:dyDescent="0.75">
      <c r="B16" s="79" t="str">
        <f>"* group[+].source = ##34#"&amp;'Specimen-ConceptMap-1'!E6&amp;"##34#"</f>
        <v>* group[+].source = ##34#http://hl7.eu/fhir/laboratory/StructureDefinition/SpecimenLab##34#</v>
      </c>
    </row>
    <row r="17" spans="2:7" x14ac:dyDescent="0.75">
      <c r="B17" s="79" t="str">
        <f>"* group[=].target = ##34#"&amp;'Specimen-ConceptMap-1'!E7&amp;"##34#"</f>
        <v>* group[=].target = ##34#http://hl7.eu/fhir/laboratory/StructureDefinition/Specimen-eu-lab##34#</v>
      </c>
    </row>
    <row r="18" spans="2:7" x14ac:dyDescent="0.75">
      <c r="B18" s="81"/>
    </row>
    <row r="19" spans="2:7" x14ac:dyDescent="0.75">
      <c r="B19" s="14" t="str">
        <f>IF('Specimen-ConceptMap-1'!S15=0,"//---END",'Specimen-ConceptMap-1'!S15)</f>
        <v>* group[=].element[+].code = #SpecimenLab.identifier</v>
      </c>
    </row>
    <row r="20" spans="2:7" x14ac:dyDescent="0.75">
      <c r="B20" s="14" t="str">
        <f>IF('Specimen-ConceptMap-1'!S16=0,"//---END",'Specimen-ConceptMap-1'!S16)</f>
        <v>* group[=].element[=].display = ##34#A.4.1 Specimen identifier##34#</v>
      </c>
    </row>
    <row r="21" spans="2:7" x14ac:dyDescent="0.75">
      <c r="B21" s="14" t="str">
        <f>IF('Specimen-ConceptMap-1'!S17=0,"//---END",'Specimen-ConceptMap-1'!S17)</f>
        <v>* group[=].element[=].target.code = #Specimen.identifier</v>
      </c>
    </row>
    <row r="22" spans="2:7" x14ac:dyDescent="0.75">
      <c r="B22" s="14" t="str">
        <f>IF('Specimen-ConceptMap-1'!S18=0,"//---END",'Specimen-ConceptMap-1'!S18)</f>
        <v>* group[=].element[=].target.display = ##34###34#</v>
      </c>
    </row>
    <row r="23" spans="2:7" x14ac:dyDescent="0.75">
      <c r="B23" s="14" t="str">
        <f>IF('Specimen-ConceptMap-1'!S19=0,"//---END",'Specimen-ConceptMap-1'!S19)</f>
        <v>* group[=].element[=].target.equivalence = #equivalent</v>
      </c>
    </row>
    <row r="24" spans="2:7" x14ac:dyDescent="0.75">
      <c r="B24" s="14" t="str">
        <f>IF('Specimen-ConceptMap-1'!S20=0,"//---END",'Specimen-ConceptMap-1'!S20)</f>
        <v/>
      </c>
      <c r="G24" s="10"/>
    </row>
    <row r="25" spans="2:7" x14ac:dyDescent="0.75">
      <c r="B25" s="14" t="str">
        <f>IF('Specimen-ConceptMap-1'!S21=0,"//---END",'Specimen-ConceptMap-1'!S21)</f>
        <v>* group[=].element[+].code = #SpecimenLab.speciesType</v>
      </c>
    </row>
    <row r="26" spans="2:7" x14ac:dyDescent="0.75">
      <c r="B26" s="14" t="str">
        <f>IF('Specimen-ConceptMap-1'!S22=0,"//---END",'Specimen-ConceptMap-1'!S22)</f>
        <v>* group[=].element[=].display = ##34#A.4.2 Type of species##34#</v>
      </c>
    </row>
    <row r="27" spans="2:7" x14ac:dyDescent="0.75">
      <c r="B27" s="14" t="str">
        <f>IF('Specimen-ConceptMap-1'!S23=0,"//---END",'Specimen-ConceptMap-1'!S23)</f>
        <v>* group[=].element[=].target.code = #Specimen.type</v>
      </c>
    </row>
    <row r="28" spans="2:7" x14ac:dyDescent="0.75">
      <c r="B28" s="14" t="str">
        <f>IF('Specimen-ConceptMap-1'!S24=0,"//---END",'Specimen-ConceptMap-1'!S24)</f>
        <v>* group[=].element[=].target.display = ##34###34#</v>
      </c>
    </row>
    <row r="29" spans="2:7" x14ac:dyDescent="0.75">
      <c r="B29" s="14" t="str">
        <f>IF('Specimen-ConceptMap-1'!S25=0,"//---END",'Specimen-ConceptMap-1'!S25)</f>
        <v>* group[=].element[=].target.equivalence = #relatedto</v>
      </c>
    </row>
    <row r="30" spans="2:7" x14ac:dyDescent="0.75">
      <c r="B30" s="14" t="str">
        <f>IF('Specimen-ConceptMap-1'!S26=0,"//---END",'Specimen-ConceptMap-1'!S26)</f>
        <v>* group[=].element[=].target.comment = ##34#to be checked##34#</v>
      </c>
    </row>
    <row r="31" spans="2:7" x14ac:dyDescent="0.75">
      <c r="B31" s="14" t="str">
        <f>IF('Specimen-ConceptMap-1'!S27=0,"//---END",'Specimen-ConceptMap-1'!S27)</f>
        <v>* group[=].element[+].code = #SpecimenLab.material</v>
      </c>
    </row>
    <row r="32" spans="2:7" x14ac:dyDescent="0.75">
      <c r="B32" s="14" t="str">
        <f>IF('Specimen-ConceptMap-1'!S28=0,"//---END",'Specimen-ConceptMap-1'!S28)</f>
        <v>* group[=].element[=].display = ##34#A.4.3 Material##34#</v>
      </c>
    </row>
    <row r="33" spans="2:2" x14ac:dyDescent="0.75">
      <c r="B33" s="14" t="str">
        <f>IF('Specimen-ConceptMap-1'!S29=0,"//---END",'Specimen-ConceptMap-1'!S29)</f>
        <v>* group[=].element[=].target.code = #Specimen.type</v>
      </c>
    </row>
    <row r="34" spans="2:2" x14ac:dyDescent="0.75">
      <c r="B34" s="14" t="str">
        <f>IF('Specimen-ConceptMap-1'!S30=0,"//---END",'Specimen-ConceptMap-1'!S30)</f>
        <v>* group[=].element[=].target.display = ##34###34#</v>
      </c>
    </row>
    <row r="35" spans="2:2" x14ac:dyDescent="0.75">
      <c r="B35" s="14" t="str">
        <f>IF('Specimen-ConceptMap-1'!S31=0,"//---END",'Specimen-ConceptMap-1'!S31)</f>
        <v>* group[=].element[=].target.equivalence = #relatedto</v>
      </c>
    </row>
    <row r="36" spans="2:2" x14ac:dyDescent="0.75">
      <c r="B36" s="14" t="str">
        <f>IF('Specimen-ConceptMap-1'!S32=0,"//---END",'Specimen-ConceptMap-1'!S32)</f>
        <v>* group[=].element[=].target.comment = ##34#to be checked##34#</v>
      </c>
    </row>
    <row r="37" spans="2:2" x14ac:dyDescent="0.75">
      <c r="B37" s="14" t="str">
        <f>IF('Specimen-ConceptMap-1'!S33=0,"//---END",'Specimen-ConceptMap-1'!S33)</f>
        <v>* group[=].element[+].code = #SpecimenLab.collected</v>
      </c>
    </row>
    <row r="38" spans="2:2" x14ac:dyDescent="0.75">
      <c r="B38" s="14" t="str">
        <f>IF('Specimen-ConceptMap-1'!S34=0,"//---END",'Specimen-ConceptMap-1'!S34)</f>
        <v>* group[=].element[=].display = ##34#A.4.4 Collection period##34#</v>
      </c>
    </row>
    <row r="39" spans="2:2" x14ac:dyDescent="0.75">
      <c r="B39" s="14" t="str">
        <f>IF('Specimen-ConceptMap-1'!S35=0,"//---END",'Specimen-ConceptMap-1'!S35)</f>
        <v>* group[=].element[=].target.code = #Specimen.collection.collected[x]</v>
      </c>
    </row>
    <row r="40" spans="2:2" x14ac:dyDescent="0.75">
      <c r="B40" s="14" t="str">
        <f>IF('Specimen-ConceptMap-1'!S36=0,"//---END",'Specimen-ConceptMap-1'!S36)</f>
        <v>* group[=].element[=].target.display = ##34###34#</v>
      </c>
    </row>
    <row r="41" spans="2:2" x14ac:dyDescent="0.75">
      <c r="B41" s="14" t="str">
        <f>IF('Specimen-ConceptMap-1'!S37=0,"//---END",'Specimen-ConceptMap-1'!S37)</f>
        <v>* group[=].element[=].target.equivalence = #equivalent</v>
      </c>
    </row>
    <row r="42" spans="2:2" x14ac:dyDescent="0.75">
      <c r="B42" s="14" t="str">
        <f>IF('Specimen-ConceptMap-1'!S38=0,"//---END",'Specimen-ConceptMap-1'!S38)</f>
        <v/>
      </c>
    </row>
    <row r="43" spans="2:2" x14ac:dyDescent="0.75">
      <c r="B43" s="14" t="str">
        <f>IF('Specimen-ConceptMap-1'!S39=0,"//---END",'Specimen-ConceptMap-1'!S39)</f>
        <v>* group[=].element[+].code = #SpecimenLab.anatomicLocation</v>
      </c>
    </row>
    <row r="44" spans="2:2" x14ac:dyDescent="0.75">
      <c r="B44" s="14" t="str">
        <f>IF('Specimen-ConceptMap-1'!S40=0,"//---END",'Specimen-ConceptMap-1'!S40)</f>
        <v>* group[=].element[=].display = ##34#A.4.5 Anatomic location##34#</v>
      </c>
    </row>
    <row r="45" spans="2:2" x14ac:dyDescent="0.75">
      <c r="B45" s="14" t="str">
        <f>IF('Specimen-ConceptMap-1'!S41=0,"//---END",'Specimen-ConceptMap-1'!S41)</f>
        <v>* group[=].element[=].target.code = #Specimen.collection.bodySite</v>
      </c>
    </row>
    <row r="46" spans="2:2" x14ac:dyDescent="0.75">
      <c r="B46" s="14" t="str">
        <f>IF('Specimen-ConceptMap-1'!S42=0,"//---END",'Specimen-ConceptMap-1'!S42)</f>
        <v>* group[=].element[=].target.display = ##34###34#</v>
      </c>
    </row>
    <row r="47" spans="2:2" x14ac:dyDescent="0.75">
      <c r="B47" s="14" t="str">
        <f>IF('Specimen-ConceptMap-1'!S43=0,"//---END",'Specimen-ConceptMap-1'!S43)</f>
        <v>* group[=].element[=].target.equivalence = #relatedto</v>
      </c>
    </row>
    <row r="48" spans="2:2" x14ac:dyDescent="0.75">
      <c r="B48" s="14" t="str">
        <f>IF('Specimen-ConceptMap-1'!S44=0,"//---END",'Specimen-ConceptMap-1'!S44)</f>
        <v/>
      </c>
    </row>
    <row r="49" spans="2:2" x14ac:dyDescent="0.75">
      <c r="B49" s="14" t="str">
        <f>IF('Specimen-ConceptMap-1'!S45=0,"//---END",'Specimen-ConceptMap-1'!S45)</f>
        <v>* group[=].element[+].code = #SpecimenLab.morphology</v>
      </c>
    </row>
    <row r="50" spans="2:2" x14ac:dyDescent="0.75">
      <c r="B50" s="14" t="str">
        <f>IF('Specimen-ConceptMap-1'!S46=0,"//---END",'Specimen-ConceptMap-1'!S46)</f>
        <v>* group[=].element[=].display = ##34#A.4.6 Morphology##34#</v>
      </c>
    </row>
    <row r="51" spans="2:2" x14ac:dyDescent="0.75">
      <c r="B51" s="14" t="str">
        <f>IF('Specimen-ConceptMap-1'!S47=0,"//---END",'Specimen-ConceptMap-1'!S47)</f>
        <v>* group[=].element[=].target.code = #Specimen.feature.type</v>
      </c>
    </row>
    <row r="52" spans="2:2" x14ac:dyDescent="0.75">
      <c r="B52" s="14" t="str">
        <f>IF('Specimen-ConceptMap-1'!S48=0,"//---END",'Specimen-ConceptMap-1'!S48)</f>
        <v>* group[=].element[=].target.display = ##34###34#</v>
      </c>
    </row>
    <row r="53" spans="2:2" x14ac:dyDescent="0.75">
      <c r="B53" s="14" t="str">
        <f>IF('Specimen-ConceptMap-1'!S49=0,"//---END",'Specimen-ConceptMap-1'!S49)</f>
        <v>* group[=].element[=].target.equivalence = #relatedto</v>
      </c>
    </row>
    <row r="54" spans="2:2" x14ac:dyDescent="0.75">
      <c r="B54" s="14" t="str">
        <f>IF('Specimen-ConceptMap-1'!S50=0,"//---END",'Specimen-ConceptMap-1'!S50)</f>
        <v>* group[=].element[=].target.comment = ##34#to be checked. This is an R5 element##34#</v>
      </c>
    </row>
    <row r="55" spans="2:2" x14ac:dyDescent="0.75">
      <c r="B55" s="14" t="str">
        <f>IF('Specimen-ConceptMap-1'!S51=0,"//---END",'Specimen-ConceptMap-1'!S51)</f>
        <v>* group[=].element[+].code = #SpecimenLab.sourceDevice</v>
      </c>
    </row>
    <row r="56" spans="2:2" x14ac:dyDescent="0.75">
      <c r="B56" s="14" t="str">
        <f>IF('Specimen-ConceptMap-1'!S52=0,"//---END",'Specimen-ConceptMap-1'!S52)</f>
        <v>* group[=].element[=].display = ##34#A.4.7 Source Device##34#</v>
      </c>
    </row>
    <row r="57" spans="2:2" x14ac:dyDescent="0.75">
      <c r="B57" s="14" t="str">
        <f>IF('Specimen-ConceptMap-1'!S53=0,"//---END",'Specimen-ConceptMap-1'!S53)</f>
        <v>//---END</v>
      </c>
    </row>
    <row r="58" spans="2:2" x14ac:dyDescent="0.75">
      <c r="B58" s="14" t="str">
        <f>IF('Specimen-ConceptMap-1'!S54=0,"//---END",'Specimen-ConceptMap-1'!S54)</f>
        <v>//---END</v>
      </c>
    </row>
    <row r="59" spans="2:2" x14ac:dyDescent="0.75">
      <c r="B59" s="14" t="str">
        <f>IF('Specimen-ConceptMap-1'!S55=0,"//---END",'Specimen-ConceptMap-1'!S55)</f>
        <v>//---END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69313"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AE7F3B-D4A2-44B4-AA14-E44F31B27FB7}">
  <sheetPr codeName="Foglio43">
    <tabColor theme="7" tint="0.39997558519241921"/>
  </sheetPr>
  <dimension ref="A1:L62"/>
  <sheetViews>
    <sheetView topLeftCell="A13" workbookViewId="0">
      <selection activeCell="D21" sqref="D21"/>
    </sheetView>
  </sheetViews>
  <sheetFormatPr defaultRowHeight="14.75" x14ac:dyDescent="0.75"/>
  <cols>
    <col min="1" max="1" width="16.54296875" customWidth="1"/>
    <col min="2" max="2" width="59.5" customWidth="1"/>
    <col min="3" max="3" width="44.6328125" customWidth="1"/>
    <col min="4" max="4" width="71.58984375" style="1" bestFit="1" customWidth="1"/>
    <col min="5" max="5" width="30.63281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11" x14ac:dyDescent="0.75">
      <c r="I1" s="32" t="s">
        <v>37</v>
      </c>
    </row>
    <row r="2" spans="1:11" x14ac:dyDescent="0.75">
      <c r="I2" s="33" t="s">
        <v>36</v>
      </c>
    </row>
    <row r="3" spans="1:11" ht="15.5" thickBot="1" x14ac:dyDescent="0.9">
      <c r="I3" s="33" t="str">
        <f>I1</f>
        <v>// -------------------------------------------------------------------------------</v>
      </c>
    </row>
    <row r="4" spans="1:11" x14ac:dyDescent="0.75">
      <c r="A4" s="6" t="s">
        <v>14</v>
      </c>
      <c r="B4" s="17" t="s">
        <v>478</v>
      </c>
      <c r="I4" s="25" t="str">
        <f>CONCATENATE("Logical: ",B4)</f>
        <v>Logical: ResultLabEhn</v>
      </c>
    </row>
    <row r="5" spans="1:11" x14ac:dyDescent="0.75">
      <c r="A5" s="18" t="s">
        <v>19</v>
      </c>
      <c r="B5" s="34" t="s">
        <v>479</v>
      </c>
      <c r="I5" s="25" t="str">
        <f>CONCATENATE("Id: ",B5)</f>
        <v>Id: Result</v>
      </c>
    </row>
    <row r="6" spans="1:11" x14ac:dyDescent="0.75">
      <c r="A6" s="18" t="s">
        <v>13</v>
      </c>
      <c r="B6" s="14" t="s">
        <v>841</v>
      </c>
      <c r="I6" s="26" t="str">
        <f>CONCATENATE("Title: ##34#",B6,"##34#")</f>
        <v>Title: ##34#A.5, Results data elements##34#</v>
      </c>
    </row>
    <row r="7" spans="1:11" x14ac:dyDescent="0.75">
      <c r="A7" s="46" t="s">
        <v>5</v>
      </c>
      <c r="B7" s="14" t="s">
        <v>198</v>
      </c>
      <c r="C7" s="12"/>
      <c r="D7" s="2"/>
      <c r="E7" s="57"/>
      <c r="F7" s="3" t="s">
        <v>9</v>
      </c>
      <c r="G7" s="3" t="s">
        <v>10</v>
      </c>
      <c r="I7" s="26" t="str">
        <f>CONCATENATE("Description: "," ##334#",B7,"##334#",)</f>
        <v>Description:  ##334#A.5 Results data elements##334#</v>
      </c>
    </row>
    <row r="8" spans="1:11" ht="29.5" x14ac:dyDescent="0.75">
      <c r="A8" s="9">
        <v>1</v>
      </c>
      <c r="B8" s="9" t="s">
        <v>500</v>
      </c>
      <c r="C8" s="14" t="s">
        <v>551</v>
      </c>
      <c r="D8" s="14" t="s">
        <v>551</v>
      </c>
      <c r="E8" s="9">
        <v>0</v>
      </c>
      <c r="F8" s="9">
        <v>1</v>
      </c>
      <c r="G8" s="9" t="s">
        <v>4</v>
      </c>
      <c r="H8" s="23"/>
      <c r="I8" s="14" t="str">
        <f>CONCATENATE("* ",B8, " ",E8,"..",F8," ",G8," ##34#",C8,"##34# ##334#",D8,"##334#")</f>
        <v>* narrative 0..1 BackboneElement ##34#A.5.1 Laboratory report narrative##34# ##334#A.5.1 Laboratory report narrative##334#</v>
      </c>
    </row>
    <row r="9" spans="1:11" ht="44.25" x14ac:dyDescent="0.75">
      <c r="A9" s="9">
        <v>2</v>
      </c>
      <c r="B9" s="9" t="s">
        <v>501</v>
      </c>
      <c r="C9" s="1" t="s">
        <v>483</v>
      </c>
      <c r="D9" s="14" t="s">
        <v>613</v>
      </c>
      <c r="E9" s="9">
        <v>0</v>
      </c>
      <c r="F9" s="9" t="s">
        <v>11</v>
      </c>
      <c r="G9" s="9" t="s">
        <v>504</v>
      </c>
      <c r="H9" s="23"/>
      <c r="I9" s="14" t="str">
        <f t="shared" ref="I9:I31" si="0">CONCATENATE("* ",B9, " ",E9,"..",F9," ",G9," ##34#",C9,"##34# ##334#",D9,"##334#")</f>
        <v>* narrative.report 0..* Narrative ##34#A.5.1.1 Narrative report##34# ##334#Entire report (textual summary inside the laboratory result report document) as issued by the laboratory.##334#</v>
      </c>
    </row>
    <row r="10" spans="1:11" ht="44.25" x14ac:dyDescent="0.75">
      <c r="A10" s="9">
        <v>3</v>
      </c>
      <c r="B10" s="9" t="s">
        <v>502</v>
      </c>
      <c r="C10" s="14" t="s">
        <v>484</v>
      </c>
      <c r="D10" s="60" t="s">
        <v>205</v>
      </c>
      <c r="E10" s="9">
        <v>0</v>
      </c>
      <c r="F10" s="9" t="s">
        <v>11</v>
      </c>
      <c r="G10" s="9" t="s">
        <v>504</v>
      </c>
      <c r="H10" s="23"/>
      <c r="I10" s="14" t="str">
        <f t="shared" si="0"/>
        <v>* narrative.notes 0..* Narrative ##34#A.5.1.2 Comments, interpretation and recommendations##34# ##334#Comments, such as a textual interpretation or advice accompanying the result report, for example.##334#</v>
      </c>
    </row>
    <row r="11" spans="1:11" ht="44.25" x14ac:dyDescent="0.75">
      <c r="A11" s="59">
        <v>4</v>
      </c>
      <c r="B11" s="9" t="s">
        <v>503</v>
      </c>
      <c r="C11" s="52" t="s">
        <v>505</v>
      </c>
      <c r="D11" s="52" t="s">
        <v>552</v>
      </c>
      <c r="E11" s="59">
        <v>0</v>
      </c>
      <c r="F11" s="59" t="s">
        <v>11</v>
      </c>
      <c r="G11" s="9" t="s">
        <v>4</v>
      </c>
      <c r="H11" s="23"/>
      <c r="I11" s="14" t="str">
        <f t="shared" si="0"/>
        <v>* observation 0..* BackboneElement ##34#A.5.2 Observation details##34# ##334#A.5.2 Observation details (report could consist of multiple observations) ##334#</v>
      </c>
    </row>
    <row r="12" spans="1:11" ht="44.25" x14ac:dyDescent="0.75">
      <c r="A12" s="9">
        <v>5</v>
      </c>
      <c r="B12" s="9" t="s">
        <v>506</v>
      </c>
      <c r="C12" s="52" t="s">
        <v>485</v>
      </c>
      <c r="D12" s="14" t="s">
        <v>499</v>
      </c>
      <c r="E12" s="59">
        <v>0</v>
      </c>
      <c r="F12" s="59" t="s">
        <v>11</v>
      </c>
      <c r="G12" s="9" t="s">
        <v>1</v>
      </c>
      <c r="H12" s="23"/>
      <c r="I12" s="14" t="str">
        <f t="shared" si="0"/>
        <v>* observation.dateTime 0..* CodeableConcept ##34#A.5.2.1 Observation date##34# ##334#Date and time of the observation - Preferred system(s): ISO 8601##334#</v>
      </c>
    </row>
    <row r="13" spans="1:11" ht="88.5" x14ac:dyDescent="0.75">
      <c r="A13" s="9">
        <v>6</v>
      </c>
      <c r="B13" s="9" t="s">
        <v>507</v>
      </c>
      <c r="C13" s="14" t="s">
        <v>486</v>
      </c>
      <c r="D13" s="52" t="s">
        <v>508</v>
      </c>
      <c r="E13" s="59">
        <v>0</v>
      </c>
      <c r="F13" s="59" t="s">
        <v>11</v>
      </c>
      <c r="G13" s="9" t="s">
        <v>1</v>
      </c>
      <c r="H13" s="23"/>
      <c r="I13" s="14" t="str">
        <f t="shared" si="0"/>
        <v>* observation.code 0..* CodeableConcept ##34#A.5.2.3 Observation code##34# ##334#Code representing the observation using the agreed code systems.
- Preferred system(s): LOINC
 - Preferred system(s): NPU
 - Preferred system(s): SNOMED CT##334#</v>
      </c>
    </row>
    <row r="14" spans="1:11" ht="44.25" x14ac:dyDescent="0.75">
      <c r="A14" s="9">
        <v>7</v>
      </c>
      <c r="B14" s="9" t="s">
        <v>509</v>
      </c>
      <c r="C14" s="9" t="s">
        <v>487</v>
      </c>
      <c r="D14" s="14" t="s">
        <v>216</v>
      </c>
      <c r="E14" s="59">
        <v>0</v>
      </c>
      <c r="F14" s="59" t="s">
        <v>11</v>
      </c>
      <c r="G14" s="9" t="s">
        <v>3</v>
      </c>
      <c r="H14" s="23"/>
      <c r="I14" s="14" t="str">
        <f t="shared" si="0"/>
        <v>* observation.code.name 0..* string ##34#A.5.2.3.1 Observation name##34# ##334#Full name of the observation according to the used test coding standard.##334#</v>
      </c>
    </row>
    <row r="15" spans="1:11" ht="44.25" x14ac:dyDescent="0.75">
      <c r="A15" s="3">
        <v>8</v>
      </c>
      <c r="B15" s="9" t="s">
        <v>510</v>
      </c>
      <c r="C15" s="9" t="s">
        <v>488</v>
      </c>
      <c r="D15" s="14" t="s">
        <v>219</v>
      </c>
      <c r="E15" s="3">
        <v>0</v>
      </c>
      <c r="F15" s="3" t="s">
        <v>11</v>
      </c>
      <c r="G15" s="9" t="s">
        <v>3</v>
      </c>
      <c r="H15" s="61"/>
      <c r="I15" s="14" t="str">
        <f t="shared" si="0"/>
        <v>* observation.code.originalName 0..* string ##34#A.5.2.3.2 Observation original name##34# ##334#Original (conventional) name of the observation as used by the laboratory##334#</v>
      </c>
      <c r="J15" s="16"/>
      <c r="K15" s="9"/>
    </row>
    <row r="16" spans="1:11" ht="44.25" x14ac:dyDescent="0.75">
      <c r="A16" s="9">
        <v>9</v>
      </c>
      <c r="B16" s="9" t="s">
        <v>511</v>
      </c>
      <c r="C16" s="9" t="s">
        <v>489</v>
      </c>
      <c r="D16" s="14" t="s">
        <v>222</v>
      </c>
      <c r="E16" s="9">
        <v>0</v>
      </c>
      <c r="F16" s="9" t="s">
        <v>11</v>
      </c>
      <c r="G16" s="9" t="s">
        <v>3</v>
      </c>
      <c r="H16" s="9"/>
      <c r="I16" s="14" t="str">
        <f t="shared" si="0"/>
        <v>* observation.code.displayName 0..* string ##34#A.5.2.3.3 Observation display name##34# ##334#Simplified (short name of the observation) for display.##334#</v>
      </c>
    </row>
    <row r="17" spans="1:9" ht="59" x14ac:dyDescent="0.75">
      <c r="A17" s="9">
        <v>10</v>
      </c>
      <c r="B17" s="9" t="s">
        <v>512</v>
      </c>
      <c r="C17" s="9" t="s">
        <v>490</v>
      </c>
      <c r="D17" s="14" t="s">
        <v>524</v>
      </c>
      <c r="E17" s="9">
        <v>0</v>
      </c>
      <c r="F17" s="9" t="s">
        <v>11</v>
      </c>
      <c r="G17" s="9" t="s">
        <v>1</v>
      </c>
      <c r="H17" s="9"/>
      <c r="I17" s="14" t="str">
        <f t="shared" si="0"/>
        <v>* observation.method 0..* CodeableConcept ##34#A.5.2.4 Observation method##34# ##334#Observation method (measurement principle) to obtain the result.
- Preferred system(s): SNOMED CT##334#</v>
      </c>
    </row>
    <row r="18" spans="1:9" ht="73.75" x14ac:dyDescent="0.75">
      <c r="A18" s="9">
        <v>11</v>
      </c>
      <c r="B18" s="9" t="s">
        <v>513</v>
      </c>
      <c r="C18" s="9" t="s">
        <v>491</v>
      </c>
      <c r="D18" s="14" t="s">
        <v>514</v>
      </c>
      <c r="E18" s="9">
        <v>0</v>
      </c>
      <c r="F18" s="9" t="s">
        <v>11</v>
      </c>
      <c r="G18" s="9" t="s">
        <v>1</v>
      </c>
      <c r="H18" s="9"/>
      <c r="I18" s="14" t="str">
        <f t="shared" si="0"/>
        <v>* observation.device 0..* CodeableConcept ##34#A.5.2.5 Observation device##34# ##334#Device (analyser), laboratory test kit and used calibrator information (identifier, type, name, model, manufacturer)
- Preferred system(s): SNOMED CT
 - Preferred system(s): EMDN##334#</v>
      </c>
    </row>
    <row r="19" spans="1:9" ht="29.5" x14ac:dyDescent="0.75">
      <c r="A19" s="3">
        <v>12</v>
      </c>
      <c r="B19" s="9" t="s">
        <v>515</v>
      </c>
      <c r="C19" s="9" t="s">
        <v>492</v>
      </c>
      <c r="D19" s="14" t="s">
        <v>517</v>
      </c>
      <c r="E19" s="9">
        <v>0</v>
      </c>
      <c r="F19" s="9" t="s">
        <v>11</v>
      </c>
      <c r="G19" s="9" t="s">
        <v>4</v>
      </c>
      <c r="H19" s="9"/>
      <c r="I19" s="14" t="str">
        <f t="shared" si="0"/>
        <v>* observation.order 0..* BackboneElement ##34#A.5.2.8 Order##34# ##334#Identifies order and order placer this observation belongs to.##334#</v>
      </c>
    </row>
    <row r="20" spans="1:9" ht="59" x14ac:dyDescent="0.75">
      <c r="A20" s="9">
        <v>13</v>
      </c>
      <c r="B20" s="9" t="s">
        <v>516</v>
      </c>
      <c r="C20" s="9" t="s">
        <v>493</v>
      </c>
      <c r="D20" s="14" t="s">
        <v>558</v>
      </c>
      <c r="E20" s="9">
        <v>0</v>
      </c>
      <c r="F20" s="9" t="s">
        <v>11</v>
      </c>
      <c r="G20" s="9" t="s">
        <v>4</v>
      </c>
      <c r="H20" s="9"/>
      <c r="I20" s="14" t="str">
        <f t="shared" si="0"/>
        <v>* observation.performer 0..* BackboneElement ##34#A.5.2.9 Performer##34# ##334#Identifies the originator/author and provides provenance information about the source of the results data that may have not originated with the source of the whole Laboratory Report document. ##334#</v>
      </c>
    </row>
    <row r="21" spans="1:9" ht="44.25" x14ac:dyDescent="0.75">
      <c r="A21" s="9">
        <v>14</v>
      </c>
      <c r="B21" s="9" t="s">
        <v>518</v>
      </c>
      <c r="C21" s="9" t="s">
        <v>494</v>
      </c>
      <c r="D21" s="14" t="s">
        <v>237</v>
      </c>
      <c r="E21" s="9">
        <v>0</v>
      </c>
      <c r="F21" s="9" t="s">
        <v>11</v>
      </c>
      <c r="G21" s="9" t="s">
        <v>4</v>
      </c>
      <c r="H21" s="9"/>
      <c r="I21" s="14" t="str">
        <f t="shared" si="0"/>
        <v>* observation.reporter 0..* BackboneElement ##34#A.5.2.10 Reporter##34# ##334#With certain observation results, e.g. there may also be an interpreter or a person responsible for validation.##334#</v>
      </c>
    </row>
    <row r="22" spans="1:9" ht="103.25" x14ac:dyDescent="0.75">
      <c r="A22" s="9">
        <v>15</v>
      </c>
      <c r="B22" s="9" t="s">
        <v>519</v>
      </c>
      <c r="C22" s="9" t="s">
        <v>495</v>
      </c>
      <c r="D22" s="14" t="s">
        <v>553</v>
      </c>
      <c r="E22" s="9">
        <v>0</v>
      </c>
      <c r="F22" s="9" t="s">
        <v>11</v>
      </c>
      <c r="G22" s="9" t="s">
        <v>4</v>
      </c>
      <c r="H22" s="9"/>
      <c r="I22" s="14" t="str">
        <f t="shared" si="0"/>
        <v>* observation.result 0..* BackboneElement ##34#A.5.2.11 Observation result##34# ##334#Result of the observation including text, numeric and coded results of the measurement and measurement uncertainty. Content of the observation result will vary according to the type of the observation. 
- Preferred system(s): SNOMED CT (for ordinal or nominal scale results and result interpretation)
 - Preferred system(s): UCUM (for units)##334#</v>
      </c>
    </row>
    <row r="23" spans="1:9" ht="73.75" x14ac:dyDescent="0.75">
      <c r="A23" s="9">
        <v>18</v>
      </c>
      <c r="B23" s="9" t="s">
        <v>521</v>
      </c>
      <c r="C23" s="9" t="s">
        <v>496</v>
      </c>
      <c r="D23" s="14" t="s">
        <v>520</v>
      </c>
      <c r="E23" s="9">
        <v>0</v>
      </c>
      <c r="F23" s="9" t="s">
        <v>11</v>
      </c>
      <c r="G23" s="9" t="s">
        <v>1</v>
      </c>
      <c r="H23" s="9"/>
      <c r="I23" s="14" t="str">
        <f t="shared" si="0"/>
        <v>* observation.interpretation 0..* CodeableConcept ##34#A.5.2.12 Observation interpretation##34# ##334#Information about reference intervals and result interpretation.
 - Preferred system(s): SNOMED CT
 - Preferred system(s): HL7 v3 Code System ObservationInterpretation##334#</v>
      </c>
    </row>
    <row r="24" spans="1:9" ht="44.25" x14ac:dyDescent="0.75">
      <c r="A24" s="9">
        <v>21</v>
      </c>
      <c r="B24" s="9" t="s">
        <v>522</v>
      </c>
      <c r="C24" s="9" t="s">
        <v>497</v>
      </c>
      <c r="D24" s="14" t="s">
        <v>249</v>
      </c>
      <c r="E24" s="9">
        <v>0</v>
      </c>
      <c r="F24" s="9" t="s">
        <v>11</v>
      </c>
      <c r="G24" s="9" t="s">
        <v>504</v>
      </c>
      <c r="H24" s="9"/>
      <c r="I24" s="14" t="str">
        <f t="shared" si="0"/>
        <v>* observation.description 0..* Narrative ##34#A.5.2.13 Result description##34# ##334#Comments and narrative representation of the observation result and findings.##334#</v>
      </c>
    </row>
    <row r="25" spans="1:9" ht="44.25" x14ac:dyDescent="0.75">
      <c r="A25" s="9">
        <v>22</v>
      </c>
      <c r="B25" s="9" t="s">
        <v>523</v>
      </c>
      <c r="C25" s="9" t="s">
        <v>498</v>
      </c>
      <c r="D25" s="14" t="s">
        <v>252</v>
      </c>
      <c r="E25" s="9">
        <v>0</v>
      </c>
      <c r="F25" s="9" t="s">
        <v>11</v>
      </c>
      <c r="G25" s="9" t="s">
        <v>4</v>
      </c>
      <c r="H25" s="9"/>
      <c r="I25" s="14" t="str">
        <f t="shared" si="0"/>
        <v>* observation.accreditationStatus 0..* BackboneElement ##34#A.5.2.14 Accreditation status##34# ##334#Accreditation status of the laboratory for the particular observation.##334#</v>
      </c>
    </row>
    <row r="26" spans="1:9" x14ac:dyDescent="0.75">
      <c r="A26" s="9"/>
      <c r="B26" s="9"/>
      <c r="C26" s="9"/>
      <c r="D26" s="14"/>
      <c r="E26" s="9"/>
      <c r="F26" s="9"/>
      <c r="G26" s="9"/>
      <c r="H26" s="9"/>
      <c r="I26" s="14" t="str">
        <f t="shared" si="0"/>
        <v>*  ..  ##34###34# ##334###334#</v>
      </c>
    </row>
    <row r="27" spans="1:9" x14ac:dyDescent="0.75">
      <c r="A27" s="3"/>
      <c r="B27" s="9"/>
      <c r="C27" s="9"/>
      <c r="D27" s="14"/>
      <c r="E27" s="9"/>
      <c r="F27" s="9"/>
      <c r="G27" s="9"/>
      <c r="H27" s="9"/>
      <c r="I27" s="14" t="str">
        <f t="shared" si="0"/>
        <v>*  ..  ##34###34# ##334###334#</v>
      </c>
    </row>
    <row r="28" spans="1:9" x14ac:dyDescent="0.75">
      <c r="A28" s="9"/>
      <c r="B28" s="9"/>
      <c r="C28" s="9"/>
      <c r="D28" s="14"/>
      <c r="E28" s="9"/>
      <c r="F28" s="9"/>
      <c r="G28" s="9"/>
      <c r="H28" s="9"/>
      <c r="I28" s="14" t="str">
        <f t="shared" si="0"/>
        <v>*  ..  ##34###34# ##334###334#</v>
      </c>
    </row>
    <row r="29" spans="1:9" x14ac:dyDescent="0.75">
      <c r="A29" s="9"/>
      <c r="B29" s="9"/>
      <c r="C29" s="9"/>
      <c r="D29" s="14"/>
      <c r="E29" s="9"/>
      <c r="F29" s="9"/>
      <c r="G29" s="9"/>
      <c r="H29" s="9"/>
      <c r="I29" s="14" t="str">
        <f t="shared" si="0"/>
        <v>*  ..  ##34###34# ##334###334#</v>
      </c>
    </row>
    <row r="30" spans="1:9" x14ac:dyDescent="0.75">
      <c r="A30" s="9"/>
      <c r="B30" s="9"/>
      <c r="C30" s="9"/>
      <c r="D30" s="14"/>
      <c r="E30" s="9"/>
      <c r="F30" s="9"/>
      <c r="G30" s="9"/>
      <c r="H30" s="9"/>
      <c r="I30" s="14" t="str">
        <f t="shared" si="0"/>
        <v>*  ..  ##34###34# ##334###334#</v>
      </c>
    </row>
    <row r="31" spans="1:9" x14ac:dyDescent="0.75">
      <c r="A31" s="9"/>
      <c r="B31" s="9"/>
      <c r="C31" s="9"/>
      <c r="D31" s="14"/>
      <c r="E31" s="9"/>
      <c r="F31" s="9"/>
      <c r="G31" s="9"/>
      <c r="H31" s="9"/>
      <c r="I31" s="14" t="str">
        <f t="shared" si="0"/>
        <v>*  ..  ##34###34# ##334###334#</v>
      </c>
    </row>
    <row r="32" spans="1:9" x14ac:dyDescent="0.75">
      <c r="A32" s="9"/>
      <c r="B32" s="9"/>
      <c r="C32" s="9"/>
      <c r="D32" s="14"/>
      <c r="E32" s="9"/>
      <c r="F32" s="9"/>
      <c r="G32" s="9"/>
      <c r="H32" s="9"/>
      <c r="I32" s="14"/>
    </row>
    <row r="35" spans="2:9" ht="15.5" thickBot="1" x14ac:dyDescent="0.9"/>
    <row r="36" spans="2:9" ht="16.75" thickBot="1" x14ac:dyDescent="0.9">
      <c r="B36" t="str">
        <f t="shared" ref="B36:B62" si="1">CONCATENATE(C36," ",D36)</f>
        <v xml:space="preserve">A.5 Results data elements </v>
      </c>
      <c r="C36" s="91" t="s">
        <v>198</v>
      </c>
      <c r="D36" s="92"/>
      <c r="E36" s="92"/>
      <c r="F36" s="93"/>
    </row>
    <row r="37" spans="2:9" ht="16.75" thickBot="1" x14ac:dyDescent="0.9">
      <c r="B37" t="str">
        <f t="shared" si="1"/>
        <v xml:space="preserve">A.5.1 Laboratory report narrative  </v>
      </c>
      <c r="C37" s="91" t="s">
        <v>554</v>
      </c>
      <c r="D37" s="92"/>
      <c r="E37" s="92"/>
      <c r="F37" s="93"/>
    </row>
    <row r="38" spans="2:9" ht="64.75" thickBot="1" x14ac:dyDescent="0.9">
      <c r="B38" t="str">
        <f t="shared" si="1"/>
        <v>A.5.1.1 Narrative report</v>
      </c>
      <c r="C38" s="36" t="s">
        <v>200</v>
      </c>
      <c r="D38" s="39" t="s">
        <v>201</v>
      </c>
      <c r="E38" s="37" t="s">
        <v>555</v>
      </c>
      <c r="F38" s="42"/>
      <c r="I38" s="1" t="str">
        <f t="shared" ref="I38:I62" si="2">CONCATENATE(E38," - Preferred system(s): ",F38)</f>
        <v xml:space="preserve">Entire report (textual summary inside the laboratory result report document) as issued by the laboratory.  - Preferred system(s): </v>
      </c>
    </row>
    <row r="39" spans="2:9" ht="64.75" thickBot="1" x14ac:dyDescent="0.9">
      <c r="B39" t="str">
        <f t="shared" si="1"/>
        <v>A.5.1.2 Comments, interpretation and recommendations</v>
      </c>
      <c r="C39" s="36" t="s">
        <v>203</v>
      </c>
      <c r="D39" s="39" t="s">
        <v>204</v>
      </c>
      <c r="E39" s="37" t="s">
        <v>205</v>
      </c>
      <c r="F39" s="42"/>
      <c r="I39" s="1" t="str">
        <f t="shared" si="2"/>
        <v xml:space="preserve">Comments, such as a textual interpretation or advice accompanying the result report, for example. - Preferred system(s): </v>
      </c>
    </row>
    <row r="40" spans="2:9" ht="16.75" thickBot="1" x14ac:dyDescent="0.9">
      <c r="B40" t="str">
        <f t="shared" si="1"/>
        <v xml:space="preserve">A.5.2 Observation details (report could consist of multiple observations) </v>
      </c>
      <c r="C40" s="91" t="s">
        <v>556</v>
      </c>
      <c r="D40" s="92"/>
      <c r="E40" s="92"/>
      <c r="F40" s="93"/>
      <c r="I40" s="1" t="str">
        <f t="shared" si="2"/>
        <v xml:space="preserve"> - Preferred system(s): </v>
      </c>
    </row>
    <row r="41" spans="2:9" ht="32.75" thickBot="1" x14ac:dyDescent="0.9">
      <c r="B41" t="str">
        <f t="shared" si="1"/>
        <v>A.5.2.1 Observation date</v>
      </c>
      <c r="C41" s="36" t="s">
        <v>207</v>
      </c>
      <c r="D41" s="39" t="s">
        <v>208</v>
      </c>
      <c r="E41" s="37" t="s">
        <v>209</v>
      </c>
      <c r="F41" s="39" t="s">
        <v>113</v>
      </c>
      <c r="I41" s="1" t="str">
        <f t="shared" si="2"/>
        <v>Date and time of the observation - Preferred system(s): ISO 8601</v>
      </c>
    </row>
    <row r="42" spans="2:9" ht="29.5" x14ac:dyDescent="0.75">
      <c r="B42" t="str">
        <f t="shared" si="1"/>
        <v>A.5.2.3 Observation code</v>
      </c>
      <c r="C42" s="99" t="s">
        <v>210</v>
      </c>
      <c r="D42" s="102" t="s">
        <v>211</v>
      </c>
      <c r="E42" s="99" t="s">
        <v>212</v>
      </c>
      <c r="F42" s="43" t="s">
        <v>130</v>
      </c>
      <c r="I42" s="1" t="str">
        <f t="shared" si="2"/>
        <v>Code representing the observation using the agreed code systems. - Preferred system(s): LOINC</v>
      </c>
    </row>
    <row r="43" spans="2:9" ht="16" x14ac:dyDescent="0.75">
      <c r="B43" t="str">
        <f t="shared" si="1"/>
        <v xml:space="preserve"> </v>
      </c>
      <c r="C43" s="100"/>
      <c r="D43" s="103"/>
      <c r="E43" s="100"/>
      <c r="F43" s="43" t="s">
        <v>213</v>
      </c>
      <c r="I43" s="1" t="str">
        <f t="shared" si="2"/>
        <v xml:space="preserve"> - Preferred system(s): NPU</v>
      </c>
    </row>
    <row r="44" spans="2:9" ht="32.75" thickBot="1" x14ac:dyDescent="0.9">
      <c r="B44" t="str">
        <f t="shared" si="1"/>
        <v xml:space="preserve"> </v>
      </c>
      <c r="C44" s="101"/>
      <c r="D44" s="104"/>
      <c r="E44" s="101"/>
      <c r="F44" s="39" t="s">
        <v>167</v>
      </c>
      <c r="I44" s="1" t="str">
        <f t="shared" si="2"/>
        <v xml:space="preserve"> - Preferred system(s): SNOMED CT</v>
      </c>
    </row>
    <row r="45" spans="2:9" ht="48.75" thickBot="1" x14ac:dyDescent="0.9">
      <c r="B45" t="str">
        <f t="shared" si="1"/>
        <v>A.5.2.3.1 Observation name</v>
      </c>
      <c r="C45" s="36" t="s">
        <v>214</v>
      </c>
      <c r="D45" s="39" t="s">
        <v>215</v>
      </c>
      <c r="E45" s="37" t="s">
        <v>216</v>
      </c>
      <c r="F45" s="38"/>
      <c r="I45" s="1" t="str">
        <f t="shared" si="2"/>
        <v xml:space="preserve">Full name of the observation according to the used test coding standard. - Preferred system(s): </v>
      </c>
    </row>
    <row r="46" spans="2:9" ht="48.75" thickBot="1" x14ac:dyDescent="0.9">
      <c r="B46" t="str">
        <f t="shared" si="1"/>
        <v>A.5.2.3.2 Observation original name</v>
      </c>
      <c r="C46" s="36" t="s">
        <v>217</v>
      </c>
      <c r="D46" s="39" t="s">
        <v>218</v>
      </c>
      <c r="E46" s="37" t="s">
        <v>219</v>
      </c>
      <c r="F46" s="38"/>
      <c r="I46" s="1" t="str">
        <f t="shared" si="2"/>
        <v xml:space="preserve">Original (conventional) name of the observation as used by the laboratory - Preferred system(s): </v>
      </c>
    </row>
    <row r="47" spans="2:9" ht="32.75" thickBot="1" x14ac:dyDescent="0.9">
      <c r="B47" t="str">
        <f t="shared" si="1"/>
        <v>A.5.2.3.3 Observation display name</v>
      </c>
      <c r="C47" s="36" t="s">
        <v>220</v>
      </c>
      <c r="D47" s="39" t="s">
        <v>221</v>
      </c>
      <c r="E47" s="37" t="s">
        <v>222</v>
      </c>
      <c r="F47" s="38"/>
      <c r="I47" s="1" t="str">
        <f t="shared" si="2"/>
        <v xml:space="preserve">Simplified (short name of the observation) for display. - Preferred system(s): </v>
      </c>
    </row>
    <row r="48" spans="2:9" ht="48.75" thickBot="1" x14ac:dyDescent="0.9">
      <c r="B48" t="str">
        <f t="shared" si="1"/>
        <v>A.5.2.4 Observation method</v>
      </c>
      <c r="C48" s="36" t="s">
        <v>223</v>
      </c>
      <c r="D48" s="39" t="s">
        <v>224</v>
      </c>
      <c r="E48" s="37" t="s">
        <v>225</v>
      </c>
      <c r="F48" s="39" t="s">
        <v>167</v>
      </c>
      <c r="I48" s="1" t="str">
        <f t="shared" si="2"/>
        <v>Observation method (measurement principle) to obtain the result. - Preferred system(s): SNOMED CT</v>
      </c>
    </row>
    <row r="49" spans="2:9" ht="44.25" x14ac:dyDescent="0.75">
      <c r="B49" t="str">
        <f t="shared" si="1"/>
        <v>A.5.2.5 Observation device</v>
      </c>
      <c r="C49" s="99" t="s">
        <v>226</v>
      </c>
      <c r="D49" s="102" t="s">
        <v>227</v>
      </c>
      <c r="E49" s="99" t="s">
        <v>228</v>
      </c>
      <c r="F49" s="43" t="s">
        <v>167</v>
      </c>
      <c r="I49" s="1" t="str">
        <f t="shared" si="2"/>
        <v>Device (analyser), laboratory test kit and used calibrator information (identifier, type, name, model, manufacturer) - Preferred system(s): SNOMED CT</v>
      </c>
    </row>
    <row r="50" spans="2:9" x14ac:dyDescent="0.75">
      <c r="B50" t="str">
        <f t="shared" si="1"/>
        <v xml:space="preserve"> </v>
      </c>
      <c r="C50" s="100"/>
      <c r="D50" s="103"/>
      <c r="E50" s="100"/>
      <c r="F50" s="41"/>
      <c r="I50" s="1" t="str">
        <f t="shared" si="2"/>
        <v xml:space="preserve"> - Preferred system(s): </v>
      </c>
    </row>
    <row r="51" spans="2:9" ht="16.75" thickBot="1" x14ac:dyDescent="0.9">
      <c r="B51" t="str">
        <f t="shared" si="1"/>
        <v xml:space="preserve"> </v>
      </c>
      <c r="C51" s="101"/>
      <c r="D51" s="104"/>
      <c r="E51" s="101"/>
      <c r="F51" s="39" t="s">
        <v>191</v>
      </c>
      <c r="I51" s="1" t="str">
        <f t="shared" si="2"/>
        <v xml:space="preserve"> - Preferred system(s): EMDN</v>
      </c>
    </row>
    <row r="52" spans="2:9" ht="32.75" thickBot="1" x14ac:dyDescent="0.9">
      <c r="B52" t="str">
        <f t="shared" si="1"/>
        <v>A.5.2.8 Order</v>
      </c>
      <c r="C52" s="36" t="s">
        <v>229</v>
      </c>
      <c r="D52" s="39" t="s">
        <v>230</v>
      </c>
      <c r="E52" s="37" t="s">
        <v>557</v>
      </c>
      <c r="F52" s="38"/>
      <c r="I52" s="1" t="str">
        <f t="shared" si="2"/>
        <v xml:space="preserve">Identifies order and order placer this observation belongs to.  - Preferred system(s): </v>
      </c>
    </row>
    <row r="53" spans="2:9" ht="112.75" thickBot="1" x14ac:dyDescent="0.9">
      <c r="B53" t="str">
        <f t="shared" si="1"/>
        <v>A.5.2.9 Performer</v>
      </c>
      <c r="C53" s="36" t="s">
        <v>232</v>
      </c>
      <c r="D53" s="39" t="s">
        <v>233</v>
      </c>
      <c r="E53" s="37" t="s">
        <v>558</v>
      </c>
      <c r="F53" s="38"/>
      <c r="I53" s="1" t="str">
        <f t="shared" si="2"/>
        <v xml:space="preserve">Identifies the originator/author and provides provenance information about the source of the results data that may have not originated with the source of the whole Laboratory Report document.  - Preferred system(s): </v>
      </c>
    </row>
    <row r="54" spans="2:9" ht="64.75" thickBot="1" x14ac:dyDescent="0.9">
      <c r="B54" t="str">
        <f t="shared" si="1"/>
        <v>A.5.2.10 Reporter</v>
      </c>
      <c r="C54" s="36" t="s">
        <v>235</v>
      </c>
      <c r="D54" s="39" t="s">
        <v>236</v>
      </c>
      <c r="E54" s="37" t="s">
        <v>237</v>
      </c>
      <c r="F54" s="38"/>
      <c r="I54" s="1" t="str">
        <f t="shared" si="2"/>
        <v xml:space="preserve">With certain observation results, e.g. there may also be an interpreter or a person responsible for validation. - Preferred system(s): </v>
      </c>
    </row>
    <row r="55" spans="2:9" ht="176" x14ac:dyDescent="0.75">
      <c r="B55" t="str">
        <f t="shared" si="1"/>
        <v>A.5.2.11 Observation result</v>
      </c>
      <c r="C55" s="99" t="s">
        <v>238</v>
      </c>
      <c r="D55" s="102" t="s">
        <v>239</v>
      </c>
      <c r="E55" s="99" t="s">
        <v>559</v>
      </c>
      <c r="F55" s="43" t="s">
        <v>241</v>
      </c>
      <c r="I55" s="1" t="str">
        <f t="shared" si="2"/>
        <v>Result of the observation including text, numeric and coded results of the measurement and measurement uncertainty. Content of the observation result will vary according to the type of the observation. - Preferred system(s): SNOMED CT (for ordinal or nominal scale results and result interpretation)</v>
      </c>
    </row>
    <row r="56" spans="2:9" x14ac:dyDescent="0.75">
      <c r="B56" t="str">
        <f t="shared" si="1"/>
        <v xml:space="preserve"> </v>
      </c>
      <c r="C56" s="100"/>
      <c r="D56" s="103"/>
      <c r="E56" s="100"/>
      <c r="F56" s="44"/>
      <c r="I56" s="1" t="str">
        <f t="shared" si="2"/>
        <v xml:space="preserve"> - Preferred system(s): </v>
      </c>
    </row>
    <row r="57" spans="2:9" ht="48.75" thickBot="1" x14ac:dyDescent="0.9">
      <c r="B57" t="str">
        <f t="shared" si="1"/>
        <v xml:space="preserve"> </v>
      </c>
      <c r="C57" s="101"/>
      <c r="D57" s="104"/>
      <c r="E57" s="101"/>
      <c r="F57" s="39" t="s">
        <v>242</v>
      </c>
      <c r="I57" s="1" t="str">
        <f t="shared" si="2"/>
        <v xml:space="preserve"> - Preferred system(s): UCUM (for units)</v>
      </c>
    </row>
    <row r="58" spans="2:9" ht="32" x14ac:dyDescent="0.75">
      <c r="B58" t="str">
        <f t="shared" si="1"/>
        <v>A.5.2.12 Observation interpretation</v>
      </c>
      <c r="C58" s="99" t="s">
        <v>243</v>
      </c>
      <c r="D58" s="102" t="s">
        <v>244</v>
      </c>
      <c r="E58" s="99" t="s">
        <v>245</v>
      </c>
      <c r="F58" s="43" t="s">
        <v>167</v>
      </c>
      <c r="I58" s="1" t="str">
        <f t="shared" si="2"/>
        <v>Information about reference intervals and result interpretation. - Preferred system(s): SNOMED CT</v>
      </c>
    </row>
    <row r="59" spans="2:9" x14ac:dyDescent="0.75">
      <c r="B59" t="str">
        <f t="shared" si="1"/>
        <v xml:space="preserve"> </v>
      </c>
      <c r="C59" s="100"/>
      <c r="D59" s="103"/>
      <c r="E59" s="100"/>
      <c r="F59" s="41"/>
      <c r="I59" s="1" t="str">
        <f t="shared" si="2"/>
        <v xml:space="preserve"> - Preferred system(s): </v>
      </c>
    </row>
    <row r="60" spans="2:9" ht="112.75" thickBot="1" x14ac:dyDescent="0.9">
      <c r="B60" t="str">
        <f t="shared" si="1"/>
        <v xml:space="preserve"> </v>
      </c>
      <c r="C60" s="101"/>
      <c r="D60" s="104"/>
      <c r="E60" s="101"/>
      <c r="F60" s="39" t="s">
        <v>246</v>
      </c>
      <c r="I60" s="1" t="str">
        <f t="shared" si="2"/>
        <v xml:space="preserve"> - Preferred system(s): HL7 v3 Code System ObservationInterpretation</v>
      </c>
    </row>
    <row r="61" spans="2:9" ht="48.75" thickBot="1" x14ac:dyDescent="0.9">
      <c r="B61" t="str">
        <f t="shared" si="1"/>
        <v>A.5.2.13 Result description</v>
      </c>
      <c r="C61" s="36" t="s">
        <v>247</v>
      </c>
      <c r="D61" s="39" t="s">
        <v>248</v>
      </c>
      <c r="E61" s="37" t="s">
        <v>249</v>
      </c>
      <c r="F61" s="38"/>
      <c r="I61" s="1" t="str">
        <f t="shared" si="2"/>
        <v xml:space="preserve">Comments and narrative representation of the observation result and findings. - Preferred system(s): </v>
      </c>
    </row>
    <row r="62" spans="2:9" ht="48.75" thickBot="1" x14ac:dyDescent="0.9">
      <c r="B62" t="str">
        <f t="shared" si="1"/>
        <v>A.5.2.14 Accreditation status</v>
      </c>
      <c r="C62" s="36" t="s">
        <v>250</v>
      </c>
      <c r="D62" s="39" t="s">
        <v>251</v>
      </c>
      <c r="E62" s="37" t="s">
        <v>252</v>
      </c>
      <c r="F62" s="38"/>
      <c r="I62" s="1" t="str">
        <f t="shared" si="2"/>
        <v xml:space="preserve">Accreditation status of the laboratory for the particular observation. - Preferred system(s): </v>
      </c>
    </row>
  </sheetData>
  <mergeCells count="15">
    <mergeCell ref="C58:C60"/>
    <mergeCell ref="D58:D60"/>
    <mergeCell ref="E58:E60"/>
    <mergeCell ref="C49:C51"/>
    <mergeCell ref="D49:D51"/>
    <mergeCell ref="E49:E51"/>
    <mergeCell ref="C55:C57"/>
    <mergeCell ref="D55:D57"/>
    <mergeCell ref="E55:E57"/>
    <mergeCell ref="C36:F36"/>
    <mergeCell ref="C37:F37"/>
    <mergeCell ref="C40:F40"/>
    <mergeCell ref="C42:C44"/>
    <mergeCell ref="D42:D44"/>
    <mergeCell ref="E42:E44"/>
  </mergeCells>
  <pageMargins left="0.7" right="0.7" top="0.75" bottom="0.75" header="0.3" footer="0.3"/>
  <pageSetup paperSize="9" orientation="portrait" r:id="rId1"/>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BFD3AE-57D0-4106-AE85-EC8CD9953363}">
  <sheetPr codeName="Foglio44"/>
  <dimension ref="A1:O43"/>
  <sheetViews>
    <sheetView workbookViewId="0"/>
  </sheetViews>
  <sheetFormatPr defaultRowHeight="14.75" x14ac:dyDescent="0.75"/>
  <cols>
    <col min="2" max="2" width="31.6796875" bestFit="1" customWidth="1"/>
    <col min="3" max="3" width="95.6796875" bestFit="1" customWidth="1"/>
    <col min="4" max="4" width="8.04296875" customWidth="1"/>
    <col min="5" max="5" width="71.58984375" style="1" customWidth="1"/>
    <col min="6" max="6" width="10.76953125" customWidth="1"/>
    <col min="7" max="7" width="45.26953125" customWidth="1"/>
  </cols>
  <sheetData>
    <row r="1" spans="1:15" x14ac:dyDescent="0.75">
      <c r="E1" s="24" t="s">
        <v>37</v>
      </c>
      <c r="H1" s="10"/>
      <c r="I1" s="10"/>
      <c r="J1" s="10"/>
      <c r="K1" s="10"/>
      <c r="L1" s="10"/>
      <c r="M1" s="10"/>
      <c r="N1" s="10"/>
      <c r="O1" s="10"/>
    </row>
    <row r="2" spans="1:15" x14ac:dyDescent="0.75">
      <c r="E2" s="31" t="s">
        <v>38</v>
      </c>
      <c r="H2" s="10"/>
      <c r="I2" s="10"/>
      <c r="J2" s="10"/>
      <c r="K2" s="10"/>
      <c r="L2" s="10"/>
      <c r="M2" s="10"/>
      <c r="N2" s="10"/>
      <c r="O2" s="10"/>
    </row>
    <row r="3" spans="1:15" ht="15.5" thickBot="1" x14ac:dyDescent="0.9">
      <c r="E3" s="31" t="str">
        <f>E1</f>
        <v>// -------------------------------------------------------------------------------</v>
      </c>
      <c r="H3" s="10"/>
      <c r="I3" s="10"/>
      <c r="J3" s="10"/>
      <c r="K3" s="10"/>
      <c r="L3" s="10"/>
      <c r="M3" s="10"/>
      <c r="N3" s="10"/>
      <c r="O3" s="10"/>
    </row>
    <row r="4" spans="1:15" ht="15.5" thickBot="1" x14ac:dyDescent="0.9">
      <c r="B4" s="13" t="s">
        <v>34</v>
      </c>
      <c r="C4" s="7" t="s">
        <v>480</v>
      </c>
      <c r="E4" s="28" t="str">
        <f>CONCATENATE("Mapping: ",C4)</f>
        <v>Mapping: eHNLabResult2Fhir</v>
      </c>
      <c r="G4" t="s">
        <v>20</v>
      </c>
      <c r="H4" s="10"/>
      <c r="I4" s="10"/>
      <c r="J4" s="10"/>
      <c r="K4" s="10"/>
      <c r="L4" s="10"/>
      <c r="M4" s="10"/>
      <c r="N4" s="10"/>
      <c r="O4" s="10"/>
    </row>
    <row r="5" spans="1:15" ht="15.5" thickBot="1" x14ac:dyDescent="0.9">
      <c r="B5" s="13" t="s">
        <v>19</v>
      </c>
      <c r="C5" s="5" t="s">
        <v>16</v>
      </c>
      <c r="E5" s="29" t="str">
        <f>CONCATENATE("Id: ",C5)</f>
        <v>Id: fhir</v>
      </c>
      <c r="G5" s="1" t="s">
        <v>21</v>
      </c>
      <c r="H5" s="10"/>
      <c r="I5" s="10"/>
      <c r="J5" s="10"/>
      <c r="K5" s="10"/>
      <c r="L5" s="10"/>
      <c r="M5" s="10"/>
      <c r="N5" s="10"/>
      <c r="O5" s="10"/>
    </row>
    <row r="6" spans="1:15" ht="15.5" thickBot="1" x14ac:dyDescent="0.9">
      <c r="B6" s="13" t="s">
        <v>13</v>
      </c>
      <c r="C6" s="22" t="s">
        <v>481</v>
      </c>
      <c r="E6" s="29" t="str">
        <f>CONCATENATE("Title: ##34#",C6,"##34#")</f>
        <v>Title: ##34#eHN Lab Result model to FHIR R4 Map##34#</v>
      </c>
      <c r="G6" s="1" t="s">
        <v>22</v>
      </c>
      <c r="H6" s="10"/>
      <c r="I6" s="10"/>
      <c r="J6" s="10"/>
      <c r="K6" s="10"/>
      <c r="L6" s="10"/>
      <c r="M6" s="10"/>
      <c r="N6" s="10"/>
      <c r="O6" s="10"/>
    </row>
    <row r="7" spans="1:15" ht="15.5" thickBot="1" x14ac:dyDescent="0.9">
      <c r="B7" s="13" t="s">
        <v>35</v>
      </c>
      <c r="C7" s="11" t="str">
        <f>B9</f>
        <v>Result</v>
      </c>
      <c r="E7" s="29" t="str">
        <f>CONCATENATE("Source: ",C7)</f>
        <v>Source: Result</v>
      </c>
      <c r="G7" s="1" t="s">
        <v>23</v>
      </c>
      <c r="H7" s="10"/>
      <c r="I7" s="10"/>
      <c r="J7" s="10"/>
      <c r="K7" s="10"/>
      <c r="L7" s="10"/>
      <c r="M7" s="10"/>
      <c r="N7" s="10"/>
      <c r="O7" s="10"/>
    </row>
    <row r="8" spans="1:15" ht="15.5" thickBot="1" x14ac:dyDescent="0.9">
      <c r="B8" s="27" t="s">
        <v>18</v>
      </c>
      <c r="C8" t="s">
        <v>15</v>
      </c>
      <c r="E8" s="30" t="str">
        <f>CONCATENATE("Target: ##34#",C8,"##34#")</f>
        <v>Target: ##34#hl7.org/fhir/r4##34#</v>
      </c>
      <c r="G8" s="1" t="s">
        <v>24</v>
      </c>
      <c r="H8" s="10"/>
      <c r="I8" s="10"/>
      <c r="J8" s="10"/>
      <c r="K8" s="10"/>
      <c r="L8" s="10"/>
      <c r="M8" s="10"/>
      <c r="N8" s="10"/>
      <c r="O8" s="10"/>
    </row>
    <row r="9" spans="1:15" ht="44.25" x14ac:dyDescent="0.75">
      <c r="A9" s="9"/>
      <c r="B9" s="8" t="str">
        <f>'A.5 Results'!B5</f>
        <v>Result</v>
      </c>
      <c r="C9" s="8" t="s">
        <v>612</v>
      </c>
      <c r="E9" s="4" t="str">
        <f>CONCATENATE("* -&gt; ##34#",C9,"##34#")</f>
        <v>* -&gt; ##34#Observation.conformsTo('http://hl7.eu/fhir/ig/xeh/StructureDefinition/Observation-results-laboratory-eu-xeh')##34#</v>
      </c>
      <c r="H9" s="10"/>
      <c r="I9" s="10"/>
      <c r="J9" s="10"/>
      <c r="K9" s="10"/>
      <c r="L9" s="10"/>
      <c r="M9" s="10"/>
      <c r="N9" s="10"/>
      <c r="O9" s="10"/>
    </row>
    <row r="10" spans="1:15" x14ac:dyDescent="0.75">
      <c r="A10" s="9">
        <v>1</v>
      </c>
      <c r="B10" s="65" t="str">
        <f>'A.5 Results'!$B$8</f>
        <v>narrative</v>
      </c>
      <c r="C10" s="9" t="s">
        <v>615</v>
      </c>
      <c r="E10" s="14" t="str">
        <f t="shared" ref="E10:E38" si="0">IF(B10=0,"*  -&gt; ##34###34#",CONCATENATE("* ",B10," -&gt; ##34#",C10,"##34#"))</f>
        <v>* narrative -&gt; ##34#Composition.section.section.text##34#</v>
      </c>
      <c r="G10" s="1" t="s">
        <v>25</v>
      </c>
      <c r="H10" s="10"/>
      <c r="I10" s="10"/>
      <c r="J10" s="10"/>
      <c r="K10" s="10"/>
      <c r="L10" s="10"/>
      <c r="M10" s="10"/>
      <c r="N10" s="10"/>
      <c r="O10" s="10"/>
    </row>
    <row r="11" spans="1:15" x14ac:dyDescent="0.75">
      <c r="A11" s="9"/>
      <c r="B11" s="65" t="str">
        <f>'A.5 Results'!$B$8</f>
        <v>narrative</v>
      </c>
      <c r="C11" s="9" t="s">
        <v>614</v>
      </c>
      <c r="E11" s="14" t="str">
        <f t="shared" si="0"/>
        <v>* narrative -&gt; ##34#Composition.section.text##34#</v>
      </c>
      <c r="G11" s="1"/>
      <c r="H11" s="10"/>
      <c r="I11" s="10"/>
      <c r="J11" s="10"/>
      <c r="K11" s="10"/>
      <c r="L11" s="10"/>
      <c r="M11" s="10"/>
      <c r="N11" s="10"/>
      <c r="O11" s="10"/>
    </row>
    <row r="12" spans="1:15" x14ac:dyDescent="0.75">
      <c r="A12" s="9"/>
      <c r="B12" s="65" t="str">
        <f>'A.5 Results'!$B$8</f>
        <v>narrative</v>
      </c>
      <c r="C12" s="9" t="s">
        <v>616</v>
      </c>
      <c r="E12" s="14" t="str">
        <f t="shared" si="0"/>
        <v>* narrative -&gt; ##34#Composition.text##34#</v>
      </c>
      <c r="G12" s="1"/>
      <c r="H12" s="10"/>
      <c r="I12" s="10"/>
      <c r="J12" s="10"/>
      <c r="K12" s="10"/>
      <c r="L12" s="10"/>
      <c r="M12" s="10"/>
      <c r="N12" s="10"/>
      <c r="O12" s="10"/>
    </row>
    <row r="13" spans="1:15" x14ac:dyDescent="0.75">
      <c r="A13" s="9">
        <v>2</v>
      </c>
      <c r="B13" s="62" t="str">
        <f>'A.5 Results'!$B$9</f>
        <v>narrative.report</v>
      </c>
      <c r="C13" s="9" t="s">
        <v>615</v>
      </c>
      <c r="E13" s="14" t="str">
        <f t="shared" si="0"/>
        <v>* narrative.report -&gt; ##34#Composition.section.section.text##34#</v>
      </c>
      <c r="G13" s="1" t="s">
        <v>26</v>
      </c>
      <c r="H13" s="10"/>
      <c r="I13" s="10"/>
      <c r="J13" s="10"/>
      <c r="K13" s="10"/>
      <c r="L13" s="10"/>
      <c r="M13" s="10"/>
      <c r="N13" s="10"/>
      <c r="O13" s="10"/>
    </row>
    <row r="14" spans="1:15" x14ac:dyDescent="0.75">
      <c r="A14" s="9"/>
      <c r="B14" s="62" t="str">
        <f>'A.5 Results'!$B$9</f>
        <v>narrative.report</v>
      </c>
      <c r="C14" s="9" t="s">
        <v>614</v>
      </c>
      <c r="E14" s="14" t="str">
        <f t="shared" si="0"/>
        <v>* narrative.report -&gt; ##34#Composition.section.text##34#</v>
      </c>
      <c r="G14" s="1"/>
      <c r="H14" s="10"/>
      <c r="I14" s="10"/>
      <c r="J14" s="10"/>
      <c r="K14" s="10"/>
      <c r="L14" s="10"/>
      <c r="M14" s="10"/>
      <c r="N14" s="10"/>
      <c r="O14" s="10"/>
    </row>
    <row r="15" spans="1:15" x14ac:dyDescent="0.75">
      <c r="A15" s="9"/>
      <c r="B15" s="62" t="str">
        <f>'A.5 Results'!$B$9</f>
        <v>narrative.report</v>
      </c>
      <c r="C15" s="9" t="s">
        <v>616</v>
      </c>
      <c r="E15" s="14" t="str">
        <f t="shared" si="0"/>
        <v>* narrative.report -&gt; ##34#Composition.text##34#</v>
      </c>
      <c r="G15" s="1"/>
      <c r="H15" s="10"/>
      <c r="I15" s="10"/>
      <c r="J15" s="10"/>
      <c r="K15" s="10"/>
      <c r="L15" s="10"/>
      <c r="M15" s="10"/>
      <c r="N15" s="10"/>
      <c r="O15" s="10"/>
    </row>
    <row r="16" spans="1:15" ht="44.25" x14ac:dyDescent="0.75">
      <c r="A16" s="9">
        <v>3</v>
      </c>
      <c r="B16" s="9" t="str">
        <f>'A.5 Results'!B10</f>
        <v>narrative.notes</v>
      </c>
      <c r="C16" s="9" t="s">
        <v>617</v>
      </c>
      <c r="E16" s="14" t="str">
        <f t="shared" si="0"/>
        <v>* narrative.notes -&gt; ##34#Composition.section:annotations.text##34#</v>
      </c>
      <c r="G16" s="1" t="s">
        <v>27</v>
      </c>
      <c r="H16" s="10"/>
      <c r="I16" s="10"/>
      <c r="J16" s="10"/>
      <c r="K16" s="10"/>
      <c r="L16" s="10"/>
      <c r="M16" s="10"/>
      <c r="N16" s="10"/>
      <c r="O16" s="10"/>
    </row>
    <row r="17" spans="1:15" ht="44.25" x14ac:dyDescent="0.75">
      <c r="A17" s="9">
        <v>4</v>
      </c>
      <c r="B17" s="62" t="str">
        <f>'A.5 Results'!$B$11</f>
        <v>observation</v>
      </c>
      <c r="C17" s="9" t="s">
        <v>612</v>
      </c>
      <c r="E17" s="14" t="str">
        <f t="shared" si="0"/>
        <v>* observation -&gt; ##34#Observation.conformsTo('http://hl7.eu/fhir/ig/xeh/StructureDefinition/Observation-results-laboratory-eu-xeh')##34#</v>
      </c>
      <c r="G17" s="1" t="s">
        <v>28</v>
      </c>
      <c r="H17" s="10"/>
      <c r="I17" s="10"/>
      <c r="J17" s="10"/>
      <c r="K17" s="10"/>
      <c r="L17" s="10"/>
      <c r="M17" s="10"/>
      <c r="N17" s="10"/>
      <c r="O17" s="10"/>
    </row>
    <row r="18" spans="1:15" x14ac:dyDescent="0.75">
      <c r="A18" s="9"/>
      <c r="B18" s="62" t="str">
        <f>'A.5 Results'!$B$11</f>
        <v>observation</v>
      </c>
      <c r="C18" s="9" t="s">
        <v>618</v>
      </c>
      <c r="E18" s="14" t="str">
        <f t="shared" si="0"/>
        <v>* observation -&gt; ##34#Observation.hasMember.resolve()##34#</v>
      </c>
      <c r="G18" s="1"/>
      <c r="H18" s="10"/>
      <c r="I18" s="10"/>
      <c r="J18" s="10"/>
      <c r="K18" s="10"/>
      <c r="L18" s="10"/>
      <c r="M18" s="10"/>
      <c r="N18" s="10"/>
      <c r="O18" s="10"/>
    </row>
    <row r="19" spans="1:15" x14ac:dyDescent="0.75">
      <c r="A19" s="9"/>
      <c r="B19" s="62" t="str">
        <f>'A.5 Results'!$B$11</f>
        <v>observation</v>
      </c>
      <c r="C19" s="9" t="s">
        <v>619</v>
      </c>
      <c r="E19" s="14" t="str">
        <f t="shared" si="0"/>
        <v>* observation -&gt; ##34#Observation.component##34#</v>
      </c>
      <c r="G19" s="1"/>
      <c r="H19" s="10"/>
      <c r="I19" s="10"/>
      <c r="J19" s="10"/>
      <c r="K19" s="10"/>
      <c r="L19" s="10"/>
      <c r="M19" s="10"/>
      <c r="N19" s="10"/>
      <c r="O19" s="10"/>
    </row>
    <row r="20" spans="1:15" x14ac:dyDescent="0.75">
      <c r="A20" s="9">
        <v>5</v>
      </c>
      <c r="B20" s="9" t="str">
        <f>'A.5 Results'!B12</f>
        <v>observation.dateTime</v>
      </c>
      <c r="C20" s="9" t="s">
        <v>620</v>
      </c>
      <c r="E20" s="14" t="str">
        <f t="shared" si="0"/>
        <v>* observation.dateTime -&gt; ##34#Observation.effective[x]##34#</v>
      </c>
      <c r="G20" s="1" t="s">
        <v>29</v>
      </c>
      <c r="H20" s="10"/>
      <c r="I20" s="10"/>
      <c r="J20" s="10"/>
      <c r="K20" s="10"/>
      <c r="L20" s="10"/>
      <c r="M20" s="10"/>
      <c r="N20" s="10"/>
      <c r="O20" s="10"/>
    </row>
    <row r="21" spans="1:15" ht="29.5" x14ac:dyDescent="0.75">
      <c r="A21" s="9">
        <v>6</v>
      </c>
      <c r="B21" s="9" t="str">
        <f>'A.5 Results'!B13</f>
        <v>observation.code</v>
      </c>
      <c r="C21" s="9" t="s">
        <v>621</v>
      </c>
      <c r="E21" s="14" t="str">
        <f t="shared" si="0"/>
        <v>* observation.code -&gt; ##34#Observation.code##34#</v>
      </c>
      <c r="G21" s="1" t="s">
        <v>30</v>
      </c>
      <c r="H21" s="10"/>
      <c r="I21" s="10"/>
      <c r="J21" s="10"/>
      <c r="K21" s="10"/>
      <c r="L21" s="10"/>
      <c r="M21" s="10"/>
      <c r="N21" s="10"/>
      <c r="O21" s="10"/>
    </row>
    <row r="22" spans="1:15" ht="29.5" x14ac:dyDescent="0.75">
      <c r="A22" s="9">
        <v>7</v>
      </c>
      <c r="B22" s="9" t="str">
        <f>'A.5 Results'!B14</f>
        <v>observation.code.name</v>
      </c>
      <c r="C22" s="67" t="s">
        <v>622</v>
      </c>
      <c r="E22" s="14" t="str">
        <f t="shared" si="0"/>
        <v>* observation.code.name -&gt; ##34#Observation.code.coding.display##34#</v>
      </c>
      <c r="G22" s="1" t="s">
        <v>31</v>
      </c>
      <c r="H22" s="10"/>
      <c r="I22" s="10"/>
      <c r="J22" s="10"/>
      <c r="K22" s="10"/>
      <c r="L22" s="10"/>
      <c r="M22" s="10"/>
      <c r="N22" s="10"/>
      <c r="O22" s="10"/>
    </row>
    <row r="23" spans="1:15" ht="29.5" x14ac:dyDescent="0.75">
      <c r="A23" s="9">
        <v>8</v>
      </c>
      <c r="B23" s="9" t="str">
        <f>'A.5 Results'!B15</f>
        <v>observation.code.originalName</v>
      </c>
      <c r="C23" s="9" t="s">
        <v>623</v>
      </c>
      <c r="E23" s="14" t="str">
        <f t="shared" si="0"/>
        <v>* observation.code.originalName -&gt; ##34#Observation.code.text##34#</v>
      </c>
      <c r="G23" s="1" t="s">
        <v>32</v>
      </c>
    </row>
    <row r="24" spans="1:15" ht="29.5" x14ac:dyDescent="0.75">
      <c r="A24" s="9">
        <v>9</v>
      </c>
      <c r="B24" s="9" t="str">
        <f>'A.5 Results'!B16</f>
        <v>observation.code.displayName</v>
      </c>
      <c r="C24" s="67" t="s">
        <v>624</v>
      </c>
      <c r="E24" s="14" t="str">
        <f t="shared" si="0"/>
        <v>* observation.code.displayName -&gt; ##34#Observation.code.coding.display.extension('translation') (TBD)##34#</v>
      </c>
      <c r="G24" s="1" t="s">
        <v>33</v>
      </c>
    </row>
    <row r="25" spans="1:15" x14ac:dyDescent="0.75">
      <c r="A25" s="9">
        <v>10</v>
      </c>
      <c r="B25" s="9" t="str">
        <f>'A.5 Results'!B17</f>
        <v>observation.method</v>
      </c>
      <c r="C25" s="9" t="s">
        <v>625</v>
      </c>
      <c r="E25" s="14" t="str">
        <f t="shared" si="0"/>
        <v>* observation.method -&gt; ##34#Observation.method##34#</v>
      </c>
    </row>
    <row r="26" spans="1:15" x14ac:dyDescent="0.75">
      <c r="A26" s="9"/>
      <c r="B26" s="9" t="str">
        <f>'A.5 Results'!B18</f>
        <v>observation.device</v>
      </c>
      <c r="C26" s="9" t="s">
        <v>626</v>
      </c>
      <c r="E26" s="14" t="str">
        <f t="shared" si="0"/>
        <v>* observation.device -&gt; ##34#Observation.device.resolve()##34#</v>
      </c>
    </row>
    <row r="27" spans="1:15" ht="29.5" x14ac:dyDescent="0.75">
      <c r="B27" s="9" t="str">
        <f>'A.5 Results'!B19</f>
        <v>observation.order</v>
      </c>
      <c r="C27" s="9" t="s">
        <v>627</v>
      </c>
      <c r="E27" s="14" t="str">
        <f t="shared" si="0"/>
        <v>* observation.order -&gt; ##34#Observation.basedOn.resolve().ofType(ServiceRequest)##34#</v>
      </c>
    </row>
    <row r="28" spans="1:15" x14ac:dyDescent="0.75">
      <c r="B28" s="9" t="str">
        <f>'A.5 Results'!B20</f>
        <v>observation.performer</v>
      </c>
      <c r="C28" s="9" t="s">
        <v>628</v>
      </c>
      <c r="E28" s="14" t="str">
        <f t="shared" si="0"/>
        <v>* observation.performer -&gt; ##34#Observation.performer.resolve()##34#</v>
      </c>
    </row>
    <row r="29" spans="1:15" x14ac:dyDescent="0.75">
      <c r="B29" s="9" t="str">
        <f>'A.5 Results'!B21</f>
        <v>observation.reporter</v>
      </c>
      <c r="C29" s="67" t="s">
        <v>354</v>
      </c>
      <c r="E29" s="14" t="str">
        <f t="shared" si="0"/>
        <v>* observation.reporter -&gt; ##34#to be mapped##34#</v>
      </c>
    </row>
    <row r="30" spans="1:15" x14ac:dyDescent="0.75">
      <c r="B30" s="9" t="str">
        <f>'A.5 Results'!B22</f>
        <v>observation.result</v>
      </c>
      <c r="C30" s="9" t="s">
        <v>629</v>
      </c>
      <c r="E30" s="14" t="str">
        <f t="shared" si="0"/>
        <v>* observation.result -&gt; ##34#Observation.value[x]##34#</v>
      </c>
    </row>
    <row r="31" spans="1:15" x14ac:dyDescent="0.75">
      <c r="B31" s="9" t="str">
        <f>'A.5 Results'!B23</f>
        <v>observation.interpretation</v>
      </c>
      <c r="C31" s="9" t="s">
        <v>630</v>
      </c>
      <c r="E31" s="14" t="str">
        <f t="shared" si="0"/>
        <v>* observation.interpretation -&gt; ##34#Observation.interpretation##34#</v>
      </c>
    </row>
    <row r="32" spans="1:15" x14ac:dyDescent="0.75">
      <c r="B32" s="62" t="str">
        <f>'A.5 Results'!$B$24</f>
        <v>observation.description</v>
      </c>
      <c r="C32" s="9" t="s">
        <v>631</v>
      </c>
      <c r="E32" s="14" t="str">
        <f t="shared" si="0"/>
        <v>* observation.description -&gt; ##34#Observation.text##34#</v>
      </c>
    </row>
    <row r="33" spans="2:5" x14ac:dyDescent="0.75">
      <c r="B33" s="62" t="str">
        <f>'A.5 Results'!$B$24</f>
        <v>observation.description</v>
      </c>
      <c r="C33" s="9" t="s">
        <v>632</v>
      </c>
      <c r="E33" s="14" t="str">
        <f t="shared" si="0"/>
        <v>* observation.description -&gt; ##34#Observation.note##34#</v>
      </c>
    </row>
    <row r="34" spans="2:5" x14ac:dyDescent="0.75">
      <c r="B34" s="9" t="str">
        <f>'A.5 Results'!B25</f>
        <v>observation.accreditationStatus</v>
      </c>
      <c r="C34" s="66" t="s">
        <v>354</v>
      </c>
      <c r="E34" s="14" t="str">
        <f t="shared" si="0"/>
        <v>* observation.accreditationStatus -&gt; ##34#to be mapped##34#</v>
      </c>
    </row>
    <row r="35" spans="2:5" x14ac:dyDescent="0.75">
      <c r="B35" s="9">
        <f>'A.5 Results'!B26</f>
        <v>0</v>
      </c>
      <c r="C35" s="9" t="s">
        <v>354</v>
      </c>
      <c r="E35" s="14" t="str">
        <f t="shared" si="0"/>
        <v>*  -&gt; ##34###34#</v>
      </c>
    </row>
    <row r="36" spans="2:5" x14ac:dyDescent="0.75">
      <c r="B36" s="9">
        <f>'A.5 Results'!B27</f>
        <v>0</v>
      </c>
      <c r="E36" s="14" t="str">
        <f t="shared" si="0"/>
        <v>*  -&gt; ##34###34#</v>
      </c>
    </row>
    <row r="37" spans="2:5" x14ac:dyDescent="0.75">
      <c r="B37" s="9">
        <f>'A.5 Results'!B28</f>
        <v>0</v>
      </c>
      <c r="E37" s="14" t="str">
        <f t="shared" si="0"/>
        <v>*  -&gt; ##34###34#</v>
      </c>
    </row>
    <row r="38" spans="2:5" x14ac:dyDescent="0.75">
      <c r="B38" s="9">
        <f>'A.5 Results'!B29</f>
        <v>0</v>
      </c>
      <c r="E38" s="14" t="str">
        <f t="shared" si="0"/>
        <v>*  -&gt; ##34###34#</v>
      </c>
    </row>
    <row r="39" spans="2:5" x14ac:dyDescent="0.75">
      <c r="B39" s="9">
        <f>'A.5 Results'!B30</f>
        <v>0</v>
      </c>
      <c r="E39" s="14"/>
    </row>
    <row r="40" spans="2:5" x14ac:dyDescent="0.75">
      <c r="B40" s="9">
        <f>'A.5 Results'!B31</f>
        <v>0</v>
      </c>
    </row>
    <row r="41" spans="2:5" x14ac:dyDescent="0.75">
      <c r="B41" s="9">
        <f>'A.5 Results'!B32</f>
        <v>0</v>
      </c>
    </row>
    <row r="42" spans="2:5" x14ac:dyDescent="0.75">
      <c r="B42" s="9">
        <f>'A.5 Results'!B33</f>
        <v>0</v>
      </c>
    </row>
    <row r="43" spans="2:5" x14ac:dyDescent="0.75">
      <c r="B43" s="9">
        <f>'A.5 Results'!B34</f>
        <v>0</v>
      </c>
    </row>
  </sheetData>
  <pageMargins left="0.7" right="0.7" top="0.75" bottom="0.75" header="0.3" footer="0.3"/>
</worksheet>
</file>

<file path=xl/worksheets/sheet5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85DC1C-6CDC-409A-94CB-AB6AC2A9A840}">
  <sheetPr codeName="Foglio15">
    <tabColor theme="8" tint="-0.249977111117893"/>
  </sheetPr>
  <dimension ref="C1:G68"/>
  <sheetViews>
    <sheetView workbookViewId="0"/>
  </sheetViews>
  <sheetFormatPr defaultRowHeight="14.75" x14ac:dyDescent="0.75"/>
  <cols>
    <col min="3" max="3" width="108.2265625" style="14" customWidth="1"/>
    <col min="4" max="4" width="5.26953125" customWidth="1"/>
    <col min="5" max="5" width="4.81640625" customWidth="1"/>
    <col min="7" max="7" width="37.08984375" customWidth="1"/>
  </cols>
  <sheetData>
    <row r="1" spans="3:7" ht="15.5" thickBot="1" x14ac:dyDescent="0.9">
      <c r="C1" s="32" t="str">
        <f>'A.5 Results'!I1</f>
        <v>// -------------------------------------------------------------------------------</v>
      </c>
    </row>
    <row r="2" spans="3:7" ht="16.75" thickBot="1" x14ac:dyDescent="0.9">
      <c r="C2" s="33" t="str">
        <f>'A.5 Results'!I2</f>
        <v>//  Logical Model</v>
      </c>
      <c r="G2" s="56" t="s">
        <v>482</v>
      </c>
    </row>
    <row r="3" spans="3:7" x14ac:dyDescent="0.75">
      <c r="C3" s="33" t="str">
        <f>'A.5 Results'!I3</f>
        <v>// -------------------------------------------------------------------------------</v>
      </c>
      <c r="G3" s="10"/>
    </row>
    <row r="4" spans="3:7" x14ac:dyDescent="0.75">
      <c r="C4" s="25" t="str">
        <f>'A.5 Results'!I4</f>
        <v>Logical: ResultLabEhn</v>
      </c>
    </row>
    <row r="5" spans="3:7" x14ac:dyDescent="0.75">
      <c r="C5" s="25" t="str">
        <f>'A.5 Results'!I5</f>
        <v>Id: Result</v>
      </c>
    </row>
    <row r="6" spans="3:7" x14ac:dyDescent="0.75">
      <c r="C6" s="25" t="str">
        <f>'A.5 Results'!I6</f>
        <v>Title: ##34#A.5, Results data elements##34#</v>
      </c>
    </row>
    <row r="7" spans="3:7" x14ac:dyDescent="0.75">
      <c r="C7" s="25" t="str">
        <f>'A.5 Results'!I7</f>
        <v>Description:  ##334#A.5 Results data elements##334#</v>
      </c>
    </row>
    <row r="8" spans="3:7" x14ac:dyDescent="0.75">
      <c r="C8" s="14" t="str">
        <f>IF('A.5 Results'!I8="*  ..  ##34###34# ##334###334#","//--- END",'A.5 Results'!I8)</f>
        <v>* narrative 0..1 BackboneElement ##34#A.5.1 Laboratory report narrative##34# ##334#A.5.1 Laboratory report narrative##334#</v>
      </c>
    </row>
    <row r="9" spans="3:7" ht="29.5" x14ac:dyDescent="0.75">
      <c r="C9" s="14" t="str">
        <f>IF('A.5 Results'!I9="*  ..  ##34###34# ##334###334#","//--- END",'A.5 Results'!I9)</f>
        <v>* narrative.report 0..* Narrative ##34#A.5.1.1 Narrative report##34# ##334#Entire report (textual summary inside the laboratory result report document) as issued by the laboratory.##334#</v>
      </c>
    </row>
    <row r="10" spans="3:7" ht="29.5" x14ac:dyDescent="0.75">
      <c r="C10" s="14" t="str">
        <f>IF('A.5 Results'!I10="*  ..  ##34###34# ##334###334#","//--- END",'A.5 Results'!I10)</f>
        <v>* narrative.notes 0..* Narrative ##34#A.5.1.2 Comments, interpretation and recommendations##34# ##334#Comments, such as a textual interpretation or advice accompanying the result report, for example.##334#</v>
      </c>
      <c r="E10" t="s">
        <v>307</v>
      </c>
    </row>
    <row r="11" spans="3:7" ht="29.5" x14ac:dyDescent="0.75">
      <c r="C11" s="14" t="str">
        <f>IF('A.5 Results'!I11="*  ..  ##34###34# ##334###334#","//--- END",'A.5 Results'!I11)</f>
        <v>* observation 0..* BackboneElement ##34#A.5.2 Observation details##34# ##334#A.5.2 Observation details (report could consist of multiple observations) ##334#</v>
      </c>
    </row>
    <row r="12" spans="3:7" ht="29.5" x14ac:dyDescent="0.75">
      <c r="C12" s="14" t="str">
        <f>IF('A.5 Results'!I12="*  ..  ##34###34# ##334###334#","//--- END",'A.5 Results'!I12)</f>
        <v>* observation.dateTime 0..* CodeableConcept ##34#A.5.2.1 Observation date##34# ##334#Date and time of the observation - Preferred system(s): ISO 8601##334#</v>
      </c>
    </row>
    <row r="13" spans="3:7" ht="73.75" x14ac:dyDescent="0.75">
      <c r="C13" s="14" t="str">
        <f>IF('A.5 Results'!I13="*  ..  ##34###34# ##334###334#","//--- END",'A.5 Results'!I13)</f>
        <v>* observation.code 0..* CodeableConcept ##34#A.5.2.3 Observation code##34# ##334#Code representing the observation using the agreed code systems.
- Preferred system(s): LOINC
 - Preferred system(s): NPU
 - Preferred system(s): SNOMED CT##334#</v>
      </c>
    </row>
    <row r="14" spans="3:7" ht="29.5" x14ac:dyDescent="0.75">
      <c r="C14" s="14" t="str">
        <f>IF('A.5 Results'!I14="*  ..  ##34###34# ##334###334#","//--- END",'A.5 Results'!I14)</f>
        <v>* observation.code.name 0..* string ##34#A.5.2.3.1 Observation name##34# ##334#Full name of the observation according to the used test coding standard.##334#</v>
      </c>
    </row>
    <row r="15" spans="3:7" ht="29.5" x14ac:dyDescent="0.75">
      <c r="C15" s="14" t="str">
        <f>IF('A.5 Results'!I15="*  ..  ##34###34# ##334###334#","//--- END",'A.5 Results'!I15)</f>
        <v>* observation.code.originalName 0..* string ##34#A.5.2.3.2 Observation original name##34# ##334#Original (conventional) name of the observation as used by the laboratory##334#</v>
      </c>
    </row>
    <row r="16" spans="3:7" ht="29.5" x14ac:dyDescent="0.75">
      <c r="C16" s="14" t="str">
        <f>IF('A.5 Results'!I16="*  ..  ##34###34# ##334###334#","//--- END",'A.5 Results'!I16)</f>
        <v>* observation.code.displayName 0..* string ##34#A.5.2.3.3 Observation display name##34# ##334#Simplified (short name of the observation) for display.##334#</v>
      </c>
    </row>
    <row r="17" spans="3:3" ht="44.25" x14ac:dyDescent="0.75">
      <c r="C17" s="14" t="str">
        <f>IF('A.5 Results'!I17="*  ..  ##34###34# ##334###334#","//--- END",'A.5 Results'!I17)</f>
        <v>* observation.method 0..* CodeableConcept ##34#A.5.2.4 Observation method##34# ##334#Observation method (measurement principle) to obtain the result.
- Preferred system(s): SNOMED CT##334#</v>
      </c>
    </row>
    <row r="18" spans="3:3" ht="59" x14ac:dyDescent="0.75">
      <c r="C18" s="14" t="str">
        <f>IF('A.5 Results'!I18="*  ..  ##34###34# ##334###334#","//--- END",'A.5 Results'!I18)</f>
        <v>* observation.device 0..* CodeableConcept ##34#A.5.2.5 Observation device##34# ##334#Device (analyser), laboratory test kit and used calibrator information (identifier, type, name, model, manufacturer)
- Preferred system(s): SNOMED CT
 - Preferred system(s): EMDN##334#</v>
      </c>
    </row>
    <row r="19" spans="3:3" ht="29.5" x14ac:dyDescent="0.75">
      <c r="C19" s="14" t="str">
        <f>IF('A.5 Results'!I19="*  ..  ##34###34# ##334###334#","//--- END",'A.5 Results'!I19)</f>
        <v>* observation.order 0..* BackboneElement ##34#A.5.2.8 Order##34# ##334#Identifies order and order placer this observation belongs to.##334#</v>
      </c>
    </row>
    <row r="20" spans="3:3" ht="44.25" x14ac:dyDescent="0.75">
      <c r="C20" s="14" t="str">
        <f>IF('A.5 Results'!I20="*  ..  ##34###34# ##334###334#","//--- END",'A.5 Results'!I20)</f>
        <v>* observation.performer 0..* BackboneElement ##34#A.5.2.9 Performer##34# ##334#Identifies the originator/author and provides provenance information about the source of the results data that may have not originated with the source of the whole Laboratory Report document. ##334#</v>
      </c>
    </row>
    <row r="21" spans="3:3" ht="29.5" x14ac:dyDescent="0.75">
      <c r="C21" s="14" t="str">
        <f>IF('A.5 Results'!I21="*  ..  ##34###34# ##334###334#","//--- END",'A.5 Results'!I21)</f>
        <v>* observation.reporter 0..* BackboneElement ##34#A.5.2.10 Reporter##34# ##334#With certain observation results, e.g. there may also be an interpreter or a person responsible for validation.##334#</v>
      </c>
    </row>
    <row r="22" spans="3:3" ht="73.75" x14ac:dyDescent="0.75">
      <c r="C22" s="14" t="str">
        <f>IF('A.5 Results'!I22="*  ..  ##34###34# ##334###334#","//--- END",'A.5 Results'!I22)</f>
        <v>* observation.result 0..* BackboneElement ##34#A.5.2.11 Observation result##34# ##334#Result of the observation including text, numeric and coded results of the measurement and measurement uncertainty. Content of the observation result will vary according to the type of the observation. 
- Preferred system(s): SNOMED CT (for ordinal or nominal scale results and result interpretation)
 - Preferred system(s): UCUM (for units)##334#</v>
      </c>
    </row>
    <row r="23" spans="3:3" ht="59" x14ac:dyDescent="0.75">
      <c r="C23" s="14" t="str">
        <f>IF('A.5 Results'!I23="*  ..  ##34###34# ##334###334#","//--- END",'A.5 Results'!I23)</f>
        <v>* observation.interpretation 0..* CodeableConcept ##34#A.5.2.12 Observation interpretation##34# ##334#Information about reference intervals and result interpretation.
 - Preferred system(s): SNOMED CT
 - Preferred system(s): HL7 v3 Code System ObservationInterpretation##334#</v>
      </c>
    </row>
    <row r="24" spans="3:3" ht="29.5" x14ac:dyDescent="0.75">
      <c r="C24" s="14" t="str">
        <f>IF('A.5 Results'!I24="*  ..  ##34###34# ##334###334#","//--- END",'A.5 Results'!I24)</f>
        <v>* observation.description 0..* Narrative ##34#A.5.2.13 Result description##34# ##334#Comments and narrative representation of the observation result and findings.##334#</v>
      </c>
    </row>
    <row r="25" spans="3:3" ht="29.5" x14ac:dyDescent="0.75">
      <c r="C25" s="14" t="str">
        <f>IF('A.5 Results'!I25="*  ..  ##34###34# ##334###334#","//--- END",'A.5 Results'!I25)</f>
        <v>* observation.accreditationStatus 0..* BackboneElement ##34#A.5.2.14 Accreditation status##34# ##334#Accreditation status of the laboratory for the particular observation.##334#</v>
      </c>
    </row>
    <row r="26" spans="3:3" x14ac:dyDescent="0.75">
      <c r="C26" s="14" t="str">
        <f>IF('A.5 Results'!I26="*  ..  ##34###34# ##334###334#","//--- END",'A.5 Results'!I26)</f>
        <v>//--- END</v>
      </c>
    </row>
    <row r="27" spans="3:3" x14ac:dyDescent="0.75">
      <c r="C27" s="14" t="str">
        <f>IF('A.5 Results'!I27="*  ..  ##34###34# ##334###334#","//--- END",'A.5 Results'!I27)</f>
        <v>//--- END</v>
      </c>
    </row>
    <row r="28" spans="3:3" x14ac:dyDescent="0.75">
      <c r="C28" s="14" t="str">
        <f>IF('A.5 Results'!I28="*  ..  ##34###34# ##334###334#","//--- END",'A.5 Results'!I28)</f>
        <v>//--- END</v>
      </c>
    </row>
    <row r="31" spans="3:3" x14ac:dyDescent="0.75">
      <c r="C31" s="32" t="str">
        <f>'Results-Map-1'!E1</f>
        <v>// -------------------------------------------------------------------------------</v>
      </c>
    </row>
    <row r="32" spans="3:3" x14ac:dyDescent="0.75">
      <c r="C32" s="33" t="str">
        <f>'Results-Map-1'!E2</f>
        <v>//  Map to FHIR R4</v>
      </c>
    </row>
    <row r="33" spans="3:3" x14ac:dyDescent="0.75">
      <c r="C33" s="33" t="str">
        <f>'Results-Map-1'!E3</f>
        <v>// -------------------------------------------------------------------------------</v>
      </c>
    </row>
    <row r="34" spans="3:3" x14ac:dyDescent="0.75">
      <c r="C34" s="14" t="str">
        <f>'Results-Map-1'!E4</f>
        <v>Mapping: eHNLabResult2Fhir</v>
      </c>
    </row>
    <row r="35" spans="3:3" x14ac:dyDescent="0.75">
      <c r="C35" s="14" t="str">
        <f>'Results-Map-1'!E5</f>
        <v>Id: fhir</v>
      </c>
    </row>
    <row r="36" spans="3:3" x14ac:dyDescent="0.75">
      <c r="C36" s="14" t="str">
        <f>'Results-Map-1'!E6</f>
        <v>Title: ##34#eHN Lab Result model to FHIR R4 Map##34#</v>
      </c>
    </row>
    <row r="37" spans="3:3" x14ac:dyDescent="0.75">
      <c r="C37" s="14" t="str">
        <f>'Results-Map-1'!E7</f>
        <v>Source: Result</v>
      </c>
    </row>
    <row r="38" spans="3:3" x14ac:dyDescent="0.75">
      <c r="C38" s="14" t="str">
        <f>'Results-Map-1'!E8</f>
        <v>Target: ##34#hl7.org/fhir/r4##34#</v>
      </c>
    </row>
    <row r="40" spans="3:3" x14ac:dyDescent="0.75">
      <c r="C40" s="4" t="str">
        <f>'Results-Map-1'!E9</f>
        <v>* -&gt; ##34#Observation.conformsTo('http://hl7.eu/fhir/ig/xeh/StructureDefinition/Observation-results-laboratory-eu-xeh')##34#</v>
      </c>
    </row>
    <row r="41" spans="3:3" x14ac:dyDescent="0.75">
      <c r="C41" s="14" t="str">
        <f>IF('Results-Map-1'!E10="*  -&gt; ##34###34#","// --END",'Results-Map-1'!E10)</f>
        <v>* narrative -&gt; ##34#Composition.section.section.text##34#</v>
      </c>
    </row>
    <row r="42" spans="3:3" x14ac:dyDescent="0.75">
      <c r="C42" s="14" t="str">
        <f>IF('Results-Map-1'!E11="*  -&gt; ##34###34#","// --END",'Results-Map-1'!E11)</f>
        <v>* narrative -&gt; ##34#Composition.section.text##34#</v>
      </c>
    </row>
    <row r="43" spans="3:3" x14ac:dyDescent="0.75">
      <c r="C43" s="14" t="str">
        <f>IF('Results-Map-1'!E12="*  -&gt; ##34###34#","// --END",'Results-Map-1'!E12)</f>
        <v>* narrative -&gt; ##34#Composition.text##34#</v>
      </c>
    </row>
    <row r="44" spans="3:3" x14ac:dyDescent="0.75">
      <c r="C44" s="14" t="str">
        <f>IF('Results-Map-1'!E13="*  -&gt; ##34###34#","// --END",'Results-Map-1'!E13)</f>
        <v>* narrative.report -&gt; ##34#Composition.section.section.text##34#</v>
      </c>
    </row>
    <row r="45" spans="3:3" x14ac:dyDescent="0.75">
      <c r="C45" s="14" t="str">
        <f>IF('Results-Map-1'!E14="*  -&gt; ##34###34#","// --END",'Results-Map-1'!E14)</f>
        <v>* narrative.report -&gt; ##34#Composition.section.text##34#</v>
      </c>
    </row>
    <row r="46" spans="3:3" x14ac:dyDescent="0.75">
      <c r="C46" s="14" t="str">
        <f>IF('Results-Map-1'!E15="*  -&gt; ##34###34#","// --END",'Results-Map-1'!E15)</f>
        <v>* narrative.report -&gt; ##34#Composition.text##34#</v>
      </c>
    </row>
    <row r="47" spans="3:3" x14ac:dyDescent="0.75">
      <c r="C47" s="14" t="str">
        <f>IF('Results-Map-1'!E16="*  -&gt; ##34###34#","// --END",'Results-Map-1'!E16)</f>
        <v>* narrative.notes -&gt; ##34#Composition.section:annotations.text##34#</v>
      </c>
    </row>
    <row r="48" spans="3:3" ht="29.5" x14ac:dyDescent="0.75">
      <c r="C48" s="14" t="str">
        <f>IF('Results-Map-1'!E17="*  -&gt; ##34###34#","// --END",'Results-Map-1'!E17)</f>
        <v>* observation -&gt; ##34#Observation.conformsTo('http://hl7.eu/fhir/ig/xeh/StructureDefinition/Observation-results-laboratory-eu-xeh')##34#</v>
      </c>
    </row>
    <row r="49" spans="3:7" x14ac:dyDescent="0.75">
      <c r="C49" s="14" t="str">
        <f>IF('Results-Map-1'!E18="*  -&gt; ##34###34#","// --END",'Results-Map-1'!E18)</f>
        <v>* observation -&gt; ##34#Observation.hasMember.resolve()##34#</v>
      </c>
      <c r="G49" s="10"/>
    </row>
    <row r="50" spans="3:7" x14ac:dyDescent="0.75">
      <c r="C50" s="14" t="str">
        <f>IF('Results-Map-1'!E19="*  -&gt; ##34###34#","// --END",'Results-Map-1'!E19)</f>
        <v>* observation -&gt; ##34#Observation.component##34#</v>
      </c>
    </row>
    <row r="51" spans="3:7" x14ac:dyDescent="0.75">
      <c r="C51" s="14" t="str">
        <f>IF('Results-Map-1'!E20="*  -&gt; ##34###34#","// --END",'Results-Map-1'!E20)</f>
        <v>* observation.dateTime -&gt; ##34#Observation.effective[x]##34#</v>
      </c>
    </row>
    <row r="52" spans="3:7" x14ac:dyDescent="0.75">
      <c r="C52" s="14" t="str">
        <f>IF('Results-Map-1'!E21="*  -&gt; ##34###34#","// --END",'Results-Map-1'!E21)</f>
        <v>* observation.code -&gt; ##34#Observation.code##34#</v>
      </c>
    </row>
    <row r="53" spans="3:7" x14ac:dyDescent="0.75">
      <c r="C53" s="14" t="str">
        <f>IF('Results-Map-1'!E22="*  -&gt; ##34###34#","// --END",'Results-Map-1'!E22)</f>
        <v>* observation.code.name -&gt; ##34#Observation.code.coding.display##34#</v>
      </c>
    </row>
    <row r="54" spans="3:7" x14ac:dyDescent="0.75">
      <c r="C54" s="14" t="str">
        <f>IF('Results-Map-1'!E23="*  -&gt; ##34###34#","// --END",'Results-Map-1'!E23)</f>
        <v>* observation.code.originalName -&gt; ##34#Observation.code.text##34#</v>
      </c>
    </row>
    <row r="55" spans="3:7" x14ac:dyDescent="0.75">
      <c r="C55" s="14" t="str">
        <f>IF('Results-Map-1'!E24="*  -&gt; ##34###34#","// --END",'Results-Map-1'!E24)</f>
        <v>* observation.code.displayName -&gt; ##34#Observation.code.coding.display.extension('translation') (TBD)##34#</v>
      </c>
    </row>
    <row r="56" spans="3:7" x14ac:dyDescent="0.75">
      <c r="C56" s="14" t="str">
        <f>IF('Results-Map-1'!E25="*  -&gt; ##34###34#","// --END",'Results-Map-1'!E25)</f>
        <v>* observation.method -&gt; ##34#Observation.method##34#</v>
      </c>
    </row>
    <row r="57" spans="3:7" x14ac:dyDescent="0.75">
      <c r="C57" s="14" t="str">
        <f>IF('Results-Map-1'!E26="*  -&gt; ##34###34#","// --END",'Results-Map-1'!E26)</f>
        <v>* observation.device -&gt; ##34#Observation.device.resolve()##34#</v>
      </c>
    </row>
    <row r="58" spans="3:7" x14ac:dyDescent="0.75">
      <c r="C58" s="14" t="str">
        <f>IF('Results-Map-1'!E27="*  -&gt; ##34###34#","// --END",'Results-Map-1'!E27)</f>
        <v>* observation.order -&gt; ##34#Observation.basedOn.resolve().ofType(ServiceRequest)##34#</v>
      </c>
    </row>
    <row r="59" spans="3:7" x14ac:dyDescent="0.75">
      <c r="C59" s="14" t="str">
        <f>IF('Results-Map-1'!E28="*  -&gt; ##34###34#","// --END",'Results-Map-1'!E28)</f>
        <v>* observation.performer -&gt; ##34#Observation.performer.resolve()##34#</v>
      </c>
    </row>
    <row r="60" spans="3:7" x14ac:dyDescent="0.75">
      <c r="C60" s="14" t="str">
        <f>IF('Results-Map-1'!E29="*  -&gt; ##34###34#","// --END",'Results-Map-1'!E29)</f>
        <v>* observation.reporter -&gt; ##34#to be mapped##34#</v>
      </c>
    </row>
    <row r="61" spans="3:7" x14ac:dyDescent="0.75">
      <c r="C61" s="14" t="str">
        <f>IF('Results-Map-1'!E30="*  -&gt; ##34###34#","// --END",'Results-Map-1'!E30)</f>
        <v>* observation.result -&gt; ##34#Observation.value[x]##34#</v>
      </c>
    </row>
    <row r="62" spans="3:7" x14ac:dyDescent="0.75">
      <c r="C62" s="14" t="str">
        <f>IF('Results-Map-1'!E31="*  -&gt; ##34###34#","// --END",'Results-Map-1'!E31)</f>
        <v>* observation.interpretation -&gt; ##34#Observation.interpretation##34#</v>
      </c>
    </row>
    <row r="63" spans="3:7" x14ac:dyDescent="0.75">
      <c r="C63" s="14" t="str">
        <f>IF('Results-Map-1'!E32="*  -&gt; ##34###34#","// --END",'Results-Map-1'!E32)</f>
        <v>* observation.description -&gt; ##34#Observation.text##34#</v>
      </c>
    </row>
    <row r="64" spans="3:7" x14ac:dyDescent="0.75">
      <c r="C64" s="14" t="str">
        <f>IF('Results-Map-1'!E33="*  -&gt; ##34###34#","// --END",'Results-Map-1'!E33)</f>
        <v>* observation.description -&gt; ##34#Observation.note##34#</v>
      </c>
    </row>
    <row r="65" spans="3:3" x14ac:dyDescent="0.75">
      <c r="C65" s="14" t="str">
        <f>IF('Results-Map-1'!E34="*  -&gt; ##34###34#","// --END",'Results-Map-1'!E34)</f>
        <v>* observation.accreditationStatus -&gt; ##34#to be mapped##34#</v>
      </c>
    </row>
    <row r="66" spans="3:3" x14ac:dyDescent="0.75">
      <c r="C66" s="14" t="str">
        <f>IF('Results-Map-1'!E35="*  -&gt; ##34###34#","// --END",'Results-Map-1'!E35)</f>
        <v>// --END</v>
      </c>
    </row>
    <row r="67" spans="3:3" x14ac:dyDescent="0.75">
      <c r="C67" s="14" t="str">
        <f>IF('Results-Map-1'!E36="*  -&gt; ##34###34#","// --END",'Results-Map-1'!E36)</f>
        <v>// --END</v>
      </c>
    </row>
    <row r="68" spans="3:3" x14ac:dyDescent="0.75">
      <c r="C68" s="14" t="str">
        <f>IF('Results-Map-1'!E37="*  -&gt; ##34###34#","// --END",'Results-Map-1'!E37)</f>
        <v>// --END</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5713" r:id="rId3" name="Button 1">
              <controlPr defaultSize="0" print="0" autoFill="0" autoPict="0" macro="[0]!export">
                <anchor moveWithCells="1">
                  <from>
                    <xdr:col>4</xdr:col>
                    <xdr:colOff>222250</xdr:colOff>
                    <xdr:row>0</xdr:row>
                    <xdr:rowOff>171450</xdr:rowOff>
                  </from>
                  <to>
                    <xdr:col>5</xdr:col>
                    <xdr:colOff>558800</xdr:colOff>
                    <xdr:row>2</xdr:row>
                    <xdr:rowOff>44450</xdr:rowOff>
                  </to>
                </anchor>
              </controlPr>
            </control>
          </mc:Choice>
        </mc:AlternateContent>
      </controls>
    </mc:Choice>
  </mc:AlternateContent>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6725F2-A1CE-4CD1-A041-8EBEB2198EA3}">
  <sheetPr codeName="Foglio58">
    <tabColor theme="0" tint="-0.499984740745262"/>
  </sheetPr>
  <dimension ref="A2:S137"/>
  <sheetViews>
    <sheetView workbookViewId="0">
      <selection activeCell="P52" sqref="P52:S137"/>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73" t="s">
        <v>34</v>
      </c>
      <c r="C3" s="54" t="s">
        <v>836</v>
      </c>
      <c r="D3" s="73" t="s">
        <v>688</v>
      </c>
      <c r="E3" s="84" t="str">
        <f>"http://hl7.eu/fhir/laboratory/StructureDefinition/"&amp;'A.5 Results'!B5</f>
        <v>http://hl7.eu/fhir/laboratory/StructureDefinition/Result</v>
      </c>
    </row>
    <row r="4" spans="1:19" x14ac:dyDescent="0.75">
      <c r="B4" s="73" t="s">
        <v>19</v>
      </c>
      <c r="C4" s="54" t="s">
        <v>837</v>
      </c>
      <c r="D4" s="73" t="s">
        <v>689</v>
      </c>
      <c r="E4" t="s">
        <v>691</v>
      </c>
    </row>
    <row r="5" spans="1:19" x14ac:dyDescent="0.75">
      <c r="B5" s="73" t="s">
        <v>13</v>
      </c>
      <c r="C5" s="10" t="s">
        <v>838</v>
      </c>
      <c r="D5" s="73"/>
      <c r="E5" s="10"/>
    </row>
    <row r="6" spans="1:19" x14ac:dyDescent="0.75">
      <c r="B6" s="73" t="s">
        <v>35</v>
      </c>
      <c r="C6" s="72"/>
      <c r="D6" s="73" t="s">
        <v>685</v>
      </c>
      <c r="E6" s="112" t="str">
        <f>E3</f>
        <v>http://hl7.eu/fhir/laboratory/StructureDefinition/Result</v>
      </c>
      <c r="F6" s="111"/>
      <c r="G6" s="111"/>
    </row>
    <row r="7" spans="1:19" x14ac:dyDescent="0.75">
      <c r="B7" s="73" t="s">
        <v>18</v>
      </c>
      <c r="C7" s="80"/>
      <c r="D7" s="73" t="s">
        <v>686</v>
      </c>
      <c r="E7" s="112" t="s">
        <v>687</v>
      </c>
      <c r="F7" s="111"/>
      <c r="G7" s="111"/>
    </row>
    <row r="8" spans="1:19" ht="44.25" x14ac:dyDescent="0.75">
      <c r="B8" s="73" t="s">
        <v>679</v>
      </c>
      <c r="C8" s="53" t="s">
        <v>839</v>
      </c>
      <c r="D8" s="73"/>
      <c r="E8" s="10"/>
      <c r="I8" s="14" t="s">
        <v>647</v>
      </c>
      <c r="J8" s="14" t="s">
        <v>648</v>
      </c>
      <c r="K8" s="14" t="s">
        <v>649</v>
      </c>
      <c r="L8" s="14" t="s">
        <v>650</v>
      </c>
      <c r="M8" s="9" t="s">
        <v>651</v>
      </c>
      <c r="P8" s="69" t="s">
        <v>652</v>
      </c>
      <c r="Q8" s="69">
        <v>6</v>
      </c>
    </row>
    <row r="9" spans="1:19" ht="29.5" x14ac:dyDescent="0.75">
      <c r="B9" s="73" t="s">
        <v>680</v>
      </c>
      <c r="C9" s="14" t="s">
        <v>840</v>
      </c>
      <c r="D9" s="73"/>
      <c r="E9"/>
      <c r="I9" s="14"/>
      <c r="J9" s="9"/>
      <c r="K9" s="9"/>
      <c r="L9" s="9"/>
      <c r="M9" s="9"/>
    </row>
    <row r="10" spans="1:19" x14ac:dyDescent="0.75">
      <c r="B10" s="73"/>
      <c r="C10" s="9"/>
      <c r="D10" s="73"/>
      <c r="E10"/>
      <c r="I10" s="14"/>
      <c r="J10" s="9"/>
      <c r="K10" s="9"/>
      <c r="L10" s="9"/>
      <c r="M10" s="9"/>
    </row>
    <row r="11" spans="1:19" x14ac:dyDescent="0.75">
      <c r="E11" s="10"/>
      <c r="I11" s="25" t="s">
        <v>653</v>
      </c>
      <c r="J11" s="70" t="s">
        <v>654</v>
      </c>
      <c r="K11" s="25" t="s">
        <v>655</v>
      </c>
      <c r="L11" s="70" t="s">
        <v>656</v>
      </c>
      <c r="M11" s="71" t="s">
        <v>657</v>
      </c>
      <c r="N11" s="74" t="s">
        <v>644</v>
      </c>
    </row>
    <row r="12" spans="1:19" x14ac:dyDescent="0.75">
      <c r="E12" s="72"/>
      <c r="I12" s="14"/>
      <c r="J12" s="9"/>
      <c r="K12" s="9"/>
      <c r="L12" s="9"/>
      <c r="M12" s="9"/>
    </row>
    <row r="13" spans="1:19" x14ac:dyDescent="0.75">
      <c r="D13" s="14"/>
      <c r="E13" s="9"/>
      <c r="F13" s="71" t="s">
        <v>657</v>
      </c>
      <c r="G13" s="74" t="s">
        <v>644</v>
      </c>
      <c r="H13" s="74"/>
      <c r="I13" s="14"/>
      <c r="J13" s="9"/>
      <c r="K13" s="71"/>
      <c r="L13" s="71"/>
      <c r="M13" s="71"/>
      <c r="N13" s="74"/>
    </row>
    <row r="14" spans="1:19" x14ac:dyDescent="0.75">
      <c r="A14" s="23"/>
      <c r="B14" s="8" t="str">
        <f>'A.5 Results'!B5</f>
        <v>Result</v>
      </c>
      <c r="C14" s="9"/>
      <c r="D14" s="4" t="s">
        <v>667</v>
      </c>
      <c r="E14" s="8"/>
      <c r="F14" s="75"/>
      <c r="G14" s="75"/>
      <c r="I14" s="14"/>
      <c r="J14" s="9"/>
      <c r="K14" s="9"/>
      <c r="L14" s="9"/>
      <c r="M14" s="71"/>
      <c r="N14" s="74"/>
    </row>
    <row r="15" spans="1:19" ht="44.25" x14ac:dyDescent="0.75">
      <c r="A15" s="23"/>
      <c r="B15" s="9" t="str">
        <f>'A.5 Results'!B8</f>
        <v>narrative</v>
      </c>
      <c r="C15" s="9" t="str">
        <f>'A.5 Results'!C8</f>
        <v>A.5.1 Laboratory report narrative</v>
      </c>
      <c r="D15" s="14"/>
      <c r="E15" s="9"/>
      <c r="F15" s="75" t="s">
        <v>659</v>
      </c>
      <c r="G15" s="75"/>
      <c r="I15" s="14" t="str">
        <f>"* group[=].element[+].code = #"&amp;$B$14&amp;"."&amp;B15</f>
        <v>* group[=].element[+].code = #Result.narrative</v>
      </c>
      <c r="J15" s="14" t="str">
        <f t="shared" ref="J15" si="0">"* group[=].element[=].display = ##34#"&amp;C15&amp;"##34#"</f>
        <v>* group[=].element[=].display = ##34#A.5.1 Laboratory report narrative##34#</v>
      </c>
      <c r="K15" s="14" t="str">
        <f>IF(F15="unmatched","//-- unmatched",IF(D15="","* group[=].element[=].target.code = #"&amp;$D$14,"* group[=].element[=].target.code = #"&amp;$D$14&amp;"."&amp;D15))</f>
        <v>* group[=].element[=].target.code = #DiagnosticReport</v>
      </c>
      <c r="L15" s="14" t="str">
        <f t="shared" ref="L15" si="1">IF(F15="unmatched","//-- unmatched","* group[=].element[=].target.display = ##34#"&amp;E15&amp;"##34#")</f>
        <v>* group[=].element[=].target.display = ##34###34#</v>
      </c>
      <c r="M15" s="14" t="str">
        <f t="shared" ref="M15" si="2">"* group[=].element[=].target.equivalence = #"&amp;F15</f>
        <v>* group[=].element[=].target.equivalence = #relatedto</v>
      </c>
      <c r="N15" s="14" t="str">
        <f t="shared" ref="N15" si="3">IF(G15&lt;&gt;"",CONCATENATE("* group[=].element[=].target.comment = ","##34#",G15,"##34#"),"")</f>
        <v/>
      </c>
      <c r="P15" s="9">
        <v>1</v>
      </c>
      <c r="Q15" s="9">
        <f t="shared" ref="Q15:Q52" si="4">IF(MOD(P15,$Q$8)=0,P15/$Q$8-1,INT(P15/$Q$8))</f>
        <v>0</v>
      </c>
      <c r="R15" s="9">
        <f t="shared" ref="R15:R52" si="5">IF(MOD(P15,$Q$8)=0,$Q$8,MOD(P15,$Q$8))</f>
        <v>1</v>
      </c>
      <c r="S15" s="14" t="str" cm="1">
        <f t="array" ref="S15">INDEX('Results-ConceptMap-1'!$I$15:$N$123,Q15+1,R15)</f>
        <v>* group[=].element[+].code = #Result.narrative</v>
      </c>
    </row>
    <row r="16" spans="1:19" ht="44.25" customHeight="1" x14ac:dyDescent="0.75">
      <c r="A16" s="23"/>
      <c r="B16" s="9" t="str">
        <f>'A.5 Results'!B9</f>
        <v>narrative.report</v>
      </c>
      <c r="C16" s="9" t="str">
        <f>'A.5 Results'!C9</f>
        <v>A.5.1.1 Narrative report</v>
      </c>
      <c r="D16" s="14" t="s">
        <v>842</v>
      </c>
      <c r="E16" s="9"/>
      <c r="F16" s="75" t="s">
        <v>659</v>
      </c>
      <c r="G16" s="75"/>
      <c r="H16" s="76"/>
      <c r="I16" s="14" t="str">
        <f t="shared" ref="I16:I20" si="6">"* group[=].element[+].code = #"&amp;$B$14&amp;"."&amp;B16</f>
        <v>* group[=].element[+].code = #Result.narrative.report</v>
      </c>
      <c r="J16" s="14" t="str">
        <f t="shared" ref="J16:J20" si="7">"* group[=].element[=].display = ##34#"&amp;C16&amp;"##34#"</f>
        <v>* group[=].element[=].display = ##34#A.5.1.1 Narrative report##34#</v>
      </c>
      <c r="K16" s="14" t="str">
        <f t="shared" ref="K16:K20" si="8">IF(F16="unmatched","//-- unmatched",IF(D16="","* group[=].element[=].target.code = #"&amp;$D$14,"* group[=].element[=].target.code = #"&amp;$D$14&amp;"."&amp;D16))</f>
        <v>* group[=].element[=].target.code = #DiagnosticReport.text</v>
      </c>
      <c r="L16" s="14" t="str">
        <f t="shared" ref="L16:L20" si="9">IF(F16="unmatched","//-- unmatched","* group[=].element[=].target.display = ##34#"&amp;E16&amp;"##34#")</f>
        <v>* group[=].element[=].target.display = ##34###34#</v>
      </c>
      <c r="M16" s="14" t="str">
        <f t="shared" ref="M16:M20" si="10">"* group[=].element[=].target.equivalence = #"&amp;F16</f>
        <v>* group[=].element[=].target.equivalence = #relatedto</v>
      </c>
      <c r="N16" s="14" t="str">
        <f t="shared" ref="N16:N20" si="11">IF(G16&lt;&gt;"",CONCATENATE("* group[=].element[=].target.comment = ","##34#",G16,"##34#"),"")</f>
        <v/>
      </c>
      <c r="P16" s="9">
        <v>2</v>
      </c>
      <c r="Q16" s="9">
        <f t="shared" si="4"/>
        <v>0</v>
      </c>
      <c r="R16" s="9">
        <f t="shared" si="5"/>
        <v>2</v>
      </c>
      <c r="S16" s="14" t="str" cm="1">
        <f t="array" ref="S16">INDEX('Results-ConceptMap-1'!$I$15:$N$123,Q16+1,R16)</f>
        <v>* group[=].element[=].display = ##34#A.5.1 Laboratory report narrative##34#</v>
      </c>
    </row>
    <row r="17" spans="1:19" ht="59" x14ac:dyDescent="0.75">
      <c r="A17" s="23"/>
      <c r="B17" s="9" t="str">
        <f>'A.5 Results'!B10</f>
        <v>narrative.notes</v>
      </c>
      <c r="C17" s="9" t="str">
        <f>'A.5 Results'!C10</f>
        <v>A.5.1.2 Comments, interpretation and recommendations</v>
      </c>
      <c r="D17" s="14" t="s">
        <v>843</v>
      </c>
      <c r="E17" s="9"/>
      <c r="F17" s="75" t="s">
        <v>659</v>
      </c>
      <c r="G17" s="75" t="s">
        <v>847</v>
      </c>
      <c r="H17" s="76"/>
      <c r="I17" s="14" t="str">
        <f t="shared" si="6"/>
        <v>* group[=].element[+].code = #Result.narrative.notes</v>
      </c>
      <c r="J17" s="14" t="str">
        <f t="shared" si="7"/>
        <v>* group[=].element[=].display = ##34#A.5.1.2 Comments, interpretation and recommendations##34#</v>
      </c>
      <c r="K17" s="14" t="str">
        <f t="shared" si="8"/>
        <v>* group[=].element[=].target.code = #DiagnosticReport.conclusion</v>
      </c>
      <c r="L17" s="14" t="str">
        <f t="shared" si="9"/>
        <v>* group[=].element[=].target.display = ##34###34#</v>
      </c>
      <c r="M17" s="14" t="str">
        <f t="shared" si="10"/>
        <v>* group[=].element[=].target.equivalence = #relatedto</v>
      </c>
      <c r="N17" s="14" t="str">
        <f t="shared" si="11"/>
        <v>* group[=].element[=].target.comment = ##34#if related to the overall report conclusions##34#</v>
      </c>
      <c r="P17" s="9">
        <v>3</v>
      </c>
      <c r="Q17" s="9">
        <f t="shared" si="4"/>
        <v>0</v>
      </c>
      <c r="R17" s="9">
        <f t="shared" si="5"/>
        <v>3</v>
      </c>
      <c r="S17" s="14" t="str" cm="1">
        <f t="array" ref="S17">INDEX('Results-ConceptMap-1'!$I$15:$N$123,Q17+1,R17)</f>
        <v>* group[=].element[=].target.code = #DiagnosticReport</v>
      </c>
    </row>
    <row r="18" spans="1:19" ht="73.75" x14ac:dyDescent="0.75">
      <c r="A18" s="23"/>
      <c r="B18" s="9" t="str">
        <f>'A.5 Results'!B11</f>
        <v>observation</v>
      </c>
      <c r="C18" s="9" t="str">
        <f>'A.5 Results'!C11</f>
        <v>A.5.2 Observation details</v>
      </c>
      <c r="D18" s="14" t="s">
        <v>675</v>
      </c>
      <c r="E18" s="9"/>
      <c r="F18" s="75" t="s">
        <v>659</v>
      </c>
      <c r="G18" s="75" t="s">
        <v>844</v>
      </c>
      <c r="H18" s="76"/>
      <c r="I18" s="14" t="str">
        <f t="shared" si="6"/>
        <v>* group[=].element[+].code = #Result.observation</v>
      </c>
      <c r="J18" s="14" t="str">
        <f t="shared" si="7"/>
        <v>* group[=].element[=].display = ##34#A.5.2 Observation details##34#</v>
      </c>
      <c r="K18" s="14" t="str">
        <f t="shared" si="8"/>
        <v>* group[=].element[=].target.code = #DiagnosticReport.result.resolve()</v>
      </c>
      <c r="L18" s="14" t="str">
        <f t="shared" si="9"/>
        <v>* group[=].element[=].target.display = ##34###34#</v>
      </c>
      <c r="M18" s="14" t="str">
        <f t="shared" si="10"/>
        <v>* group[=].element[=].target.equivalence = #relatedto</v>
      </c>
      <c r="N18" s="14" t="str">
        <f t="shared" si="11"/>
        <v>* group[=].element[=].target.comment = ##34#see details in the Observation group##34#</v>
      </c>
      <c r="P18" s="9">
        <v>4</v>
      </c>
      <c r="Q18" s="9">
        <f t="shared" si="4"/>
        <v>0</v>
      </c>
      <c r="R18" s="9">
        <f t="shared" si="5"/>
        <v>4</v>
      </c>
      <c r="S18" s="14" t="str" cm="1">
        <f t="array" ref="S18">INDEX('Results-ConceptMap-1'!$I$15:$N$123,Q18+1,R18)</f>
        <v>* group[=].element[=].target.display = ##34###34#</v>
      </c>
    </row>
    <row r="19" spans="1:19" ht="73.75" x14ac:dyDescent="0.75">
      <c r="A19" s="23"/>
      <c r="B19" s="9" t="str">
        <f>'A.5 Results'!B12</f>
        <v>observation.dateTime</v>
      </c>
      <c r="C19" s="9" t="str">
        <f>'A.5 Results'!C12</f>
        <v>A.5.2.1 Observation date</v>
      </c>
      <c r="D19" s="14" t="s">
        <v>675</v>
      </c>
      <c r="E19" s="9"/>
      <c r="F19" s="75" t="s">
        <v>659</v>
      </c>
      <c r="G19" s="75" t="s">
        <v>844</v>
      </c>
      <c r="H19" s="76"/>
      <c r="I19" s="14" t="str">
        <f t="shared" si="6"/>
        <v>* group[=].element[+].code = #Result.observation.dateTime</v>
      </c>
      <c r="J19" s="14" t="str">
        <f t="shared" si="7"/>
        <v>* group[=].element[=].display = ##34#A.5.2.1 Observation date##34#</v>
      </c>
      <c r="K19" s="14" t="str">
        <f t="shared" si="8"/>
        <v>* group[=].element[=].target.code = #DiagnosticReport.result.resolve()</v>
      </c>
      <c r="L19" s="14" t="str">
        <f t="shared" si="9"/>
        <v>* group[=].element[=].target.display = ##34###34#</v>
      </c>
      <c r="M19" s="14" t="str">
        <f t="shared" si="10"/>
        <v>* group[=].element[=].target.equivalence = #relatedto</v>
      </c>
      <c r="N19" s="14" t="str">
        <f t="shared" si="11"/>
        <v>* group[=].element[=].target.comment = ##34#see details in the Observation group##34#</v>
      </c>
      <c r="P19" s="9">
        <v>5</v>
      </c>
      <c r="Q19" s="9">
        <f t="shared" si="4"/>
        <v>0</v>
      </c>
      <c r="R19" s="9">
        <f t="shared" si="5"/>
        <v>5</v>
      </c>
      <c r="S19" s="14" t="str" cm="1">
        <f t="array" ref="S19">INDEX('Results-ConceptMap-1'!$I$15:$N$123,Q19+1,R19)</f>
        <v>* group[=].element[=].target.equivalence = #relatedto</v>
      </c>
    </row>
    <row r="20" spans="1:19" ht="73.75" x14ac:dyDescent="0.75">
      <c r="A20" s="23"/>
      <c r="B20" s="9" t="str">
        <f>'A.5 Results'!B13</f>
        <v>observation.code</v>
      </c>
      <c r="C20" s="9" t="str">
        <f>'A.5 Results'!C13</f>
        <v>A.5.2.3 Observation code</v>
      </c>
      <c r="D20" s="14" t="s">
        <v>675</v>
      </c>
      <c r="E20" s="9"/>
      <c r="F20" s="75" t="s">
        <v>659</v>
      </c>
      <c r="G20" s="75" t="s">
        <v>844</v>
      </c>
      <c r="H20" s="76"/>
      <c r="I20" s="14" t="str">
        <f t="shared" si="6"/>
        <v>* group[=].element[+].code = #Result.observation.code</v>
      </c>
      <c r="J20" s="14" t="str">
        <f t="shared" si="7"/>
        <v>* group[=].element[=].display = ##34#A.5.2.3 Observation code##34#</v>
      </c>
      <c r="K20" s="14" t="str">
        <f t="shared" si="8"/>
        <v>* group[=].element[=].target.code = #DiagnosticReport.result.resolve()</v>
      </c>
      <c r="L20" s="14" t="str">
        <f t="shared" si="9"/>
        <v>* group[=].element[=].target.display = ##34###34#</v>
      </c>
      <c r="M20" s="14" t="str">
        <f t="shared" si="10"/>
        <v>* group[=].element[=].target.equivalence = #relatedto</v>
      </c>
      <c r="N20" s="14" t="str">
        <f t="shared" si="11"/>
        <v>* group[=].element[=].target.comment = ##34#see details in the Observation group##34#</v>
      </c>
      <c r="P20" s="9">
        <v>6</v>
      </c>
      <c r="Q20" s="9">
        <f t="shared" si="4"/>
        <v>0</v>
      </c>
      <c r="R20" s="9">
        <f t="shared" si="5"/>
        <v>6</v>
      </c>
      <c r="S20" s="14" t="str" cm="1">
        <f t="array" ref="S20">INDEX('Results-ConceptMap-1'!$I$15:$N$123,Q20+1,R20)</f>
        <v/>
      </c>
    </row>
    <row r="21" spans="1:19" ht="73.75" x14ac:dyDescent="0.75">
      <c r="A21" s="23"/>
      <c r="B21" s="9" t="str">
        <f>'A.5 Results'!B14</f>
        <v>observation.code.name</v>
      </c>
      <c r="C21" s="9" t="str">
        <f>'A.5 Results'!C14</f>
        <v>A.5.2.3.1 Observation name</v>
      </c>
      <c r="D21" s="14" t="s">
        <v>675</v>
      </c>
      <c r="E21" s="9"/>
      <c r="F21" s="75" t="s">
        <v>659</v>
      </c>
      <c r="G21" s="75" t="s">
        <v>844</v>
      </c>
      <c r="H21" s="76"/>
      <c r="I21" s="14" t="str">
        <f t="shared" ref="I21:I32" si="12">"* group[=].element[+].code = #"&amp;$B$14&amp;"."&amp;B21</f>
        <v>* group[=].element[+].code = #Result.observation.code.name</v>
      </c>
      <c r="J21" s="14" t="str">
        <f t="shared" ref="J21:J32" si="13">"* group[=].element[=].display = ##34#"&amp;C21&amp;"##34#"</f>
        <v>* group[=].element[=].display = ##34#A.5.2.3.1 Observation name##34#</v>
      </c>
      <c r="K21" s="14" t="str">
        <f t="shared" ref="K21:K32" si="14">IF(F21="unmatched","//-- unmatched",IF(D21="","* group[=].element[=].target.code = #"&amp;$D$14,"* group[=].element[=].target.code = #"&amp;$D$14&amp;"."&amp;D21))</f>
        <v>* group[=].element[=].target.code = #DiagnosticReport.result.resolve()</v>
      </c>
      <c r="L21" s="14" t="str">
        <f t="shared" ref="L21:L32" si="15">IF(F21="unmatched","//-- unmatched","* group[=].element[=].target.display = ##34#"&amp;E21&amp;"##34#")</f>
        <v>* group[=].element[=].target.display = ##34###34#</v>
      </c>
      <c r="M21" s="14" t="str">
        <f t="shared" ref="M21:M32" si="16">"* group[=].element[=].target.equivalence = #"&amp;F21</f>
        <v>* group[=].element[=].target.equivalence = #relatedto</v>
      </c>
      <c r="N21" s="14" t="str">
        <f t="shared" ref="N21:N38" si="17">IF(G21&lt;&gt;"",CONCATENATE("* group[=].element[=].target.comment = ","##34#",G21,"##34#"),"")</f>
        <v>* group[=].element[=].target.comment = ##34#see details in the Observation group##34#</v>
      </c>
      <c r="P21" s="9">
        <v>7</v>
      </c>
      <c r="Q21" s="9">
        <f t="shared" si="4"/>
        <v>1</v>
      </c>
      <c r="R21" s="9">
        <f t="shared" si="5"/>
        <v>1</v>
      </c>
      <c r="S21" s="14" t="str" cm="1">
        <f t="array" ref="S21">INDEX('Results-ConceptMap-1'!$I$15:$N$123,Q21+1,R21)</f>
        <v>* group[=].element[+].code = #Result.narrative.report</v>
      </c>
    </row>
    <row r="22" spans="1:19" ht="73.75" x14ac:dyDescent="0.75">
      <c r="A22" s="23"/>
      <c r="B22" s="9" t="str">
        <f>'A.5 Results'!B15</f>
        <v>observation.code.originalName</v>
      </c>
      <c r="C22" s="9" t="str">
        <f>'A.5 Results'!C15</f>
        <v>A.5.2.3.2 Observation original name</v>
      </c>
      <c r="D22" s="14" t="s">
        <v>675</v>
      </c>
      <c r="E22" s="9"/>
      <c r="F22" s="75" t="s">
        <v>659</v>
      </c>
      <c r="G22" s="75" t="s">
        <v>844</v>
      </c>
      <c r="H22" s="76"/>
      <c r="I22" s="14" t="str">
        <f t="shared" si="12"/>
        <v>* group[=].element[+].code = #Result.observation.code.originalName</v>
      </c>
      <c r="J22" s="14" t="str">
        <f t="shared" si="13"/>
        <v>* group[=].element[=].display = ##34#A.5.2.3.2 Observation original name##34#</v>
      </c>
      <c r="K22" s="14" t="str">
        <f t="shared" si="14"/>
        <v>* group[=].element[=].target.code = #DiagnosticReport.result.resolve()</v>
      </c>
      <c r="L22" s="14" t="str">
        <f t="shared" si="15"/>
        <v>* group[=].element[=].target.display = ##34###34#</v>
      </c>
      <c r="M22" s="14" t="str">
        <f t="shared" si="16"/>
        <v>* group[=].element[=].target.equivalence = #relatedto</v>
      </c>
      <c r="N22" s="14" t="str">
        <f t="shared" si="17"/>
        <v>* group[=].element[=].target.comment = ##34#see details in the Observation group##34#</v>
      </c>
      <c r="P22" s="9">
        <v>8</v>
      </c>
      <c r="Q22" s="9">
        <f t="shared" si="4"/>
        <v>1</v>
      </c>
      <c r="R22" s="9">
        <f t="shared" si="5"/>
        <v>2</v>
      </c>
      <c r="S22" s="14" t="str" cm="1">
        <f t="array" ref="S22">INDEX('Results-ConceptMap-1'!$I$15:$N$123,Q22+1,R22)</f>
        <v>* group[=].element[=].display = ##34#A.5.1.1 Narrative report##34#</v>
      </c>
    </row>
    <row r="23" spans="1:19" ht="73.75" x14ac:dyDescent="0.75">
      <c r="A23" s="23"/>
      <c r="B23" s="9" t="str">
        <f>'A.5 Results'!B16</f>
        <v>observation.code.displayName</v>
      </c>
      <c r="C23" s="9" t="str">
        <f>'A.5 Results'!C16</f>
        <v>A.5.2.3.3 Observation display name</v>
      </c>
      <c r="D23" s="14" t="s">
        <v>675</v>
      </c>
      <c r="E23" s="9"/>
      <c r="F23" s="75" t="s">
        <v>659</v>
      </c>
      <c r="G23" s="75" t="s">
        <v>844</v>
      </c>
      <c r="H23" s="76"/>
      <c r="I23" s="14" t="str">
        <f t="shared" si="12"/>
        <v>* group[=].element[+].code = #Result.observation.code.displayName</v>
      </c>
      <c r="J23" s="14" t="str">
        <f t="shared" si="13"/>
        <v>* group[=].element[=].display = ##34#A.5.2.3.3 Observation display name##34#</v>
      </c>
      <c r="K23" s="14" t="str">
        <f t="shared" si="14"/>
        <v>* group[=].element[=].target.code = #DiagnosticReport.result.resolve()</v>
      </c>
      <c r="L23" s="14" t="str">
        <f t="shared" si="15"/>
        <v>* group[=].element[=].target.display = ##34###34#</v>
      </c>
      <c r="M23" s="14" t="str">
        <f t="shared" si="16"/>
        <v>* group[=].element[=].target.equivalence = #relatedto</v>
      </c>
      <c r="N23" s="14" t="str">
        <f t="shared" si="17"/>
        <v>* group[=].element[=].target.comment = ##34#see details in the Observation group##34#</v>
      </c>
      <c r="P23" s="9">
        <v>9</v>
      </c>
      <c r="Q23" s="9">
        <f t="shared" si="4"/>
        <v>1</v>
      </c>
      <c r="R23" s="9">
        <f t="shared" si="5"/>
        <v>3</v>
      </c>
      <c r="S23" s="14" t="str" cm="1">
        <f t="array" ref="S23">INDEX('Results-ConceptMap-1'!$I$15:$N$123,Q23+1,R23)</f>
        <v>* group[=].element[=].target.code = #DiagnosticReport.text</v>
      </c>
    </row>
    <row r="24" spans="1:19" ht="73.75" x14ac:dyDescent="0.75">
      <c r="A24" s="23"/>
      <c r="B24" s="9" t="str">
        <f>'A.5 Results'!B17</f>
        <v>observation.method</v>
      </c>
      <c r="C24" s="9" t="str">
        <f>'A.5 Results'!C17</f>
        <v>A.5.2.4 Observation method</v>
      </c>
      <c r="D24" s="14" t="s">
        <v>675</v>
      </c>
      <c r="E24" s="9"/>
      <c r="F24" s="75" t="s">
        <v>659</v>
      </c>
      <c r="G24" s="75" t="s">
        <v>844</v>
      </c>
      <c r="H24" s="76"/>
      <c r="I24" s="14" t="str">
        <f t="shared" si="12"/>
        <v>* group[=].element[+].code = #Result.observation.method</v>
      </c>
      <c r="J24" s="14" t="str">
        <f t="shared" si="13"/>
        <v>* group[=].element[=].display = ##34#A.5.2.4 Observation method##34#</v>
      </c>
      <c r="K24" s="14" t="str">
        <f t="shared" si="14"/>
        <v>* group[=].element[=].target.code = #DiagnosticReport.result.resolve()</v>
      </c>
      <c r="L24" s="14" t="str">
        <f t="shared" si="15"/>
        <v>* group[=].element[=].target.display = ##34###34#</v>
      </c>
      <c r="M24" s="14" t="str">
        <f t="shared" si="16"/>
        <v>* group[=].element[=].target.equivalence = #relatedto</v>
      </c>
      <c r="N24" s="14" t="str">
        <f t="shared" si="17"/>
        <v>* group[=].element[=].target.comment = ##34#see details in the Observation group##34#</v>
      </c>
      <c r="P24" s="9">
        <v>10</v>
      </c>
      <c r="Q24" s="9">
        <f t="shared" si="4"/>
        <v>1</v>
      </c>
      <c r="R24" s="9">
        <f t="shared" si="5"/>
        <v>4</v>
      </c>
      <c r="S24" s="14" t="str" cm="1">
        <f t="array" ref="S24">INDEX('Results-ConceptMap-1'!$I$15:$N$123,Q24+1,R24)</f>
        <v>* group[=].element[=].target.display = ##34###34#</v>
      </c>
    </row>
    <row r="25" spans="1:19" ht="73.75" x14ac:dyDescent="0.75">
      <c r="A25" s="23"/>
      <c r="B25" s="9" t="str">
        <f>'A.5 Results'!B18</f>
        <v>observation.device</v>
      </c>
      <c r="C25" s="9" t="str">
        <f>'A.5 Results'!C18</f>
        <v>A.5.2.5 Observation device</v>
      </c>
      <c r="D25" s="14" t="s">
        <v>675</v>
      </c>
      <c r="E25" s="14"/>
      <c r="F25" s="75" t="s">
        <v>659</v>
      </c>
      <c r="G25" s="75" t="s">
        <v>844</v>
      </c>
      <c r="H25" s="76"/>
      <c r="I25" s="14" t="str">
        <f t="shared" si="12"/>
        <v>* group[=].element[+].code = #Result.observation.device</v>
      </c>
      <c r="J25" s="14" t="str">
        <f t="shared" si="13"/>
        <v>* group[=].element[=].display = ##34#A.5.2.5 Observation device##34#</v>
      </c>
      <c r="K25" s="14" t="str">
        <f t="shared" si="14"/>
        <v>* group[=].element[=].target.code = #DiagnosticReport.result.resolve()</v>
      </c>
      <c r="L25" s="14" t="str">
        <f t="shared" si="15"/>
        <v>* group[=].element[=].target.display = ##34###34#</v>
      </c>
      <c r="M25" s="14" t="str">
        <f t="shared" si="16"/>
        <v>* group[=].element[=].target.equivalence = #relatedto</v>
      </c>
      <c r="N25" s="14" t="str">
        <f t="shared" si="17"/>
        <v>* group[=].element[=].target.comment = ##34#see details in the Observation group##34#</v>
      </c>
      <c r="P25" s="9">
        <v>11</v>
      </c>
      <c r="Q25" s="9">
        <f t="shared" si="4"/>
        <v>1</v>
      </c>
      <c r="R25" s="9">
        <f t="shared" si="5"/>
        <v>5</v>
      </c>
      <c r="S25" s="14" t="str" cm="1">
        <f t="array" ref="S25">INDEX('Results-ConceptMap-1'!$I$15:$N$123,Q25+1,R25)</f>
        <v>* group[=].element[=].target.equivalence = #relatedto</v>
      </c>
    </row>
    <row r="26" spans="1:19" ht="73.75" x14ac:dyDescent="0.75">
      <c r="A26" s="23"/>
      <c r="B26" s="9" t="str">
        <f>'A.5 Results'!B19</f>
        <v>observation.order</v>
      </c>
      <c r="C26" s="9" t="str">
        <f>'A.5 Results'!C19</f>
        <v>A.5.2.8 Order</v>
      </c>
      <c r="D26" s="14" t="s">
        <v>675</v>
      </c>
      <c r="E26" s="14"/>
      <c r="F26" s="75" t="s">
        <v>659</v>
      </c>
      <c r="G26" s="75" t="s">
        <v>844</v>
      </c>
      <c r="H26" s="76"/>
      <c r="I26" s="14" t="str">
        <f t="shared" si="12"/>
        <v>* group[=].element[+].code = #Result.observation.order</v>
      </c>
      <c r="J26" s="14" t="str">
        <f t="shared" si="13"/>
        <v>* group[=].element[=].display = ##34#A.5.2.8 Order##34#</v>
      </c>
      <c r="K26" s="14" t="str">
        <f t="shared" si="14"/>
        <v>* group[=].element[=].target.code = #DiagnosticReport.result.resolve()</v>
      </c>
      <c r="L26" s="14" t="str">
        <f t="shared" si="15"/>
        <v>* group[=].element[=].target.display = ##34###34#</v>
      </c>
      <c r="M26" s="14" t="str">
        <f t="shared" si="16"/>
        <v>* group[=].element[=].target.equivalence = #relatedto</v>
      </c>
      <c r="N26" s="14" t="str">
        <f t="shared" si="17"/>
        <v>* group[=].element[=].target.comment = ##34#see details in the Observation group##34#</v>
      </c>
      <c r="P26" s="9">
        <v>12</v>
      </c>
      <c r="Q26" s="9">
        <f t="shared" si="4"/>
        <v>1</v>
      </c>
      <c r="R26" s="9">
        <f t="shared" si="5"/>
        <v>6</v>
      </c>
      <c r="S26" s="14" t="str" cm="1">
        <f t="array" ref="S26">INDEX('Results-ConceptMap-1'!$I$15:$N$123,Q26+1,R26)</f>
        <v/>
      </c>
    </row>
    <row r="27" spans="1:19" ht="73.75" x14ac:dyDescent="0.75">
      <c r="B27" s="9" t="str">
        <f>'A.5 Results'!B20</f>
        <v>observation.performer</v>
      </c>
      <c r="C27" s="9" t="str">
        <f>'A.5 Results'!C20</f>
        <v>A.5.2.9 Performer</v>
      </c>
      <c r="D27" s="14" t="s">
        <v>675</v>
      </c>
      <c r="E27" s="14"/>
      <c r="F27" s="75" t="s">
        <v>659</v>
      </c>
      <c r="G27" s="75" t="s">
        <v>844</v>
      </c>
      <c r="H27" s="76"/>
      <c r="I27" s="14" t="str">
        <f t="shared" si="12"/>
        <v>* group[=].element[+].code = #Result.observation.performer</v>
      </c>
      <c r="J27" s="14" t="str">
        <f t="shared" si="13"/>
        <v>* group[=].element[=].display = ##34#A.5.2.9 Performer##34#</v>
      </c>
      <c r="K27" s="14" t="str">
        <f t="shared" si="14"/>
        <v>* group[=].element[=].target.code = #DiagnosticReport.result.resolve()</v>
      </c>
      <c r="L27" s="14" t="str">
        <f t="shared" si="15"/>
        <v>* group[=].element[=].target.display = ##34###34#</v>
      </c>
      <c r="M27" s="14" t="str">
        <f t="shared" si="16"/>
        <v>* group[=].element[=].target.equivalence = #relatedto</v>
      </c>
      <c r="N27" s="14" t="str">
        <f t="shared" si="17"/>
        <v>* group[=].element[=].target.comment = ##34#see details in the Observation group##34#</v>
      </c>
      <c r="P27" s="9">
        <v>13</v>
      </c>
      <c r="Q27" s="9">
        <f t="shared" si="4"/>
        <v>2</v>
      </c>
      <c r="R27" s="9">
        <f t="shared" si="5"/>
        <v>1</v>
      </c>
      <c r="S27" s="14" t="str" cm="1">
        <f t="array" ref="S27">INDEX('Results-ConceptMap-1'!$I$15:$N$123,Q27+1,R27)</f>
        <v>* group[=].element[+].code = #Result.narrative.notes</v>
      </c>
    </row>
    <row r="28" spans="1:19" ht="73.75" x14ac:dyDescent="0.75">
      <c r="B28" s="9" t="str">
        <f>'A.5 Results'!B21</f>
        <v>observation.reporter</v>
      </c>
      <c r="C28" s="9" t="str">
        <f>'A.5 Results'!C21</f>
        <v>A.5.2.10 Reporter</v>
      </c>
      <c r="D28" s="14" t="s">
        <v>675</v>
      </c>
      <c r="E28" s="14"/>
      <c r="F28" s="75" t="s">
        <v>659</v>
      </c>
      <c r="G28" s="75" t="s">
        <v>844</v>
      </c>
      <c r="H28" s="76"/>
      <c r="I28" s="14" t="str">
        <f t="shared" si="12"/>
        <v>* group[=].element[+].code = #Result.observation.reporter</v>
      </c>
      <c r="J28" s="14" t="str">
        <f t="shared" si="13"/>
        <v>* group[=].element[=].display = ##34#A.5.2.10 Reporter##34#</v>
      </c>
      <c r="K28" s="14" t="str">
        <f t="shared" si="14"/>
        <v>* group[=].element[=].target.code = #DiagnosticReport.result.resolve()</v>
      </c>
      <c r="L28" s="14" t="str">
        <f t="shared" si="15"/>
        <v>* group[=].element[=].target.display = ##34###34#</v>
      </c>
      <c r="M28" s="14" t="str">
        <f t="shared" si="16"/>
        <v>* group[=].element[=].target.equivalence = #relatedto</v>
      </c>
      <c r="N28" s="14" t="str">
        <f t="shared" si="17"/>
        <v>* group[=].element[=].target.comment = ##34#see details in the Observation group##34#</v>
      </c>
      <c r="P28" s="9">
        <v>14</v>
      </c>
      <c r="Q28" s="9">
        <f t="shared" si="4"/>
        <v>2</v>
      </c>
      <c r="R28" s="9">
        <f t="shared" si="5"/>
        <v>2</v>
      </c>
      <c r="S28" s="14" t="str" cm="1">
        <f t="array" ref="S28">INDEX('Results-ConceptMap-1'!$I$15:$N$123,Q28+1,R28)</f>
        <v>* group[=].element[=].display = ##34#A.5.1.2 Comments, interpretation and recommendations##34#</v>
      </c>
    </row>
    <row r="29" spans="1:19" ht="73.75" x14ac:dyDescent="0.75">
      <c r="B29" s="9" t="str">
        <f>'A.5 Results'!B22</f>
        <v>observation.result</v>
      </c>
      <c r="C29" s="9" t="str">
        <f>'A.5 Results'!C22</f>
        <v>A.5.2.11 Observation result</v>
      </c>
      <c r="D29" s="14" t="s">
        <v>675</v>
      </c>
      <c r="E29" s="14"/>
      <c r="F29" s="75" t="s">
        <v>659</v>
      </c>
      <c r="G29" s="75" t="s">
        <v>844</v>
      </c>
      <c r="H29" s="76"/>
      <c r="I29" s="14" t="str">
        <f t="shared" si="12"/>
        <v>* group[=].element[+].code = #Result.observation.result</v>
      </c>
      <c r="J29" s="14" t="str">
        <f t="shared" si="13"/>
        <v>* group[=].element[=].display = ##34#A.5.2.11 Observation result##34#</v>
      </c>
      <c r="K29" s="14" t="str">
        <f t="shared" si="14"/>
        <v>* group[=].element[=].target.code = #DiagnosticReport.result.resolve()</v>
      </c>
      <c r="L29" s="14" t="str">
        <f t="shared" si="15"/>
        <v>* group[=].element[=].target.display = ##34###34#</v>
      </c>
      <c r="M29" s="14" t="str">
        <f t="shared" si="16"/>
        <v>* group[=].element[=].target.equivalence = #relatedto</v>
      </c>
      <c r="N29" s="14" t="str">
        <f t="shared" si="17"/>
        <v>* group[=].element[=].target.comment = ##34#see details in the Observation group##34#</v>
      </c>
      <c r="P29" s="9">
        <v>15</v>
      </c>
      <c r="Q29" s="9">
        <f t="shared" si="4"/>
        <v>2</v>
      </c>
      <c r="R29" s="9">
        <f t="shared" si="5"/>
        <v>3</v>
      </c>
      <c r="S29" s="14" t="str" cm="1">
        <f t="array" ref="S29">INDEX('Results-ConceptMap-1'!$I$15:$N$123,Q29+1,R29)</f>
        <v>* group[=].element[=].target.code = #DiagnosticReport.conclusion</v>
      </c>
    </row>
    <row r="30" spans="1:19" ht="73.75" x14ac:dyDescent="0.75">
      <c r="B30" s="9" t="str">
        <f>'A.5 Results'!B23</f>
        <v>observation.interpretation</v>
      </c>
      <c r="C30" s="9" t="str">
        <f>'A.5 Results'!C23</f>
        <v>A.5.2.12 Observation interpretation</v>
      </c>
      <c r="D30" s="14" t="s">
        <v>675</v>
      </c>
      <c r="E30" s="14"/>
      <c r="F30" s="75" t="s">
        <v>659</v>
      </c>
      <c r="G30" s="75" t="s">
        <v>844</v>
      </c>
      <c r="H30" s="76"/>
      <c r="I30" s="14" t="str">
        <f t="shared" si="12"/>
        <v>* group[=].element[+].code = #Result.observation.interpretation</v>
      </c>
      <c r="J30" s="14" t="str">
        <f t="shared" si="13"/>
        <v>* group[=].element[=].display = ##34#A.5.2.12 Observation interpretation##34#</v>
      </c>
      <c r="K30" s="14" t="str">
        <f t="shared" si="14"/>
        <v>* group[=].element[=].target.code = #DiagnosticReport.result.resolve()</v>
      </c>
      <c r="L30" s="14" t="str">
        <f t="shared" si="15"/>
        <v>* group[=].element[=].target.display = ##34###34#</v>
      </c>
      <c r="M30" s="14" t="str">
        <f t="shared" si="16"/>
        <v>* group[=].element[=].target.equivalence = #relatedto</v>
      </c>
      <c r="N30" s="14" t="str">
        <f t="shared" si="17"/>
        <v>* group[=].element[=].target.comment = ##34#see details in the Observation group##34#</v>
      </c>
      <c r="P30" s="9">
        <v>16</v>
      </c>
      <c r="Q30" s="9">
        <f t="shared" si="4"/>
        <v>2</v>
      </c>
      <c r="R30" s="9">
        <f t="shared" si="5"/>
        <v>4</v>
      </c>
      <c r="S30" s="14" t="str" cm="1">
        <f t="array" ref="S30">INDEX('Results-ConceptMap-1'!$I$15:$N$123,Q30+1,R30)</f>
        <v>* group[=].element[=].target.display = ##34###34#</v>
      </c>
    </row>
    <row r="31" spans="1:19" ht="73.75" x14ac:dyDescent="0.75">
      <c r="B31" s="9" t="str">
        <f>'A.5 Results'!B24</f>
        <v>observation.description</v>
      </c>
      <c r="C31" s="9" t="str">
        <f>'A.5 Results'!C24</f>
        <v>A.5.2.13 Result description</v>
      </c>
      <c r="D31" s="14" t="s">
        <v>675</v>
      </c>
      <c r="E31" s="14"/>
      <c r="F31" s="75" t="s">
        <v>659</v>
      </c>
      <c r="G31" s="75" t="s">
        <v>844</v>
      </c>
      <c r="H31" s="76"/>
      <c r="I31" s="14" t="str">
        <f t="shared" si="12"/>
        <v>* group[=].element[+].code = #Result.observation.description</v>
      </c>
      <c r="J31" s="14" t="str">
        <f t="shared" si="13"/>
        <v>* group[=].element[=].display = ##34#A.5.2.13 Result description##34#</v>
      </c>
      <c r="K31" s="14" t="str">
        <f t="shared" si="14"/>
        <v>* group[=].element[=].target.code = #DiagnosticReport.result.resolve()</v>
      </c>
      <c r="L31" s="14" t="str">
        <f t="shared" si="15"/>
        <v>* group[=].element[=].target.display = ##34###34#</v>
      </c>
      <c r="M31" s="14" t="str">
        <f t="shared" si="16"/>
        <v>* group[=].element[=].target.equivalence = #relatedto</v>
      </c>
      <c r="N31" s="14" t="str">
        <f t="shared" si="17"/>
        <v>* group[=].element[=].target.comment = ##34#see details in the Observation group##34#</v>
      </c>
      <c r="P31" s="9">
        <v>17</v>
      </c>
      <c r="Q31" s="9">
        <f t="shared" si="4"/>
        <v>2</v>
      </c>
      <c r="R31" s="9">
        <f t="shared" si="5"/>
        <v>5</v>
      </c>
      <c r="S31" s="14" t="str" cm="1">
        <f t="array" ref="S31">INDEX('Results-ConceptMap-1'!$I$15:$N$123,Q31+1,R31)</f>
        <v>* group[=].element[=].target.equivalence = #relatedto</v>
      </c>
    </row>
    <row r="32" spans="1:19" ht="73.75" x14ac:dyDescent="0.75">
      <c r="B32" s="9" t="str">
        <f>'A.5 Results'!B25</f>
        <v>observation.accreditationStatus</v>
      </c>
      <c r="C32" s="9" t="str">
        <f>'A.5 Results'!C25</f>
        <v>A.5.2.14 Accreditation status</v>
      </c>
      <c r="D32" s="14" t="s">
        <v>675</v>
      </c>
      <c r="E32" s="14"/>
      <c r="F32" s="75" t="s">
        <v>659</v>
      </c>
      <c r="G32" s="75" t="s">
        <v>844</v>
      </c>
      <c r="H32" s="76"/>
      <c r="I32" s="14" t="str">
        <f t="shared" si="12"/>
        <v>* group[=].element[+].code = #Result.observation.accreditationStatus</v>
      </c>
      <c r="J32" s="14" t="str">
        <f t="shared" si="13"/>
        <v>* group[=].element[=].display = ##34#A.5.2.14 Accreditation status##34#</v>
      </c>
      <c r="K32" s="14" t="str">
        <f t="shared" si="14"/>
        <v>* group[=].element[=].target.code = #DiagnosticReport.result.resolve()</v>
      </c>
      <c r="L32" s="14" t="str">
        <f t="shared" si="15"/>
        <v>* group[=].element[=].target.display = ##34###34#</v>
      </c>
      <c r="M32" s="14" t="str">
        <f t="shared" si="16"/>
        <v>* group[=].element[=].target.equivalence = #relatedto</v>
      </c>
      <c r="N32" s="14" t="str">
        <f t="shared" si="17"/>
        <v>* group[=].element[=].target.comment = ##34#see details in the Observation group##34#</v>
      </c>
      <c r="P32" s="9">
        <v>18</v>
      </c>
      <c r="Q32" s="9">
        <f t="shared" si="4"/>
        <v>2</v>
      </c>
      <c r="R32" s="9">
        <f t="shared" si="5"/>
        <v>6</v>
      </c>
      <c r="S32" s="14" t="str" cm="1">
        <f t="array" ref="S32">INDEX('Results-ConceptMap-1'!$I$15:$N$123,Q32+1,R32)</f>
        <v>* group[=].element[=].target.comment = ##34#if related to the overall report conclusions##34#</v>
      </c>
    </row>
    <row r="33" spans="1:19" x14ac:dyDescent="0.75">
      <c r="B33" s="9">
        <f>'A.5 Results'!B26</f>
        <v>0</v>
      </c>
      <c r="C33" s="9">
        <f>'A.5 Results'!C26</f>
        <v>0</v>
      </c>
      <c r="D33" s="14"/>
      <c r="E33" s="14"/>
      <c r="F33" s="75"/>
      <c r="G33" s="75"/>
      <c r="H33" s="76"/>
      <c r="I33" s="14"/>
      <c r="J33" s="14"/>
      <c r="K33" s="14"/>
      <c r="L33" s="14"/>
      <c r="M33" s="14"/>
      <c r="N33" s="14" t="str">
        <f t="shared" si="17"/>
        <v/>
      </c>
      <c r="P33" s="9">
        <v>19</v>
      </c>
      <c r="Q33" s="9">
        <f t="shared" si="4"/>
        <v>3</v>
      </c>
      <c r="R33" s="9">
        <f t="shared" si="5"/>
        <v>1</v>
      </c>
      <c r="S33" s="14" t="str" cm="1">
        <f t="array" ref="S33">INDEX('Results-ConceptMap-1'!$I$15:$N$123,Q33+1,R33)</f>
        <v>* group[=].element[+].code = #Result.observation</v>
      </c>
    </row>
    <row r="34" spans="1:19" x14ac:dyDescent="0.75">
      <c r="B34" s="9">
        <f>'A.5 Results'!B27</f>
        <v>0</v>
      </c>
      <c r="C34" s="9">
        <f>'A.5 Results'!C27</f>
        <v>0</v>
      </c>
      <c r="D34" s="14"/>
      <c r="E34" s="14"/>
      <c r="F34" s="75"/>
      <c r="G34" s="75"/>
      <c r="H34" s="76"/>
      <c r="I34" s="14"/>
      <c r="J34" s="14"/>
      <c r="K34" s="14"/>
      <c r="L34" s="14"/>
      <c r="M34" s="14"/>
      <c r="N34" s="14" t="str">
        <f t="shared" si="17"/>
        <v/>
      </c>
      <c r="P34" s="9">
        <v>20</v>
      </c>
      <c r="Q34" s="9">
        <f t="shared" si="4"/>
        <v>3</v>
      </c>
      <c r="R34" s="9">
        <f t="shared" si="5"/>
        <v>2</v>
      </c>
      <c r="S34" s="14" t="str" cm="1">
        <f t="array" ref="S34">INDEX('Results-ConceptMap-1'!$I$15:$N$123,Q34+1,R34)</f>
        <v>* group[=].element[=].display = ##34#A.5.2 Observation details##34#</v>
      </c>
    </row>
    <row r="35" spans="1:19" x14ac:dyDescent="0.75">
      <c r="B35" s="9">
        <f>'A.5 Results'!B28</f>
        <v>0</v>
      </c>
      <c r="C35" s="9">
        <f>'A.5 Results'!C28</f>
        <v>0</v>
      </c>
      <c r="D35" s="14"/>
      <c r="E35" s="14"/>
      <c r="F35" s="75"/>
      <c r="G35" s="75"/>
      <c r="H35" s="76"/>
      <c r="I35" s="14"/>
      <c r="J35" s="14"/>
      <c r="K35" s="14"/>
      <c r="L35" s="14"/>
      <c r="M35" s="14"/>
      <c r="N35" s="14" t="str">
        <f t="shared" si="17"/>
        <v/>
      </c>
      <c r="P35" s="9">
        <v>21</v>
      </c>
      <c r="Q35" s="9">
        <f t="shared" si="4"/>
        <v>3</v>
      </c>
      <c r="R35" s="9">
        <f t="shared" si="5"/>
        <v>3</v>
      </c>
      <c r="S35" s="14" t="str" cm="1">
        <f t="array" ref="S35">INDEX('Results-ConceptMap-1'!$I$15:$N$123,Q35+1,R35)</f>
        <v>* group[=].element[=].target.code = #DiagnosticReport.result.resolve()</v>
      </c>
    </row>
    <row r="36" spans="1:19" x14ac:dyDescent="0.75">
      <c r="B36" s="9"/>
      <c r="C36" s="9"/>
      <c r="D36" s="14"/>
      <c r="E36" s="14"/>
      <c r="F36" s="75"/>
      <c r="G36" s="75"/>
      <c r="H36" s="76"/>
      <c r="I36" s="14"/>
      <c r="J36" s="14"/>
      <c r="K36" s="14"/>
      <c r="L36" s="14"/>
      <c r="M36" s="14"/>
      <c r="N36" s="14" t="str">
        <f t="shared" si="17"/>
        <v/>
      </c>
      <c r="P36" s="9">
        <v>22</v>
      </c>
      <c r="Q36" s="9">
        <f t="shared" si="4"/>
        <v>3</v>
      </c>
      <c r="R36" s="9">
        <f t="shared" si="5"/>
        <v>4</v>
      </c>
      <c r="S36" s="14" t="str" cm="1">
        <f t="array" ref="S36">INDEX('Results-ConceptMap-1'!$I$15:$N$123,Q36+1,R36)</f>
        <v>* group[=].element[=].target.display = ##34###34#</v>
      </c>
    </row>
    <row r="37" spans="1:19" x14ac:dyDescent="0.75">
      <c r="B37" s="9"/>
      <c r="C37" s="9"/>
      <c r="D37" s="14"/>
      <c r="E37" s="14"/>
      <c r="F37" s="75"/>
      <c r="G37" s="75"/>
      <c r="H37" s="76"/>
      <c r="I37" s="14"/>
      <c r="J37" s="14"/>
      <c r="K37" s="14"/>
      <c r="L37" s="14"/>
      <c r="M37" s="14"/>
      <c r="N37" s="14" t="str">
        <f t="shared" si="17"/>
        <v/>
      </c>
      <c r="P37" s="9">
        <v>23</v>
      </c>
      <c r="Q37" s="9">
        <f t="shared" si="4"/>
        <v>3</v>
      </c>
      <c r="R37" s="9">
        <f t="shared" si="5"/>
        <v>5</v>
      </c>
      <c r="S37" s="14" t="str" cm="1">
        <f t="array" ref="S37">INDEX('Results-ConceptMap-1'!$I$15:$N$123,Q37+1,R37)</f>
        <v>* group[=].element[=].target.equivalence = #relatedto</v>
      </c>
    </row>
    <row r="38" spans="1:19" x14ac:dyDescent="0.75">
      <c r="B38" s="9"/>
      <c r="C38" s="9"/>
      <c r="D38" s="14"/>
      <c r="E38" s="14"/>
      <c r="F38" s="75"/>
      <c r="G38" s="75"/>
      <c r="H38" s="76"/>
      <c r="I38" s="14"/>
      <c r="J38" s="14"/>
      <c r="K38" s="14"/>
      <c r="L38" s="14"/>
      <c r="M38" s="14"/>
      <c r="N38" s="14" t="str">
        <f t="shared" si="17"/>
        <v/>
      </c>
      <c r="P38" s="9">
        <v>24</v>
      </c>
      <c r="Q38" s="9">
        <f t="shared" si="4"/>
        <v>3</v>
      </c>
      <c r="R38" s="9">
        <f t="shared" si="5"/>
        <v>6</v>
      </c>
      <c r="S38" s="14" t="str" cm="1">
        <f t="array" ref="S38">INDEX('Results-ConceptMap-1'!$I$15:$N$123,Q38+1,R38)</f>
        <v>* group[=].element[=].target.comment = ##34#see details in the Observation group##34#</v>
      </c>
    </row>
    <row r="39" spans="1:19" s="1" customFormat="1" x14ac:dyDescent="0.75">
      <c r="A39"/>
      <c r="B39" s="9"/>
      <c r="C39" s="9"/>
      <c r="D39" s="14"/>
      <c r="E39" s="14"/>
      <c r="F39" s="75"/>
      <c r="G39" s="76"/>
      <c r="H39" s="76"/>
      <c r="J39"/>
      <c r="K39" s="76"/>
      <c r="L39" s="76"/>
      <c r="M39" s="74"/>
      <c r="N39" s="74"/>
      <c r="P39" s="9">
        <v>25</v>
      </c>
      <c r="Q39" s="9">
        <f t="shared" si="4"/>
        <v>4</v>
      </c>
      <c r="R39" s="9">
        <f t="shared" si="5"/>
        <v>1</v>
      </c>
      <c r="S39" s="14" t="str" cm="1">
        <f t="array" ref="S39">INDEX('Results-ConceptMap-1'!$I$15:$N$123,Q39+1,R39)</f>
        <v>* group[=].element[+].code = #Result.observation.dateTime</v>
      </c>
    </row>
    <row r="40" spans="1:19" s="1" customFormat="1" x14ac:dyDescent="0.75">
      <c r="A40"/>
      <c r="B40" s="9"/>
      <c r="C40" s="9"/>
      <c r="D40" s="60"/>
      <c r="F40" s="76"/>
      <c r="G40" s="76"/>
      <c r="H40" s="76"/>
      <c r="J40"/>
      <c r="K40" s="76"/>
      <c r="L40" s="76"/>
      <c r="M40" s="74"/>
      <c r="N40" s="74"/>
      <c r="P40" s="9">
        <v>26</v>
      </c>
      <c r="Q40" s="9">
        <f t="shared" si="4"/>
        <v>4</v>
      </c>
      <c r="R40" s="9">
        <f t="shared" si="5"/>
        <v>2</v>
      </c>
      <c r="S40" s="14" t="str" cm="1">
        <f t="array" ref="S40">INDEX('Results-ConceptMap-1'!$I$15:$N$123,Q40+1,R40)</f>
        <v>* group[=].element[=].display = ##34#A.5.2.1 Observation date##34#</v>
      </c>
    </row>
    <row r="41" spans="1:19" s="1" customFormat="1" x14ac:dyDescent="0.75">
      <c r="A41"/>
      <c r="B41" s="9"/>
      <c r="C41" s="9"/>
      <c r="F41" s="76"/>
      <c r="G41" s="76"/>
      <c r="H41" s="76"/>
      <c r="J41"/>
      <c r="K41" s="76"/>
      <c r="L41" s="76"/>
      <c r="M41" s="74"/>
      <c r="N41" s="74"/>
      <c r="P41" s="9">
        <v>27</v>
      </c>
      <c r="Q41" s="9">
        <f t="shared" si="4"/>
        <v>4</v>
      </c>
      <c r="R41" s="9">
        <f t="shared" si="5"/>
        <v>3</v>
      </c>
      <c r="S41" s="14" t="str" cm="1">
        <f t="array" ref="S41">INDEX('Results-ConceptMap-1'!$I$15:$N$123,Q41+1,R41)</f>
        <v>* group[=].element[=].target.code = #DiagnosticReport.result.resolve()</v>
      </c>
    </row>
    <row r="42" spans="1:19" s="1" customFormat="1" x14ac:dyDescent="0.75">
      <c r="A42"/>
      <c r="B42" s="9"/>
      <c r="C42" s="9"/>
      <c r="F42" s="76"/>
      <c r="G42" s="76"/>
      <c r="H42" s="76"/>
      <c r="J42" s="76"/>
      <c r="K42" s="76"/>
      <c r="L42" s="76"/>
      <c r="M42" s="74"/>
      <c r="N42" s="74"/>
      <c r="P42" s="9">
        <v>28</v>
      </c>
      <c r="Q42" s="9">
        <f t="shared" si="4"/>
        <v>4</v>
      </c>
      <c r="R42" s="9">
        <f t="shared" si="5"/>
        <v>4</v>
      </c>
      <c r="S42" s="14" t="str" cm="1">
        <f t="array" ref="S42">INDEX('Results-ConceptMap-1'!$I$15:$N$123,Q42+1,R42)</f>
        <v>* group[=].element[=].target.display = ##34###34#</v>
      </c>
    </row>
    <row r="43" spans="1:19" s="1" customFormat="1" x14ac:dyDescent="0.75">
      <c r="A43"/>
      <c r="B43" s="9"/>
      <c r="C43" s="9"/>
      <c r="F43" s="76"/>
      <c r="G43" s="76"/>
      <c r="H43" s="76"/>
      <c r="J43" s="76"/>
      <c r="K43" s="76"/>
      <c r="L43" s="76"/>
      <c r="M43" s="74"/>
      <c r="N43" s="74"/>
      <c r="P43" s="9">
        <v>29</v>
      </c>
      <c r="Q43" s="9">
        <f t="shared" si="4"/>
        <v>4</v>
      </c>
      <c r="R43" s="9">
        <f t="shared" si="5"/>
        <v>5</v>
      </c>
      <c r="S43" s="14" t="str" cm="1">
        <f t="array" ref="S43">INDEX('Results-ConceptMap-1'!$I$15:$N$123,Q43+1,R43)</f>
        <v>* group[=].element[=].target.equivalence = #relatedto</v>
      </c>
    </row>
    <row r="44" spans="1:19" x14ac:dyDescent="0.75">
      <c r="P44" s="9">
        <v>30</v>
      </c>
      <c r="Q44" s="9">
        <f t="shared" si="4"/>
        <v>4</v>
      </c>
      <c r="R44" s="9">
        <f t="shared" si="5"/>
        <v>6</v>
      </c>
      <c r="S44" s="14" t="str" cm="1">
        <f t="array" ref="S44">INDEX('Results-ConceptMap-1'!$I$15:$N$123,Q44+1,R44)</f>
        <v>* group[=].element[=].target.comment = ##34#see details in the Observation group##34#</v>
      </c>
    </row>
    <row r="45" spans="1:19" x14ac:dyDescent="0.75">
      <c r="P45" s="9">
        <v>31</v>
      </c>
      <c r="Q45" s="9">
        <f t="shared" si="4"/>
        <v>5</v>
      </c>
      <c r="R45" s="9">
        <f t="shared" si="5"/>
        <v>1</v>
      </c>
      <c r="S45" s="14" t="str" cm="1">
        <f t="array" ref="S45">INDEX('Results-ConceptMap-1'!$I$15:$N$123,Q45+1,R45)</f>
        <v>* group[=].element[+].code = #Result.observation.code</v>
      </c>
    </row>
    <row r="46" spans="1:19" x14ac:dyDescent="0.75">
      <c r="P46" s="9">
        <v>32</v>
      </c>
      <c r="Q46" s="9">
        <f t="shared" si="4"/>
        <v>5</v>
      </c>
      <c r="R46" s="9">
        <f t="shared" si="5"/>
        <v>2</v>
      </c>
      <c r="S46" s="14" t="str" cm="1">
        <f t="array" ref="S46">INDEX('Results-ConceptMap-1'!$I$15:$N$123,Q46+1,R46)</f>
        <v>* group[=].element[=].display = ##34#A.5.2.3 Observation code##34#</v>
      </c>
    </row>
    <row r="47" spans="1:19" x14ac:dyDescent="0.75">
      <c r="P47" s="9">
        <v>33</v>
      </c>
      <c r="Q47" s="9">
        <f t="shared" si="4"/>
        <v>5</v>
      </c>
      <c r="R47" s="9">
        <f t="shared" si="5"/>
        <v>3</v>
      </c>
      <c r="S47" s="14" t="str" cm="1">
        <f t="array" ref="S47">INDEX('Results-ConceptMap-1'!$I$15:$N$123,Q47+1,R47)</f>
        <v>* group[=].element[=].target.code = #DiagnosticReport.result.resolve()</v>
      </c>
    </row>
    <row r="48" spans="1:19" x14ac:dyDescent="0.75">
      <c r="P48" s="9">
        <v>34</v>
      </c>
      <c r="Q48" s="9">
        <f t="shared" si="4"/>
        <v>5</v>
      </c>
      <c r="R48" s="9">
        <f t="shared" si="5"/>
        <v>4</v>
      </c>
      <c r="S48" s="14" t="str" cm="1">
        <f t="array" ref="S48">INDEX('Results-ConceptMap-1'!$I$15:$N$123,Q48+1,R48)</f>
        <v>* group[=].element[=].target.display = ##34###34#</v>
      </c>
    </row>
    <row r="49" spans="16:19" x14ac:dyDescent="0.75">
      <c r="P49" s="9">
        <v>35</v>
      </c>
      <c r="Q49" s="9">
        <f t="shared" si="4"/>
        <v>5</v>
      </c>
      <c r="R49" s="9">
        <f t="shared" si="5"/>
        <v>5</v>
      </c>
      <c r="S49" s="14" t="str" cm="1">
        <f t="array" ref="S49">INDEX('Results-ConceptMap-1'!$I$15:$N$123,Q49+1,R49)</f>
        <v>* group[=].element[=].target.equivalence = #relatedto</v>
      </c>
    </row>
    <row r="50" spans="16:19" x14ac:dyDescent="0.75">
      <c r="P50" s="9">
        <v>36</v>
      </c>
      <c r="Q50" s="9">
        <f t="shared" si="4"/>
        <v>5</v>
      </c>
      <c r="R50" s="9">
        <f t="shared" si="5"/>
        <v>6</v>
      </c>
      <c r="S50" s="14" t="str" cm="1">
        <f t="array" ref="S50">INDEX('Results-ConceptMap-1'!$I$15:$N$123,Q50+1,R50)</f>
        <v>* group[=].element[=].target.comment = ##34#see details in the Observation group##34#</v>
      </c>
    </row>
    <row r="51" spans="16:19" x14ac:dyDescent="0.75">
      <c r="P51" s="9">
        <v>37</v>
      </c>
      <c r="Q51" s="9">
        <f t="shared" si="4"/>
        <v>6</v>
      </c>
      <c r="R51" s="9">
        <f t="shared" si="5"/>
        <v>1</v>
      </c>
      <c r="S51" s="14" t="str" cm="1">
        <f t="array" ref="S51">INDEX('Results-ConceptMap-1'!$I$15:$N$123,Q51+1,R51)</f>
        <v>* group[=].element[+].code = #Result.observation.code.name</v>
      </c>
    </row>
    <row r="52" spans="16:19" x14ac:dyDescent="0.75">
      <c r="P52" s="9">
        <v>38</v>
      </c>
      <c r="Q52" s="9">
        <f t="shared" si="4"/>
        <v>6</v>
      </c>
      <c r="R52" s="9">
        <f t="shared" si="5"/>
        <v>2</v>
      </c>
      <c r="S52" s="14" t="str" cm="1">
        <f t="array" ref="S52">INDEX('Results-ConceptMap-1'!$I$15:$N$123,Q52+1,R52)</f>
        <v>* group[=].element[=].display = ##34#A.5.2.3.1 Observation name##34#</v>
      </c>
    </row>
    <row r="53" spans="16:19" x14ac:dyDescent="0.75">
      <c r="P53" s="9">
        <v>39</v>
      </c>
      <c r="Q53" s="9">
        <f t="shared" ref="Q53:Q69" si="18">IF(MOD(P53,$Q$8)=0,P53/$Q$8-1,INT(P53/$Q$8))</f>
        <v>6</v>
      </c>
      <c r="R53" s="9">
        <f t="shared" ref="R53:R69" si="19">IF(MOD(P53,$Q$8)=0,$Q$8,MOD(P53,$Q$8))</f>
        <v>3</v>
      </c>
      <c r="S53" s="14" t="str" cm="1">
        <f t="array" ref="S53">INDEX('Results-ConceptMap-1'!$I$15:$N$123,Q53+1,R53)</f>
        <v>* group[=].element[=].target.code = #DiagnosticReport.result.resolve()</v>
      </c>
    </row>
    <row r="54" spans="16:19" x14ac:dyDescent="0.75">
      <c r="P54" s="9">
        <v>40</v>
      </c>
      <c r="Q54" s="9">
        <f t="shared" si="18"/>
        <v>6</v>
      </c>
      <c r="R54" s="9">
        <f t="shared" si="19"/>
        <v>4</v>
      </c>
      <c r="S54" s="14" t="str" cm="1">
        <f t="array" ref="S54">INDEX('Results-ConceptMap-1'!$I$15:$N$123,Q54+1,R54)</f>
        <v>* group[=].element[=].target.display = ##34###34#</v>
      </c>
    </row>
    <row r="55" spans="16:19" x14ac:dyDescent="0.75">
      <c r="P55" s="9">
        <v>41</v>
      </c>
      <c r="Q55" s="9">
        <f t="shared" si="18"/>
        <v>6</v>
      </c>
      <c r="R55" s="9">
        <f t="shared" si="19"/>
        <v>5</v>
      </c>
      <c r="S55" s="14" t="str" cm="1">
        <f t="array" ref="S55">INDEX('Results-ConceptMap-1'!$I$15:$N$123,Q55+1,R55)</f>
        <v>* group[=].element[=].target.equivalence = #relatedto</v>
      </c>
    </row>
    <row r="56" spans="16:19" x14ac:dyDescent="0.75">
      <c r="P56" s="9">
        <v>42</v>
      </c>
      <c r="Q56" s="9">
        <f t="shared" si="18"/>
        <v>6</v>
      </c>
      <c r="R56" s="9">
        <f t="shared" si="19"/>
        <v>6</v>
      </c>
      <c r="S56" s="14" t="str" cm="1">
        <f t="array" ref="S56">INDEX('Results-ConceptMap-1'!$I$15:$N$123,Q56+1,R56)</f>
        <v>* group[=].element[=].target.comment = ##34#see details in the Observation group##34#</v>
      </c>
    </row>
    <row r="57" spans="16:19" x14ac:dyDescent="0.75">
      <c r="P57" s="9">
        <v>43</v>
      </c>
      <c r="Q57" s="9">
        <f t="shared" si="18"/>
        <v>7</v>
      </c>
      <c r="R57" s="9">
        <f t="shared" si="19"/>
        <v>1</v>
      </c>
      <c r="S57" s="14" t="str" cm="1">
        <f t="array" ref="S57">INDEX('Results-ConceptMap-1'!$I$15:$N$123,Q57+1,R57)</f>
        <v>* group[=].element[+].code = #Result.observation.code.originalName</v>
      </c>
    </row>
    <row r="58" spans="16:19" x14ac:dyDescent="0.75">
      <c r="P58" s="9">
        <v>44</v>
      </c>
      <c r="Q58" s="9">
        <f t="shared" si="18"/>
        <v>7</v>
      </c>
      <c r="R58" s="9">
        <f t="shared" si="19"/>
        <v>2</v>
      </c>
      <c r="S58" s="14" t="str" cm="1">
        <f t="array" ref="S58">INDEX('Results-ConceptMap-1'!$I$15:$N$123,Q58+1,R58)</f>
        <v>* group[=].element[=].display = ##34#A.5.2.3.2 Observation original name##34#</v>
      </c>
    </row>
    <row r="59" spans="16:19" x14ac:dyDescent="0.75">
      <c r="P59" s="9">
        <v>45</v>
      </c>
      <c r="Q59" s="9">
        <f t="shared" si="18"/>
        <v>7</v>
      </c>
      <c r="R59" s="9">
        <f t="shared" si="19"/>
        <v>3</v>
      </c>
      <c r="S59" s="14" t="str" cm="1">
        <f t="array" ref="S59">INDEX('Results-ConceptMap-1'!$I$15:$N$123,Q59+1,R59)</f>
        <v>* group[=].element[=].target.code = #DiagnosticReport.result.resolve()</v>
      </c>
    </row>
    <row r="60" spans="16:19" x14ac:dyDescent="0.75">
      <c r="P60" s="9">
        <v>46</v>
      </c>
      <c r="Q60" s="9">
        <f t="shared" si="18"/>
        <v>7</v>
      </c>
      <c r="R60" s="9">
        <f t="shared" si="19"/>
        <v>4</v>
      </c>
      <c r="S60" s="14" t="str" cm="1">
        <f t="array" ref="S60">INDEX('Results-ConceptMap-1'!$I$15:$N$123,Q60+1,R60)</f>
        <v>* group[=].element[=].target.display = ##34###34#</v>
      </c>
    </row>
    <row r="61" spans="16:19" x14ac:dyDescent="0.75">
      <c r="P61" s="9">
        <v>47</v>
      </c>
      <c r="Q61" s="9">
        <f t="shared" si="18"/>
        <v>7</v>
      </c>
      <c r="R61" s="9">
        <f t="shared" si="19"/>
        <v>5</v>
      </c>
      <c r="S61" s="14" t="str" cm="1">
        <f t="array" ref="S61">INDEX('Results-ConceptMap-1'!$I$15:$N$123,Q61+1,R61)</f>
        <v>* group[=].element[=].target.equivalence = #relatedto</v>
      </c>
    </row>
    <row r="62" spans="16:19" x14ac:dyDescent="0.75">
      <c r="P62" s="9">
        <v>48</v>
      </c>
      <c r="Q62" s="9">
        <f t="shared" si="18"/>
        <v>7</v>
      </c>
      <c r="R62" s="9">
        <f t="shared" si="19"/>
        <v>6</v>
      </c>
      <c r="S62" s="14" t="str" cm="1">
        <f t="array" ref="S62">INDEX('Results-ConceptMap-1'!$I$15:$N$123,Q62+1,R62)</f>
        <v>* group[=].element[=].target.comment = ##34#see details in the Observation group##34#</v>
      </c>
    </row>
    <row r="63" spans="16:19" x14ac:dyDescent="0.75">
      <c r="P63" s="9">
        <v>49</v>
      </c>
      <c r="Q63" s="9">
        <f t="shared" si="18"/>
        <v>8</v>
      </c>
      <c r="R63" s="9">
        <f t="shared" si="19"/>
        <v>1</v>
      </c>
      <c r="S63" s="14" t="str" cm="1">
        <f t="array" ref="S63">INDEX('Results-ConceptMap-1'!$I$15:$N$123,Q63+1,R63)</f>
        <v>* group[=].element[+].code = #Result.observation.code.displayName</v>
      </c>
    </row>
    <row r="64" spans="16:19" x14ac:dyDescent="0.75">
      <c r="P64" s="9">
        <v>50</v>
      </c>
      <c r="Q64" s="9">
        <f t="shared" si="18"/>
        <v>8</v>
      </c>
      <c r="R64" s="9">
        <f t="shared" si="19"/>
        <v>2</v>
      </c>
      <c r="S64" s="14" t="str" cm="1">
        <f t="array" ref="S64">INDEX('Results-ConceptMap-1'!$I$15:$N$123,Q64+1,R64)</f>
        <v>* group[=].element[=].display = ##34#A.5.2.3.3 Observation display name##34#</v>
      </c>
    </row>
    <row r="65" spans="16:19" x14ac:dyDescent="0.75">
      <c r="P65" s="9">
        <v>51</v>
      </c>
      <c r="Q65" s="9">
        <f t="shared" si="18"/>
        <v>8</v>
      </c>
      <c r="R65" s="9">
        <f t="shared" si="19"/>
        <v>3</v>
      </c>
      <c r="S65" s="14" t="str" cm="1">
        <f t="array" ref="S65">INDEX('Results-ConceptMap-1'!$I$15:$N$123,Q65+1,R65)</f>
        <v>* group[=].element[=].target.code = #DiagnosticReport.result.resolve()</v>
      </c>
    </row>
    <row r="66" spans="16:19" x14ac:dyDescent="0.75">
      <c r="P66" s="9">
        <v>52</v>
      </c>
      <c r="Q66" s="9">
        <f t="shared" si="18"/>
        <v>8</v>
      </c>
      <c r="R66" s="9">
        <f t="shared" si="19"/>
        <v>4</v>
      </c>
      <c r="S66" s="14" t="str" cm="1">
        <f t="array" ref="S66">INDEX('Results-ConceptMap-1'!$I$15:$N$123,Q66+1,R66)</f>
        <v>* group[=].element[=].target.display = ##34###34#</v>
      </c>
    </row>
    <row r="67" spans="16:19" x14ac:dyDescent="0.75">
      <c r="P67" s="9">
        <v>53</v>
      </c>
      <c r="Q67" s="9">
        <f t="shared" si="18"/>
        <v>8</v>
      </c>
      <c r="R67" s="9">
        <f t="shared" si="19"/>
        <v>5</v>
      </c>
      <c r="S67" s="14" t="str" cm="1">
        <f t="array" ref="S67">INDEX('Results-ConceptMap-1'!$I$15:$N$123,Q67+1,R67)</f>
        <v>* group[=].element[=].target.equivalence = #relatedto</v>
      </c>
    </row>
    <row r="68" spans="16:19" x14ac:dyDescent="0.75">
      <c r="P68" s="9">
        <v>54</v>
      </c>
      <c r="Q68" s="9">
        <f t="shared" si="18"/>
        <v>8</v>
      </c>
      <c r="R68" s="9">
        <f t="shared" si="19"/>
        <v>6</v>
      </c>
      <c r="S68" s="14" t="str" cm="1">
        <f t="array" ref="S68">INDEX('Results-ConceptMap-1'!$I$15:$N$123,Q68+1,R68)</f>
        <v>* group[=].element[=].target.comment = ##34#see details in the Observation group##34#</v>
      </c>
    </row>
    <row r="69" spans="16:19" x14ac:dyDescent="0.75">
      <c r="P69" s="9">
        <v>55</v>
      </c>
      <c r="Q69" s="9">
        <f t="shared" si="18"/>
        <v>9</v>
      </c>
      <c r="R69" s="9">
        <f t="shared" si="19"/>
        <v>1</v>
      </c>
      <c r="S69" s="14" t="str" cm="1">
        <f t="array" ref="S69">INDEX('Results-ConceptMap-1'!$I$15:$N$123,Q69+1,R69)</f>
        <v>* group[=].element[+].code = #Result.observation.method</v>
      </c>
    </row>
    <row r="70" spans="16:19" x14ac:dyDescent="0.75">
      <c r="P70" s="9">
        <v>56</v>
      </c>
      <c r="Q70" s="9">
        <f t="shared" ref="Q70:Q115" si="20">IF(MOD(P70,$Q$8)=0,P70/$Q$8-1,INT(P70/$Q$8))</f>
        <v>9</v>
      </c>
      <c r="R70" s="9">
        <f t="shared" ref="R70:R115" si="21">IF(MOD(P70,$Q$8)=0,$Q$8,MOD(P70,$Q$8))</f>
        <v>2</v>
      </c>
      <c r="S70" s="14" t="str" cm="1">
        <f t="array" ref="S70">INDEX('Results-ConceptMap-1'!$I$15:$N$123,Q70+1,R70)</f>
        <v>* group[=].element[=].display = ##34#A.5.2.4 Observation method##34#</v>
      </c>
    </row>
    <row r="71" spans="16:19" x14ac:dyDescent="0.75">
      <c r="P71" s="9">
        <v>57</v>
      </c>
      <c r="Q71" s="9">
        <f t="shared" si="20"/>
        <v>9</v>
      </c>
      <c r="R71" s="9">
        <f t="shared" si="21"/>
        <v>3</v>
      </c>
      <c r="S71" s="14" t="str" cm="1">
        <f t="array" ref="S71">INDEX('Results-ConceptMap-1'!$I$15:$N$123,Q71+1,R71)</f>
        <v>* group[=].element[=].target.code = #DiagnosticReport.result.resolve()</v>
      </c>
    </row>
    <row r="72" spans="16:19" x14ac:dyDescent="0.75">
      <c r="P72" s="9">
        <v>58</v>
      </c>
      <c r="Q72" s="9">
        <f t="shared" si="20"/>
        <v>9</v>
      </c>
      <c r="R72" s="9">
        <f t="shared" si="21"/>
        <v>4</v>
      </c>
      <c r="S72" s="14" t="str" cm="1">
        <f t="array" ref="S72">INDEX('Results-ConceptMap-1'!$I$15:$N$123,Q72+1,R72)</f>
        <v>* group[=].element[=].target.display = ##34###34#</v>
      </c>
    </row>
    <row r="73" spans="16:19" ht="29.5" x14ac:dyDescent="0.75">
      <c r="P73" s="9">
        <v>59</v>
      </c>
      <c r="Q73" s="9">
        <f t="shared" si="20"/>
        <v>9</v>
      </c>
      <c r="R73" s="9">
        <f t="shared" si="21"/>
        <v>5</v>
      </c>
      <c r="S73" s="14" t="str" cm="1">
        <f t="array" ref="S73">INDEX('Results-ConceptMap-1'!$I$15:$N$123,Q73+1,R73)</f>
        <v>* group[=].element[=].target.equivalence = #relatedto</v>
      </c>
    </row>
    <row r="74" spans="16:19" x14ac:dyDescent="0.75">
      <c r="P74" s="9">
        <v>60</v>
      </c>
      <c r="Q74" s="9">
        <f t="shared" si="20"/>
        <v>9</v>
      </c>
      <c r="R74" s="9">
        <f t="shared" si="21"/>
        <v>6</v>
      </c>
      <c r="S74" s="14" t="str" cm="1">
        <f t="array" ref="S74">INDEX('Results-ConceptMap-1'!$I$15:$N$123,Q74+1,R74)</f>
        <v>* group[=].element[=].target.comment = ##34#see details in the Observation group##34#</v>
      </c>
    </row>
    <row r="75" spans="16:19" x14ac:dyDescent="0.75">
      <c r="P75" s="9">
        <v>61</v>
      </c>
      <c r="Q75" s="9">
        <f t="shared" si="20"/>
        <v>10</v>
      </c>
      <c r="R75" s="9">
        <f t="shared" si="21"/>
        <v>1</v>
      </c>
      <c r="S75" s="14" t="str" cm="1">
        <f t="array" ref="S75">INDEX('Results-ConceptMap-1'!$I$15:$N$123,Q75+1,R75)</f>
        <v>* group[=].element[+].code = #Result.observation.device</v>
      </c>
    </row>
    <row r="76" spans="16:19" x14ac:dyDescent="0.75">
      <c r="P76" s="9">
        <v>62</v>
      </c>
      <c r="Q76" s="9">
        <f t="shared" si="20"/>
        <v>10</v>
      </c>
      <c r="R76" s="9">
        <f t="shared" si="21"/>
        <v>2</v>
      </c>
      <c r="S76" s="14" t="str" cm="1">
        <f t="array" ref="S76">INDEX('Results-ConceptMap-1'!$I$15:$N$123,Q76+1,R76)</f>
        <v>* group[=].element[=].display = ##34#A.5.2.5 Observation device##34#</v>
      </c>
    </row>
    <row r="77" spans="16:19" x14ac:dyDescent="0.75">
      <c r="P77" s="9">
        <v>63</v>
      </c>
      <c r="Q77" s="9">
        <f t="shared" si="20"/>
        <v>10</v>
      </c>
      <c r="R77" s="9">
        <f t="shared" si="21"/>
        <v>3</v>
      </c>
      <c r="S77" s="14" t="str" cm="1">
        <f t="array" ref="S77">INDEX('Results-ConceptMap-1'!$I$15:$N$123,Q77+1,R77)</f>
        <v>* group[=].element[=].target.code = #DiagnosticReport.result.resolve()</v>
      </c>
    </row>
    <row r="78" spans="16:19" x14ac:dyDescent="0.75">
      <c r="P78" s="9">
        <v>64</v>
      </c>
      <c r="Q78" s="9">
        <f t="shared" si="20"/>
        <v>10</v>
      </c>
      <c r="R78" s="9">
        <f t="shared" si="21"/>
        <v>4</v>
      </c>
      <c r="S78" s="14" t="str" cm="1">
        <f t="array" ref="S78">INDEX('Results-ConceptMap-1'!$I$15:$N$123,Q78+1,R78)</f>
        <v>* group[=].element[=].target.display = ##34###34#</v>
      </c>
    </row>
    <row r="79" spans="16:19" ht="29.5" x14ac:dyDescent="0.75">
      <c r="P79" s="9">
        <v>65</v>
      </c>
      <c r="Q79" s="9">
        <f t="shared" si="20"/>
        <v>10</v>
      </c>
      <c r="R79" s="9">
        <f t="shared" si="21"/>
        <v>5</v>
      </c>
      <c r="S79" s="14" t="str" cm="1">
        <f t="array" ref="S79">INDEX('Results-ConceptMap-1'!$I$15:$N$123,Q79+1,R79)</f>
        <v>* group[=].element[=].target.equivalence = #relatedto</v>
      </c>
    </row>
    <row r="80" spans="16:19" x14ac:dyDescent="0.75">
      <c r="P80" s="9">
        <v>66</v>
      </c>
      <c r="Q80" s="9">
        <f t="shared" si="20"/>
        <v>10</v>
      </c>
      <c r="R80" s="9">
        <f t="shared" si="21"/>
        <v>6</v>
      </c>
      <c r="S80" s="14" t="str" cm="1">
        <f t="array" ref="S80">INDEX('Results-ConceptMap-1'!$I$15:$N$123,Q80+1,R80)</f>
        <v>* group[=].element[=].target.comment = ##34#see details in the Observation group##34#</v>
      </c>
    </row>
    <row r="81" spans="16:19" x14ac:dyDescent="0.75">
      <c r="P81" s="9">
        <v>67</v>
      </c>
      <c r="Q81" s="9">
        <f t="shared" si="20"/>
        <v>11</v>
      </c>
      <c r="R81" s="9">
        <f t="shared" si="21"/>
        <v>1</v>
      </c>
      <c r="S81" s="14" t="str" cm="1">
        <f t="array" ref="S81">INDEX('Results-ConceptMap-1'!$I$15:$N$123,Q81+1,R81)</f>
        <v>* group[=].element[+].code = #Result.observation.order</v>
      </c>
    </row>
    <row r="82" spans="16:19" x14ac:dyDescent="0.75">
      <c r="P82" s="9">
        <v>68</v>
      </c>
      <c r="Q82" s="9">
        <f t="shared" si="20"/>
        <v>11</v>
      </c>
      <c r="R82" s="9">
        <f t="shared" si="21"/>
        <v>2</v>
      </c>
      <c r="S82" s="14" t="str" cm="1">
        <f t="array" ref="S82">INDEX('Results-ConceptMap-1'!$I$15:$N$123,Q82+1,R82)</f>
        <v>* group[=].element[=].display = ##34#A.5.2.8 Order##34#</v>
      </c>
    </row>
    <row r="83" spans="16:19" x14ac:dyDescent="0.75">
      <c r="P83" s="9">
        <v>69</v>
      </c>
      <c r="Q83" s="9">
        <f t="shared" si="20"/>
        <v>11</v>
      </c>
      <c r="R83" s="9">
        <f t="shared" si="21"/>
        <v>3</v>
      </c>
      <c r="S83" s="14" t="str" cm="1">
        <f t="array" ref="S83">INDEX('Results-ConceptMap-1'!$I$15:$N$123,Q83+1,R83)</f>
        <v>* group[=].element[=].target.code = #DiagnosticReport.result.resolve()</v>
      </c>
    </row>
    <row r="84" spans="16:19" x14ac:dyDescent="0.75">
      <c r="P84" s="9">
        <v>70</v>
      </c>
      <c r="Q84" s="9">
        <f t="shared" si="20"/>
        <v>11</v>
      </c>
      <c r="R84" s="9">
        <f t="shared" si="21"/>
        <v>4</v>
      </c>
      <c r="S84" s="14" t="str" cm="1">
        <f t="array" ref="S84">INDEX('Results-ConceptMap-1'!$I$15:$N$123,Q84+1,R84)</f>
        <v>* group[=].element[=].target.display = ##34###34#</v>
      </c>
    </row>
    <row r="85" spans="16:19" x14ac:dyDescent="0.75">
      <c r="P85" s="9">
        <v>71</v>
      </c>
      <c r="Q85" s="9">
        <f t="shared" si="20"/>
        <v>11</v>
      </c>
      <c r="R85" s="9">
        <f t="shared" si="21"/>
        <v>5</v>
      </c>
      <c r="S85" s="14" t="str" cm="1">
        <f t="array" ref="S85">INDEX('Results-ConceptMap-1'!$I$15:$N$123,Q85+1,R85)</f>
        <v>* group[=].element[=].target.equivalence = #relatedto</v>
      </c>
    </row>
    <row r="86" spans="16:19" x14ac:dyDescent="0.75">
      <c r="P86" s="9">
        <v>72</v>
      </c>
      <c r="Q86" s="9">
        <f t="shared" si="20"/>
        <v>11</v>
      </c>
      <c r="R86" s="9">
        <f t="shared" si="21"/>
        <v>6</v>
      </c>
      <c r="S86" s="14" t="str" cm="1">
        <f t="array" ref="S86">INDEX('Results-ConceptMap-1'!$I$15:$N$123,Q86+1,R86)</f>
        <v>* group[=].element[=].target.comment = ##34#see details in the Observation group##34#</v>
      </c>
    </row>
    <row r="87" spans="16:19" x14ac:dyDescent="0.75">
      <c r="P87" s="9">
        <v>73</v>
      </c>
      <c r="Q87" s="9">
        <f t="shared" si="20"/>
        <v>12</v>
      </c>
      <c r="R87" s="9">
        <f t="shared" si="21"/>
        <v>1</v>
      </c>
      <c r="S87" s="14" t="str" cm="1">
        <f t="array" ref="S87">INDEX('Results-ConceptMap-1'!$I$15:$N$123,Q87+1,R87)</f>
        <v>* group[=].element[+].code = #Result.observation.performer</v>
      </c>
    </row>
    <row r="88" spans="16:19" x14ac:dyDescent="0.75">
      <c r="P88" s="9">
        <v>74</v>
      </c>
      <c r="Q88" s="9">
        <f t="shared" si="20"/>
        <v>12</v>
      </c>
      <c r="R88" s="9">
        <f t="shared" si="21"/>
        <v>2</v>
      </c>
      <c r="S88" s="14" t="str" cm="1">
        <f t="array" ref="S88">INDEX('Results-ConceptMap-1'!$I$15:$N$123,Q88+1,R88)</f>
        <v>* group[=].element[=].display = ##34#A.5.2.9 Performer##34#</v>
      </c>
    </row>
    <row r="89" spans="16:19" ht="29.5" x14ac:dyDescent="0.75">
      <c r="P89" s="9">
        <v>75</v>
      </c>
      <c r="Q89" s="9">
        <f t="shared" si="20"/>
        <v>12</v>
      </c>
      <c r="R89" s="9">
        <f t="shared" si="21"/>
        <v>3</v>
      </c>
      <c r="S89" s="14" t="str" cm="1">
        <f t="array" ref="S89">INDEX('Results-ConceptMap-1'!$I$15:$N$123,Q89+1,R89)</f>
        <v>* group[=].element[=].target.code = #DiagnosticReport.result.resolve()</v>
      </c>
    </row>
    <row r="90" spans="16:19" x14ac:dyDescent="0.75">
      <c r="P90" s="9">
        <v>76</v>
      </c>
      <c r="Q90" s="9">
        <f t="shared" si="20"/>
        <v>12</v>
      </c>
      <c r="R90" s="9">
        <f t="shared" si="21"/>
        <v>4</v>
      </c>
      <c r="S90" s="14" t="str" cm="1">
        <f t="array" ref="S90">INDEX('Results-ConceptMap-1'!$I$15:$N$123,Q90+1,R90)</f>
        <v>* group[=].element[=].target.display = ##34###34#</v>
      </c>
    </row>
    <row r="91" spans="16:19" x14ac:dyDescent="0.75">
      <c r="P91" s="9">
        <v>77</v>
      </c>
      <c r="Q91" s="9">
        <f t="shared" si="20"/>
        <v>12</v>
      </c>
      <c r="R91" s="9">
        <f t="shared" si="21"/>
        <v>5</v>
      </c>
      <c r="S91" s="14" t="str" cm="1">
        <f t="array" ref="S91">INDEX('Results-ConceptMap-1'!$I$15:$N$123,Q91+1,R91)</f>
        <v>* group[=].element[=].target.equivalence = #relatedto</v>
      </c>
    </row>
    <row r="92" spans="16:19" x14ac:dyDescent="0.75">
      <c r="P92" s="9">
        <v>78</v>
      </c>
      <c r="Q92" s="9">
        <f t="shared" si="20"/>
        <v>12</v>
      </c>
      <c r="R92" s="9">
        <f t="shared" si="21"/>
        <v>6</v>
      </c>
      <c r="S92" s="14" t="str" cm="1">
        <f t="array" ref="S92">INDEX('Results-ConceptMap-1'!$I$15:$N$123,Q92+1,R92)</f>
        <v>* group[=].element[=].target.comment = ##34#see details in the Observation group##34#</v>
      </c>
    </row>
    <row r="93" spans="16:19" x14ac:dyDescent="0.75">
      <c r="P93" s="9">
        <v>79</v>
      </c>
      <c r="Q93" s="9">
        <f t="shared" si="20"/>
        <v>13</v>
      </c>
      <c r="R93" s="9">
        <f t="shared" si="21"/>
        <v>1</v>
      </c>
      <c r="S93" s="14" t="str" cm="1">
        <f t="array" ref="S93">INDEX('Results-ConceptMap-1'!$I$15:$N$123,Q93+1,R93)</f>
        <v>* group[=].element[+].code = #Result.observation.reporter</v>
      </c>
    </row>
    <row r="94" spans="16:19" x14ac:dyDescent="0.75">
      <c r="P94" s="9">
        <v>80</v>
      </c>
      <c r="Q94" s="9">
        <f t="shared" si="20"/>
        <v>13</v>
      </c>
      <c r="R94" s="9">
        <f t="shared" si="21"/>
        <v>2</v>
      </c>
      <c r="S94" s="14" t="str" cm="1">
        <f t="array" ref="S94">INDEX('Results-ConceptMap-1'!$I$15:$N$123,Q94+1,R94)</f>
        <v>* group[=].element[=].display = ##34#A.5.2.10 Reporter##34#</v>
      </c>
    </row>
    <row r="95" spans="16:19" ht="29.5" x14ac:dyDescent="0.75">
      <c r="P95" s="9">
        <v>81</v>
      </c>
      <c r="Q95" s="9">
        <f t="shared" si="20"/>
        <v>13</v>
      </c>
      <c r="R95" s="9">
        <f t="shared" si="21"/>
        <v>3</v>
      </c>
      <c r="S95" s="14" t="str" cm="1">
        <f t="array" ref="S95">INDEX('Results-ConceptMap-1'!$I$15:$N$123,Q95+1,R95)</f>
        <v>* group[=].element[=].target.code = #DiagnosticReport.result.resolve()</v>
      </c>
    </row>
    <row r="96" spans="16:19" x14ac:dyDescent="0.75">
      <c r="P96" s="9">
        <v>82</v>
      </c>
      <c r="Q96" s="9">
        <f t="shared" si="20"/>
        <v>13</v>
      </c>
      <c r="R96" s="9">
        <f t="shared" si="21"/>
        <v>4</v>
      </c>
      <c r="S96" s="14" t="str" cm="1">
        <f t="array" ref="S96">INDEX('Results-ConceptMap-1'!$I$15:$N$123,Q96+1,R96)</f>
        <v>* group[=].element[=].target.display = ##34###34#</v>
      </c>
    </row>
    <row r="97" spans="16:19" x14ac:dyDescent="0.75">
      <c r="P97" s="9">
        <v>83</v>
      </c>
      <c r="Q97" s="9">
        <f t="shared" si="20"/>
        <v>13</v>
      </c>
      <c r="R97" s="9">
        <f t="shared" si="21"/>
        <v>5</v>
      </c>
      <c r="S97" s="14" t="str" cm="1">
        <f t="array" ref="S97">INDEX('Results-ConceptMap-1'!$I$15:$N$123,Q97+1,R97)</f>
        <v>* group[=].element[=].target.equivalence = #relatedto</v>
      </c>
    </row>
    <row r="98" spans="16:19" x14ac:dyDescent="0.75">
      <c r="P98" s="9">
        <v>84</v>
      </c>
      <c r="Q98" s="9">
        <f t="shared" si="20"/>
        <v>13</v>
      </c>
      <c r="R98" s="9">
        <f t="shared" si="21"/>
        <v>6</v>
      </c>
      <c r="S98" s="14" t="str" cm="1">
        <f t="array" ref="S98">INDEX('Results-ConceptMap-1'!$I$15:$N$123,Q98+1,R98)</f>
        <v>* group[=].element[=].target.comment = ##34#see details in the Observation group##34#</v>
      </c>
    </row>
    <row r="99" spans="16:19" x14ac:dyDescent="0.75">
      <c r="P99" s="9">
        <v>85</v>
      </c>
      <c r="Q99" s="9">
        <f t="shared" si="20"/>
        <v>14</v>
      </c>
      <c r="R99" s="9">
        <f t="shared" si="21"/>
        <v>1</v>
      </c>
      <c r="S99" s="14" t="str" cm="1">
        <f t="array" ref="S99">INDEX('Results-ConceptMap-1'!$I$15:$N$123,Q99+1,R99)</f>
        <v>* group[=].element[+].code = #Result.observation.result</v>
      </c>
    </row>
    <row r="100" spans="16:19" x14ac:dyDescent="0.75">
      <c r="P100" s="9">
        <v>86</v>
      </c>
      <c r="Q100" s="9">
        <f t="shared" si="20"/>
        <v>14</v>
      </c>
      <c r="R100" s="9">
        <f t="shared" si="21"/>
        <v>2</v>
      </c>
      <c r="S100" s="14" t="str" cm="1">
        <f t="array" ref="S100">INDEX('Results-ConceptMap-1'!$I$15:$N$123,Q100+1,R100)</f>
        <v>* group[=].element[=].display = ##34#A.5.2.11 Observation result##34#</v>
      </c>
    </row>
    <row r="101" spans="16:19" x14ac:dyDescent="0.75">
      <c r="P101" s="9">
        <v>87</v>
      </c>
      <c r="Q101" s="9">
        <f t="shared" si="20"/>
        <v>14</v>
      </c>
      <c r="R101" s="9">
        <f t="shared" si="21"/>
        <v>3</v>
      </c>
      <c r="S101" s="14" t="str" cm="1">
        <f t="array" ref="S101">INDEX('Results-ConceptMap-1'!$I$15:$N$123,Q101+1,R101)</f>
        <v>* group[=].element[=].target.code = #DiagnosticReport.result.resolve()</v>
      </c>
    </row>
    <row r="102" spans="16:19" ht="29.5" x14ac:dyDescent="0.75">
      <c r="P102" s="9">
        <v>88</v>
      </c>
      <c r="Q102" s="9">
        <f t="shared" si="20"/>
        <v>14</v>
      </c>
      <c r="R102" s="9">
        <f t="shared" si="21"/>
        <v>4</v>
      </c>
      <c r="S102" s="14" t="str" cm="1">
        <f t="array" ref="S102">INDEX('Results-ConceptMap-1'!$I$15:$N$123,Q102+1,R102)</f>
        <v>* group[=].element[=].target.display = ##34###34#</v>
      </c>
    </row>
    <row r="103" spans="16:19" x14ac:dyDescent="0.75">
      <c r="P103" s="9">
        <v>89</v>
      </c>
      <c r="Q103" s="9">
        <f t="shared" si="20"/>
        <v>14</v>
      </c>
      <c r="R103" s="9">
        <f t="shared" si="21"/>
        <v>5</v>
      </c>
      <c r="S103" s="14" t="str" cm="1">
        <f t="array" ref="S103">INDEX('Results-ConceptMap-1'!$I$15:$N$123,Q103+1,R103)</f>
        <v>* group[=].element[=].target.equivalence = #relatedto</v>
      </c>
    </row>
    <row r="104" spans="16:19" x14ac:dyDescent="0.75">
      <c r="P104" s="9">
        <v>90</v>
      </c>
      <c r="Q104" s="9">
        <f t="shared" si="20"/>
        <v>14</v>
      </c>
      <c r="R104" s="9">
        <f t="shared" si="21"/>
        <v>6</v>
      </c>
      <c r="S104" s="14" t="str" cm="1">
        <f t="array" ref="S104">INDEX('Results-ConceptMap-1'!$I$15:$N$123,Q104+1,R104)</f>
        <v>* group[=].element[=].target.comment = ##34#see details in the Observation group##34#</v>
      </c>
    </row>
    <row r="105" spans="16:19" x14ac:dyDescent="0.75">
      <c r="P105" s="9">
        <v>91</v>
      </c>
      <c r="Q105" s="9">
        <f t="shared" si="20"/>
        <v>15</v>
      </c>
      <c r="R105" s="9">
        <f t="shared" si="21"/>
        <v>1</v>
      </c>
      <c r="S105" s="14" t="str" cm="1">
        <f t="array" ref="S105">INDEX('Results-ConceptMap-1'!$I$15:$N$123,Q105+1,R105)</f>
        <v>* group[=].element[+].code = #Result.observation.interpretation</v>
      </c>
    </row>
    <row r="106" spans="16:19" x14ac:dyDescent="0.75">
      <c r="P106" s="9">
        <v>92</v>
      </c>
      <c r="Q106" s="9">
        <f t="shared" si="20"/>
        <v>15</v>
      </c>
      <c r="R106" s="9">
        <f t="shared" si="21"/>
        <v>2</v>
      </c>
      <c r="S106" s="14" t="str" cm="1">
        <f t="array" ref="S106">INDEX('Results-ConceptMap-1'!$I$15:$N$123,Q106+1,R106)</f>
        <v>* group[=].element[=].display = ##34#A.5.2.12 Observation interpretation##34#</v>
      </c>
    </row>
    <row r="107" spans="16:19" x14ac:dyDescent="0.75">
      <c r="P107" s="9">
        <v>93</v>
      </c>
      <c r="Q107" s="9">
        <f t="shared" si="20"/>
        <v>15</v>
      </c>
      <c r="R107" s="9">
        <f t="shared" si="21"/>
        <v>3</v>
      </c>
      <c r="S107" s="14" t="str" cm="1">
        <f t="array" ref="S107">INDEX('Results-ConceptMap-1'!$I$15:$N$123,Q107+1,R107)</f>
        <v>* group[=].element[=].target.code = #DiagnosticReport.result.resolve()</v>
      </c>
    </row>
    <row r="108" spans="16:19" ht="29.5" x14ac:dyDescent="0.75">
      <c r="P108" s="9">
        <v>94</v>
      </c>
      <c r="Q108" s="9">
        <f t="shared" si="20"/>
        <v>15</v>
      </c>
      <c r="R108" s="9">
        <f t="shared" si="21"/>
        <v>4</v>
      </c>
      <c r="S108" s="14" t="str" cm="1">
        <f t="array" ref="S108">INDEX('Results-ConceptMap-1'!$I$15:$N$123,Q108+1,R108)</f>
        <v>* group[=].element[=].target.display = ##34###34#</v>
      </c>
    </row>
    <row r="109" spans="16:19" x14ac:dyDescent="0.75">
      <c r="P109" s="9">
        <v>95</v>
      </c>
      <c r="Q109" s="9">
        <f t="shared" si="20"/>
        <v>15</v>
      </c>
      <c r="R109" s="9">
        <f t="shared" si="21"/>
        <v>5</v>
      </c>
      <c r="S109" s="14" t="str" cm="1">
        <f t="array" ref="S109">INDEX('Results-ConceptMap-1'!$I$15:$N$123,Q109+1,R109)</f>
        <v>* group[=].element[=].target.equivalence = #relatedto</v>
      </c>
    </row>
    <row r="110" spans="16:19" x14ac:dyDescent="0.75">
      <c r="P110" s="9">
        <v>96</v>
      </c>
      <c r="Q110" s="9">
        <f t="shared" si="20"/>
        <v>15</v>
      </c>
      <c r="R110" s="9">
        <f t="shared" si="21"/>
        <v>6</v>
      </c>
      <c r="S110" s="14" t="str" cm="1">
        <f t="array" ref="S110">INDEX('Results-ConceptMap-1'!$I$15:$N$123,Q110+1,R110)</f>
        <v>* group[=].element[=].target.comment = ##34#see details in the Observation group##34#</v>
      </c>
    </row>
    <row r="111" spans="16:19" x14ac:dyDescent="0.75">
      <c r="P111" s="9">
        <v>97</v>
      </c>
      <c r="Q111" s="9">
        <f t="shared" si="20"/>
        <v>16</v>
      </c>
      <c r="R111" s="9">
        <f t="shared" si="21"/>
        <v>1</v>
      </c>
      <c r="S111" s="14" t="str" cm="1">
        <f t="array" ref="S111">INDEX('Results-ConceptMap-1'!$I$15:$N$123,Q111+1,R111)</f>
        <v>* group[=].element[+].code = #Result.observation.description</v>
      </c>
    </row>
    <row r="112" spans="16:19" x14ac:dyDescent="0.75">
      <c r="P112" s="9">
        <v>98</v>
      </c>
      <c r="Q112" s="9">
        <f t="shared" si="20"/>
        <v>16</v>
      </c>
      <c r="R112" s="9">
        <f t="shared" si="21"/>
        <v>2</v>
      </c>
      <c r="S112" s="14" t="str" cm="1">
        <f t="array" ref="S112">INDEX('Results-ConceptMap-1'!$I$15:$N$123,Q112+1,R112)</f>
        <v>* group[=].element[=].display = ##34#A.5.2.13 Result description##34#</v>
      </c>
    </row>
    <row r="113" spans="16:19" x14ac:dyDescent="0.75">
      <c r="P113" s="9">
        <v>99</v>
      </c>
      <c r="Q113" s="9">
        <f t="shared" si="20"/>
        <v>16</v>
      </c>
      <c r="R113" s="9">
        <f t="shared" si="21"/>
        <v>3</v>
      </c>
      <c r="S113" s="14" t="str" cm="1">
        <f t="array" ref="S113">INDEX('Results-ConceptMap-1'!$I$15:$N$123,Q113+1,R113)</f>
        <v>* group[=].element[=].target.code = #DiagnosticReport.result.resolve()</v>
      </c>
    </row>
    <row r="114" spans="16:19" ht="29.5" x14ac:dyDescent="0.75">
      <c r="P114" s="9">
        <v>100</v>
      </c>
      <c r="Q114" s="9">
        <f t="shared" si="20"/>
        <v>16</v>
      </c>
      <c r="R114" s="9">
        <f t="shared" si="21"/>
        <v>4</v>
      </c>
      <c r="S114" s="14" t="str" cm="1">
        <f t="array" ref="S114">INDEX('Results-ConceptMap-1'!$I$15:$N$123,Q114+1,R114)</f>
        <v>* group[=].element[=].target.display = ##34###34#</v>
      </c>
    </row>
    <row r="115" spans="16:19" x14ac:dyDescent="0.75">
      <c r="P115" s="9">
        <v>101</v>
      </c>
      <c r="Q115" s="9">
        <f t="shared" si="20"/>
        <v>16</v>
      </c>
      <c r="R115" s="9">
        <f t="shared" si="21"/>
        <v>5</v>
      </c>
      <c r="S115" s="14" t="str" cm="1">
        <f t="array" ref="S115">INDEX('Results-ConceptMap-1'!$I$15:$N$123,Q115+1,R115)</f>
        <v>* group[=].element[=].target.equivalence = #relatedto</v>
      </c>
    </row>
    <row r="116" spans="16:19" x14ac:dyDescent="0.75">
      <c r="P116" s="9">
        <v>102</v>
      </c>
      <c r="Q116" s="9">
        <f t="shared" ref="Q116:Q137" si="22">IF(MOD(P116,$Q$8)=0,P116/$Q$8-1,INT(P116/$Q$8))</f>
        <v>16</v>
      </c>
      <c r="R116" s="9">
        <f t="shared" ref="R116:R137" si="23">IF(MOD(P116,$Q$8)=0,$Q$8,MOD(P116,$Q$8))</f>
        <v>6</v>
      </c>
      <c r="S116" s="14" t="str" cm="1">
        <f t="array" ref="S116">INDEX('Results-ConceptMap-1'!$I$15:$N$123,Q116+1,R116)</f>
        <v>* group[=].element[=].target.comment = ##34#see details in the Observation group##34#</v>
      </c>
    </row>
    <row r="117" spans="16:19" x14ac:dyDescent="0.75">
      <c r="P117" s="9">
        <v>103</v>
      </c>
      <c r="Q117" s="9">
        <f t="shared" si="22"/>
        <v>17</v>
      </c>
      <c r="R117" s="9">
        <f t="shared" si="23"/>
        <v>1</v>
      </c>
      <c r="S117" s="14" t="str" cm="1">
        <f t="array" ref="S117">INDEX('Results-ConceptMap-1'!$I$15:$N$123,Q117+1,R117)</f>
        <v>* group[=].element[+].code = #Result.observation.accreditationStatus</v>
      </c>
    </row>
    <row r="118" spans="16:19" x14ac:dyDescent="0.75">
      <c r="P118" s="9">
        <v>104</v>
      </c>
      <c r="Q118" s="9">
        <f t="shared" si="22"/>
        <v>17</v>
      </c>
      <c r="R118" s="9">
        <f t="shared" si="23"/>
        <v>2</v>
      </c>
      <c r="S118" s="14" t="str" cm="1">
        <f t="array" ref="S118">INDEX('Results-ConceptMap-1'!$I$15:$N$123,Q118+1,R118)</f>
        <v>* group[=].element[=].display = ##34#A.5.2.14 Accreditation status##34#</v>
      </c>
    </row>
    <row r="119" spans="16:19" x14ac:dyDescent="0.75">
      <c r="P119" s="9">
        <v>105</v>
      </c>
      <c r="Q119" s="9">
        <f t="shared" si="22"/>
        <v>17</v>
      </c>
      <c r="R119" s="9">
        <f t="shared" si="23"/>
        <v>3</v>
      </c>
      <c r="S119" s="14" t="str" cm="1">
        <f t="array" ref="S119">INDEX('Results-ConceptMap-1'!$I$15:$N$123,Q119+1,R119)</f>
        <v>* group[=].element[=].target.code = #DiagnosticReport.result.resolve()</v>
      </c>
    </row>
    <row r="120" spans="16:19" x14ac:dyDescent="0.75">
      <c r="P120" s="9">
        <v>106</v>
      </c>
      <c r="Q120" s="9">
        <f t="shared" si="22"/>
        <v>17</v>
      </c>
      <c r="R120" s="9">
        <f t="shared" si="23"/>
        <v>4</v>
      </c>
      <c r="S120" s="14" t="str" cm="1">
        <f t="array" ref="S120">INDEX('Results-ConceptMap-1'!$I$15:$N$123,Q120+1,R120)</f>
        <v>* group[=].element[=].target.display = ##34###34#</v>
      </c>
    </row>
    <row r="121" spans="16:19" x14ac:dyDescent="0.75">
      <c r="P121" s="9">
        <v>107</v>
      </c>
      <c r="Q121" s="9">
        <f t="shared" si="22"/>
        <v>17</v>
      </c>
      <c r="R121" s="9">
        <f t="shared" si="23"/>
        <v>5</v>
      </c>
      <c r="S121" s="14" t="str" cm="1">
        <f t="array" ref="S121">INDEX('Results-ConceptMap-1'!$I$15:$N$123,Q121+1,R121)</f>
        <v>* group[=].element[=].target.equivalence = #relatedto</v>
      </c>
    </row>
    <row r="122" spans="16:19" x14ac:dyDescent="0.75">
      <c r="P122" s="9">
        <v>108</v>
      </c>
      <c r="Q122" s="9">
        <f t="shared" si="22"/>
        <v>17</v>
      </c>
      <c r="R122" s="9">
        <f t="shared" si="23"/>
        <v>6</v>
      </c>
      <c r="S122" s="14" t="str" cm="1">
        <f t="array" ref="S122">INDEX('Results-ConceptMap-1'!$I$15:$N$123,Q122+1,R122)</f>
        <v>* group[=].element[=].target.comment = ##34#see details in the Observation group##34#</v>
      </c>
    </row>
    <row r="123" spans="16:19" x14ac:dyDescent="0.75">
      <c r="P123" s="9">
        <v>109</v>
      </c>
      <c r="Q123" s="9">
        <f t="shared" si="22"/>
        <v>18</v>
      </c>
      <c r="R123" s="9">
        <f t="shared" si="23"/>
        <v>1</v>
      </c>
      <c r="S123" s="14" cm="1">
        <f t="array" ref="S123">INDEX('Results-ConceptMap-1'!$I$15:$N$123,Q123+1,R123)</f>
        <v>0</v>
      </c>
    </row>
    <row r="124" spans="16:19" ht="29.5" x14ac:dyDescent="0.75">
      <c r="P124" s="9">
        <v>110</v>
      </c>
      <c r="Q124" s="9">
        <f t="shared" si="22"/>
        <v>18</v>
      </c>
      <c r="R124" s="9">
        <f t="shared" si="23"/>
        <v>2</v>
      </c>
      <c r="S124" s="14" cm="1">
        <f t="array" ref="S124">INDEX('Results-ConceptMap-1'!$I$15:$N$123,Q124+1,R124)</f>
        <v>0</v>
      </c>
    </row>
    <row r="125" spans="16:19" x14ac:dyDescent="0.75">
      <c r="P125" s="9">
        <v>111</v>
      </c>
      <c r="Q125" s="9">
        <f t="shared" si="22"/>
        <v>18</v>
      </c>
      <c r="R125" s="9">
        <f t="shared" si="23"/>
        <v>3</v>
      </c>
      <c r="S125" s="14" cm="1">
        <f t="array" ref="S125">INDEX('Results-ConceptMap-1'!$I$15:$N$123,Q125+1,R125)</f>
        <v>0</v>
      </c>
    </row>
    <row r="126" spans="16:19" x14ac:dyDescent="0.75">
      <c r="P126" s="9">
        <v>112</v>
      </c>
      <c r="Q126" s="9">
        <f t="shared" si="22"/>
        <v>18</v>
      </c>
      <c r="R126" s="9">
        <f t="shared" si="23"/>
        <v>4</v>
      </c>
      <c r="S126" s="14" cm="1">
        <f t="array" ref="S126">INDEX('Results-ConceptMap-1'!$I$15:$N$123,Q126+1,R126)</f>
        <v>0</v>
      </c>
    </row>
    <row r="127" spans="16:19" x14ac:dyDescent="0.75">
      <c r="P127" s="9">
        <v>113</v>
      </c>
      <c r="Q127" s="9">
        <f t="shared" si="22"/>
        <v>18</v>
      </c>
      <c r="R127" s="9">
        <f t="shared" si="23"/>
        <v>5</v>
      </c>
      <c r="S127" s="14" cm="1">
        <f t="array" ref="S127">INDEX('Results-ConceptMap-1'!$I$15:$N$123,Q127+1,R127)</f>
        <v>0</v>
      </c>
    </row>
    <row r="128" spans="16:19" x14ac:dyDescent="0.75">
      <c r="P128" s="9">
        <v>114</v>
      </c>
      <c r="Q128" s="9">
        <f t="shared" si="22"/>
        <v>18</v>
      </c>
      <c r="R128" s="9">
        <f t="shared" si="23"/>
        <v>6</v>
      </c>
      <c r="S128" s="14" t="str" cm="1">
        <f t="array" ref="S128">INDEX('Results-ConceptMap-1'!$I$15:$N$123,Q128+1,R128)</f>
        <v/>
      </c>
    </row>
    <row r="129" spans="16:19" x14ac:dyDescent="0.75">
      <c r="P129" s="9">
        <v>115</v>
      </c>
      <c r="Q129" s="9">
        <f t="shared" si="22"/>
        <v>19</v>
      </c>
      <c r="R129" s="9">
        <f t="shared" si="23"/>
        <v>1</v>
      </c>
      <c r="S129" s="14" cm="1">
        <f t="array" ref="S129">INDEX('Results-ConceptMap-1'!$I$15:$N$123,Q129+1,R129)</f>
        <v>0</v>
      </c>
    </row>
    <row r="130" spans="16:19" ht="29.5" x14ac:dyDescent="0.75">
      <c r="P130" s="9">
        <v>116</v>
      </c>
      <c r="Q130" s="9">
        <f t="shared" si="22"/>
        <v>19</v>
      </c>
      <c r="R130" s="9">
        <f t="shared" si="23"/>
        <v>2</v>
      </c>
      <c r="S130" s="14" cm="1">
        <f t="array" ref="S130">INDEX('Results-ConceptMap-1'!$I$15:$N$123,Q130+1,R130)</f>
        <v>0</v>
      </c>
    </row>
    <row r="131" spans="16:19" x14ac:dyDescent="0.75">
      <c r="P131" s="9">
        <v>117</v>
      </c>
      <c r="Q131" s="9">
        <f t="shared" si="22"/>
        <v>19</v>
      </c>
      <c r="R131" s="9">
        <f t="shared" si="23"/>
        <v>3</v>
      </c>
      <c r="S131" s="14" cm="1">
        <f t="array" ref="S131">INDEX('Results-ConceptMap-1'!$I$15:$N$123,Q131+1,R131)</f>
        <v>0</v>
      </c>
    </row>
    <row r="132" spans="16:19" x14ac:dyDescent="0.75">
      <c r="P132" s="9">
        <v>118</v>
      </c>
      <c r="Q132" s="9">
        <f t="shared" si="22"/>
        <v>19</v>
      </c>
      <c r="R132" s="9">
        <f t="shared" si="23"/>
        <v>4</v>
      </c>
      <c r="S132" s="14" cm="1">
        <f t="array" ref="S132">INDEX('Results-ConceptMap-1'!$I$15:$N$123,Q132+1,R132)</f>
        <v>0</v>
      </c>
    </row>
    <row r="133" spans="16:19" x14ac:dyDescent="0.75">
      <c r="P133" s="9">
        <v>119</v>
      </c>
      <c r="Q133" s="9">
        <f t="shared" si="22"/>
        <v>19</v>
      </c>
      <c r="R133" s="9">
        <f t="shared" si="23"/>
        <v>5</v>
      </c>
      <c r="S133" s="14" cm="1">
        <f t="array" ref="S133">INDEX('Results-ConceptMap-1'!$I$15:$N$123,Q133+1,R133)</f>
        <v>0</v>
      </c>
    </row>
    <row r="134" spans="16:19" x14ac:dyDescent="0.75">
      <c r="P134" s="9">
        <v>120</v>
      </c>
      <c r="Q134" s="9">
        <f t="shared" si="22"/>
        <v>19</v>
      </c>
      <c r="R134" s="9">
        <f t="shared" si="23"/>
        <v>6</v>
      </c>
      <c r="S134" s="14" t="str" cm="1">
        <f t="array" ref="S134">INDEX('Results-ConceptMap-1'!$I$15:$N$123,Q134+1,R134)</f>
        <v/>
      </c>
    </row>
    <row r="135" spans="16:19" x14ac:dyDescent="0.75">
      <c r="P135" s="9">
        <v>121</v>
      </c>
      <c r="Q135" s="9">
        <f t="shared" si="22"/>
        <v>20</v>
      </c>
      <c r="R135" s="9">
        <f t="shared" si="23"/>
        <v>1</v>
      </c>
      <c r="S135" s="14" cm="1">
        <f t="array" ref="S135">INDEX('Results-ConceptMap-1'!$I$15:$N$123,Q135+1,R135)</f>
        <v>0</v>
      </c>
    </row>
    <row r="136" spans="16:19" x14ac:dyDescent="0.75">
      <c r="P136" s="9">
        <v>122</v>
      </c>
      <c r="Q136" s="9">
        <f t="shared" si="22"/>
        <v>20</v>
      </c>
      <c r="R136" s="9">
        <f t="shared" si="23"/>
        <v>2</v>
      </c>
      <c r="S136" s="14" cm="1">
        <f t="array" ref="S136">INDEX('Results-ConceptMap-1'!$I$15:$N$123,Q136+1,R136)</f>
        <v>0</v>
      </c>
    </row>
    <row r="137" spans="16:19" x14ac:dyDescent="0.75">
      <c r="P137" s="9">
        <v>123</v>
      </c>
      <c r="Q137" s="9">
        <f t="shared" si="22"/>
        <v>20</v>
      </c>
      <c r="R137" s="9">
        <f t="shared" si="23"/>
        <v>3</v>
      </c>
      <c r="S137" s="14" cm="1">
        <f t="array" ref="S137">INDEX('Results-ConceptMap-1'!$I$15:$N$123,Q137+1,R137)</f>
        <v>0</v>
      </c>
    </row>
  </sheetData>
  <mergeCells count="2">
    <mergeCell ref="E6:G6"/>
    <mergeCell ref="E7:G7"/>
  </mergeCells>
  <hyperlinks>
    <hyperlink ref="E3" r:id="rId1" display="http://hl7.eu/fhir/laboratory/StructureDefinition/Author" xr:uid="{4590CD90-66DC-4372-B1F7-EE459EFEC203}"/>
    <hyperlink ref="E6" r:id="rId2" display="http://hl7.eu/fhir/laboratory/StructureDefinition/Author" xr:uid="{AE202DE0-C1B0-428A-A2A5-C7EBD1C2EE13}"/>
    <hyperlink ref="E7" r:id="rId3" xr:uid="{F5F617FA-7567-4B0D-977A-829B1C9A2DE7}"/>
  </hyperlinks>
  <pageMargins left="0.7" right="0.7" top="0.75" bottom="0.75" header="0.3" footer="0.3"/>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06A9EA-1223-4901-B559-6F5A517E309A}">
  <sheetPr codeName="Foglio61">
    <tabColor theme="0" tint="-0.499984740745262"/>
  </sheetPr>
  <dimension ref="A2:S158"/>
  <sheetViews>
    <sheetView topLeftCell="A25" workbookViewId="0">
      <selection activeCell="D22" sqref="D22"/>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73" t="s">
        <v>34</v>
      </c>
      <c r="C3" s="87" t="str">
        <f>'Results-ConceptMap-1'!C3</f>
        <v>Result2Fhir</v>
      </c>
      <c r="D3" s="73" t="s">
        <v>688</v>
      </c>
      <c r="E3" s="88"/>
    </row>
    <row r="4" spans="1:19" ht="15.5" thickBot="1" x14ac:dyDescent="0.9">
      <c r="B4" s="73" t="s">
        <v>19</v>
      </c>
      <c r="C4" s="87" t="str">
        <f>'Results-ConceptMap-1'!C4</f>
        <v>ConceptMap-eu-result2FHIR</v>
      </c>
      <c r="D4" s="73" t="s">
        <v>689</v>
      </c>
      <c r="E4" s="89"/>
    </row>
    <row r="5" spans="1:19" ht="15.5" thickBot="1" x14ac:dyDescent="0.9">
      <c r="B5" s="73" t="s">
        <v>13</v>
      </c>
      <c r="C5" s="87" t="str">
        <f>'Results-ConceptMap-1'!C5</f>
        <v>eHN Result to this guide Map</v>
      </c>
      <c r="D5" s="73"/>
      <c r="E5" s="10"/>
    </row>
    <row r="6" spans="1:19" ht="15.5" thickBot="1" x14ac:dyDescent="0.9">
      <c r="B6" s="73" t="s">
        <v>35</v>
      </c>
      <c r="C6" s="87">
        <f>'Results-ConceptMap-1'!C6</f>
        <v>0</v>
      </c>
      <c r="D6" s="73" t="s">
        <v>685</v>
      </c>
      <c r="E6" s="112" t="str">
        <f>'Results-ConceptMap-1'!E6</f>
        <v>http://hl7.eu/fhir/laboratory/StructureDefinition/Result</v>
      </c>
      <c r="F6" s="111"/>
      <c r="G6" s="111"/>
    </row>
    <row r="7" spans="1:19" ht="15.5" thickBot="1" x14ac:dyDescent="0.9">
      <c r="B7" s="73" t="s">
        <v>18</v>
      </c>
      <c r="C7" s="87">
        <f>'Results-ConceptMap-1'!C7</f>
        <v>0</v>
      </c>
      <c r="D7" s="73" t="s">
        <v>686</v>
      </c>
      <c r="E7" s="112" t="s">
        <v>693</v>
      </c>
      <c r="F7" s="111"/>
      <c r="G7" s="111"/>
    </row>
    <row r="8" spans="1:19" ht="45" thickBot="1" x14ac:dyDescent="0.9">
      <c r="B8" s="73" t="s">
        <v>679</v>
      </c>
      <c r="C8" s="87" t="str">
        <f>'Results-ConceptMap-1'!C8</f>
        <v>eHN Result Model to this guide Map</v>
      </c>
      <c r="D8" s="73"/>
      <c r="E8" s="10"/>
      <c r="I8" s="14" t="s">
        <v>647</v>
      </c>
      <c r="J8" s="14" t="s">
        <v>648</v>
      </c>
      <c r="K8" s="14" t="s">
        <v>649</v>
      </c>
      <c r="L8" s="14" t="s">
        <v>650</v>
      </c>
      <c r="M8" s="9" t="s">
        <v>651</v>
      </c>
      <c r="P8" s="69" t="s">
        <v>652</v>
      </c>
      <c r="Q8" s="69">
        <v>6</v>
      </c>
    </row>
    <row r="9" spans="1:19" ht="30.25" thickBot="1" x14ac:dyDescent="0.9">
      <c r="B9" s="73" t="s">
        <v>680</v>
      </c>
      <c r="C9" s="87" t="str">
        <f>'Results-ConceptMap-1'!C9</f>
        <v>It shows how the Result data set defined by the EU eHN guidelines is mapped into this guide</v>
      </c>
      <c r="D9" s="73"/>
      <c r="E9"/>
      <c r="I9" s="14"/>
      <c r="J9" s="9"/>
      <c r="K9" s="9"/>
      <c r="L9" s="9"/>
      <c r="M9" s="9"/>
    </row>
    <row r="10" spans="1:19" x14ac:dyDescent="0.75">
      <c r="B10" s="73"/>
      <c r="C10" s="87"/>
      <c r="D10" s="73"/>
      <c r="E10"/>
      <c r="I10" s="14"/>
      <c r="J10" s="9"/>
      <c r="K10" s="9"/>
      <c r="L10" s="9"/>
      <c r="M10" s="9"/>
    </row>
    <row r="11" spans="1:19" x14ac:dyDescent="0.75">
      <c r="E11" s="10"/>
      <c r="I11" s="25" t="s">
        <v>653</v>
      </c>
      <c r="J11" s="70" t="s">
        <v>654</v>
      </c>
      <c r="K11" s="25" t="s">
        <v>655</v>
      </c>
      <c r="L11" s="70" t="s">
        <v>656</v>
      </c>
      <c r="M11" s="71" t="s">
        <v>657</v>
      </c>
      <c r="N11" s="74" t="s">
        <v>644</v>
      </c>
    </row>
    <row r="12" spans="1:19" x14ac:dyDescent="0.75">
      <c r="E12" s="72"/>
      <c r="I12" s="14"/>
      <c r="J12" s="9"/>
      <c r="K12" s="9"/>
      <c r="L12" s="9"/>
      <c r="M12" s="9"/>
    </row>
    <row r="13" spans="1:19" x14ac:dyDescent="0.75">
      <c r="D13" s="14"/>
      <c r="E13" s="9"/>
      <c r="F13" s="71" t="s">
        <v>657</v>
      </c>
      <c r="G13" s="74" t="s">
        <v>644</v>
      </c>
      <c r="H13" s="74"/>
      <c r="I13" s="14"/>
      <c r="J13" s="9"/>
      <c r="K13" s="71"/>
      <c r="L13" s="71"/>
      <c r="M13" s="71"/>
      <c r="N13" s="74"/>
    </row>
    <row r="14" spans="1:19" x14ac:dyDescent="0.75">
      <c r="A14" s="23"/>
      <c r="B14" s="8" t="str">
        <f>'A.5 Results'!B5</f>
        <v>Result</v>
      </c>
      <c r="C14" s="9"/>
      <c r="D14" s="4" t="s">
        <v>285</v>
      </c>
      <c r="E14" s="8"/>
      <c r="F14" s="75"/>
      <c r="G14" s="75"/>
      <c r="I14" s="14"/>
      <c r="J14" s="9"/>
      <c r="K14" s="9"/>
      <c r="L14" s="9"/>
      <c r="M14" s="71"/>
      <c r="N14" s="74"/>
    </row>
    <row r="15" spans="1:19" ht="73.75" x14ac:dyDescent="0.75">
      <c r="A15" s="23"/>
      <c r="B15" s="9" t="str">
        <f>'A.5 Results'!B8</f>
        <v>narrative</v>
      </c>
      <c r="C15" s="9" t="str">
        <f>'A.5 Results'!C8</f>
        <v>A.5.1 Laboratory report narrative</v>
      </c>
      <c r="D15" s="14"/>
      <c r="E15" s="9"/>
      <c r="F15" s="75" t="s">
        <v>659</v>
      </c>
      <c r="G15" s="75"/>
      <c r="I15" s="14" t="str">
        <f>"* group[=].element[+].code = #"&amp;$B$14&amp;"."&amp;B15</f>
        <v>* group[=].element[+].code = #Result.narrative</v>
      </c>
      <c r="J15" s="14" t="str">
        <f t="shared" ref="J15" si="0">"* group[=].element[=].display = ##34#"&amp;C15&amp;"##34#"</f>
        <v>* group[=].element[=].display = ##34#A.5.1 Laboratory report narrative##34#</v>
      </c>
      <c r="K15" s="14" t="str">
        <f>IF(F15="unmatched","//-- unmatched",IF(D15="","* group[=].element[=].target.code = #"&amp;$D$14,"* group[=].element[=].target.code = #"&amp;$D$14&amp;"."&amp;D15))</f>
        <v>* group[=].element[=].target.code = #Composition</v>
      </c>
      <c r="L15" s="14" t="str">
        <f t="shared" ref="L15" si="1">IF(F15="unmatched","//-- unmatched","* group[=].element[=].target.display = ##34#"&amp;E15&amp;"##34#")</f>
        <v>* group[=].element[=].target.display = ##34###34#</v>
      </c>
      <c r="M15" s="14" t="str">
        <f t="shared" ref="M15" si="2">"* group[=].element[=].target.equivalence = #"&amp;F15</f>
        <v>* group[=].element[=].target.equivalence = #relatedto</v>
      </c>
      <c r="N15" s="14" t="str">
        <f t="shared" ref="N15" si="3">IF(G15&lt;&gt;"",CONCATENATE("* group[=].element[=].target.comment = ","##34#",G15,"##34#"),"")</f>
        <v/>
      </c>
      <c r="P15">
        <v>1</v>
      </c>
      <c r="Q15" s="9">
        <f>IF(MOD(P15,$Q$8)=0,P15/$Q$8-1,INT(P15/$Q$8))</f>
        <v>0</v>
      </c>
      <c r="R15" s="9">
        <f t="shared" ref="R15" si="4">IF(MOD(P15,$Q$8)=0,$Q$8,MOD(P15,$Q$8))</f>
        <v>1</v>
      </c>
      <c r="S15" s="14" t="str" cm="1">
        <f t="array" ref="S15">INDEX('Results-ConceptMap-2'!$I$15:$N$125,Q15+1,R15)</f>
        <v>* group[=].element[+].code = #Result.narrative</v>
      </c>
    </row>
    <row r="16" spans="1:19" ht="44.25" customHeight="1" x14ac:dyDescent="0.75">
      <c r="A16" s="23"/>
      <c r="B16" s="9" t="str">
        <f>'A.5 Results'!B9</f>
        <v>narrative.report</v>
      </c>
      <c r="C16" s="9" t="str">
        <f>'A.5 Results'!C9</f>
        <v>A.5.1.1 Narrative report</v>
      </c>
      <c r="D16" s="14" t="s">
        <v>842</v>
      </c>
      <c r="E16" s="9"/>
      <c r="F16" s="75" t="s">
        <v>659</v>
      </c>
      <c r="G16" s="75"/>
      <c r="H16" s="76"/>
      <c r="I16" s="14" t="str">
        <f>"* group[=].element[+].code = #"&amp;$B$14&amp;"."&amp;B16</f>
        <v>* group[=].element[+].code = #Result.narrative.report</v>
      </c>
      <c r="J16" s="14" t="str">
        <f t="shared" ref="J16:J17" si="5">"* group[=].element[=].display = ##34#"&amp;C16&amp;"##34#"</f>
        <v>* group[=].element[=].display = ##34#A.5.1.1 Narrative report##34#</v>
      </c>
      <c r="K16" s="14" t="str">
        <f>IF(F16="unmatched","//-- unmatched",IF(D16="","* group[=].element[=].target.code = #"&amp;$D$14,"* group[=].element[=].target.code = #"&amp;$D$14&amp;"."&amp;D16))</f>
        <v>* group[=].element[=].target.code = #Composition.text</v>
      </c>
      <c r="L16" s="14" t="str">
        <f t="shared" ref="L16:L17" si="6">IF(F16="unmatched","//-- unmatched","* group[=].element[=].target.display = ##34#"&amp;E16&amp;"##34#")</f>
        <v>* group[=].element[=].target.display = ##34###34#</v>
      </c>
      <c r="M16" s="14" t="str">
        <f t="shared" ref="M16:M17" si="7">"* group[=].element[=].target.equivalence = #"&amp;F16</f>
        <v>* group[=].element[=].target.equivalence = #relatedto</v>
      </c>
      <c r="N16" s="14" t="str">
        <f t="shared" ref="N16:N17" si="8">IF(G16&lt;&gt;"",CONCATENATE("* group[=].element[=].target.comment = ","##34#",G16,"##34#"),"")</f>
        <v/>
      </c>
      <c r="P16" s="9">
        <v>2</v>
      </c>
      <c r="Q16" s="9">
        <f t="shared" ref="Q16:Q79" si="9">IF(MOD(P16,$Q$8)=0,P16/$Q$8-1,INT(P16/$Q$8))</f>
        <v>0</v>
      </c>
      <c r="R16" s="9">
        <f t="shared" ref="R16:R79" si="10">IF(MOD(P16,$Q$8)=0,$Q$8,MOD(P16,$Q$8))</f>
        <v>2</v>
      </c>
      <c r="S16" s="14" t="str" cm="1">
        <f t="array" ref="S16">INDEX('Results-ConceptMap-2'!$I$15:$N$125,Q16+1,R16)</f>
        <v>* group[=].element[=].display = ##34#A.5.1 Laboratory report narrative##34#</v>
      </c>
    </row>
    <row r="17" spans="1:19" ht="44.25" customHeight="1" x14ac:dyDescent="0.75">
      <c r="A17" s="23"/>
      <c r="B17" s="9" t="str">
        <f>'A.5 Results'!B9</f>
        <v>narrative.report</v>
      </c>
      <c r="C17" s="9" t="str">
        <f>'A.5 Results'!C9</f>
        <v>A.5.1.1 Narrative report</v>
      </c>
      <c r="D17" s="14" t="s">
        <v>848</v>
      </c>
      <c r="E17" s="9"/>
      <c r="F17" s="75" t="s">
        <v>659</v>
      </c>
      <c r="G17" s="75" t="s">
        <v>845</v>
      </c>
      <c r="H17" s="76"/>
      <c r="I17" s="14" t="str">
        <f t="shared" ref="I17:I29" si="11">"* group[=].element[+].code = #"&amp;$B$14&amp;"."&amp;B17</f>
        <v>* group[=].element[+].code = #Result.narrative.report</v>
      </c>
      <c r="J17" s="14" t="str">
        <f t="shared" si="5"/>
        <v>* group[=].element[=].display = ##34#A.5.1.1 Narrative report##34#</v>
      </c>
      <c r="K17" s="14" t="str">
        <f t="shared" ref="K17:K29" si="12">IF(F17="unmatched","//-- unmatched",IF(D17="","* group[=].element[=].target.code = #"&amp;$D$14,"* group[=].element[=].target.code = #"&amp;$D$14&amp;"."&amp;D17))</f>
        <v>* group[=].element[=].target.code = #Composition.section:lab-no-subsections.text</v>
      </c>
      <c r="L17" s="14" t="str">
        <f t="shared" si="6"/>
        <v>* group[=].element[=].target.display = ##34###34#</v>
      </c>
      <c r="M17" s="14" t="str">
        <f t="shared" si="7"/>
        <v>* group[=].element[=].target.equivalence = #relatedto</v>
      </c>
      <c r="N17" s="14" t="str">
        <f t="shared" si="8"/>
        <v>* group[=].element[=].target.comment = ##34#if single section##34#</v>
      </c>
      <c r="P17">
        <v>3</v>
      </c>
      <c r="Q17" s="9">
        <f t="shared" si="9"/>
        <v>0</v>
      </c>
      <c r="R17" s="9">
        <f t="shared" si="10"/>
        <v>3</v>
      </c>
      <c r="S17" s="14" t="str" cm="1">
        <f t="array" ref="S17">INDEX('Results-ConceptMap-2'!$I$15:$N$125,Q17+1,R17)</f>
        <v>* group[=].element[=].target.code = #Composition</v>
      </c>
    </row>
    <row r="18" spans="1:19" ht="44.25" customHeight="1" x14ac:dyDescent="0.75">
      <c r="A18" s="23"/>
      <c r="B18" s="9" t="str">
        <f>'A.5 Results'!B9</f>
        <v>narrative.report</v>
      </c>
      <c r="C18" s="9" t="str">
        <f>'A.5 Results'!C9</f>
        <v>A.5.1.1 Narrative report</v>
      </c>
      <c r="D18" s="14" t="s">
        <v>849</v>
      </c>
      <c r="E18" s="9"/>
      <c r="F18" s="75" t="s">
        <v>659</v>
      </c>
      <c r="G18" s="75" t="s">
        <v>846</v>
      </c>
      <c r="H18" s="76"/>
      <c r="I18" s="14" t="str">
        <f t="shared" si="11"/>
        <v>* group[=].element[+].code = #Result.narrative.report</v>
      </c>
      <c r="J18" s="14" t="str">
        <f t="shared" ref="J18:J30" si="13">"* group[=].element[=].display = ##34#"&amp;C18&amp;"##34#"</f>
        <v>* group[=].element[=].display = ##34#A.5.1.1 Narrative report##34#</v>
      </c>
      <c r="K18" s="14" t="str">
        <f t="shared" si="12"/>
        <v>* group[=].element[=].target.code = #Composition.section:lab-subsections.section.text</v>
      </c>
      <c r="L18" s="14" t="str">
        <f t="shared" ref="L18:L30" si="14">IF(F18="unmatched","//-- unmatched","* group[=].element[=].target.display = ##34#"&amp;E18&amp;"##34#")</f>
        <v>* group[=].element[=].target.display = ##34###34#</v>
      </c>
      <c r="M18" s="14" t="str">
        <f t="shared" ref="M18:M30" si="15">"* group[=].element[=].target.equivalence = #"&amp;F18</f>
        <v>* group[=].element[=].target.equivalence = #relatedto</v>
      </c>
      <c r="N18" s="14" t="str">
        <f t="shared" ref="N18:N30" si="16">IF(G18&lt;&gt;"",CONCATENATE("* group[=].element[=].target.comment = ","##34#",G18,"##34#"),"")</f>
        <v>* group[=].element[=].target.comment = ##34#if multiple sections##34#</v>
      </c>
      <c r="P18" s="9">
        <v>4</v>
      </c>
      <c r="Q18" s="9">
        <f t="shared" si="9"/>
        <v>0</v>
      </c>
      <c r="R18" s="9">
        <f t="shared" si="10"/>
        <v>4</v>
      </c>
      <c r="S18" s="14" t="str" cm="1">
        <f t="array" ref="S18">INDEX('Results-ConceptMap-2'!$I$15:$N$125,Q18+1,R18)</f>
        <v>* group[=].element[=].target.display = ##34###34#</v>
      </c>
    </row>
    <row r="19" spans="1:19" ht="59" x14ac:dyDescent="0.75">
      <c r="A19" s="23"/>
      <c r="B19" s="9" t="str">
        <f>'A.5 Results'!B10</f>
        <v>narrative.notes</v>
      </c>
      <c r="C19" s="9" t="str">
        <f>'A.5 Results'!C10</f>
        <v>A.5.1.2 Comments, interpretation and recommendations</v>
      </c>
      <c r="D19" s="14" t="s">
        <v>848</v>
      </c>
      <c r="E19" s="9"/>
      <c r="F19" s="75" t="s">
        <v>659</v>
      </c>
      <c r="G19" s="75" t="s">
        <v>845</v>
      </c>
      <c r="H19" s="76"/>
      <c r="I19" s="14" t="str">
        <f t="shared" si="11"/>
        <v>* group[=].element[+].code = #Result.narrative.notes</v>
      </c>
      <c r="J19" s="14" t="str">
        <f t="shared" si="13"/>
        <v>* group[=].element[=].display = ##34#A.5.1.2 Comments, interpretation and recommendations##34#</v>
      </c>
      <c r="K19" s="14" t="str">
        <f t="shared" si="12"/>
        <v>* group[=].element[=].target.code = #Composition.section:lab-no-subsections.text</v>
      </c>
      <c r="L19" s="14" t="str">
        <f t="shared" si="14"/>
        <v>* group[=].element[=].target.display = ##34###34#</v>
      </c>
      <c r="M19" s="14" t="str">
        <f t="shared" si="15"/>
        <v>* group[=].element[=].target.equivalence = #relatedto</v>
      </c>
      <c r="N19" s="14" t="str">
        <f t="shared" si="16"/>
        <v>* group[=].element[=].target.comment = ##34#if single section##34#</v>
      </c>
      <c r="P19">
        <v>5</v>
      </c>
      <c r="Q19" s="9">
        <f t="shared" si="9"/>
        <v>0</v>
      </c>
      <c r="R19" s="9">
        <f t="shared" si="10"/>
        <v>5</v>
      </c>
      <c r="S19" s="14" t="str" cm="1">
        <f t="array" ref="S19">INDEX('Results-ConceptMap-2'!$I$15:$N$125,Q19+1,R19)</f>
        <v>* group[=].element[=].target.equivalence = #relatedto</v>
      </c>
    </row>
    <row r="20" spans="1:19" ht="59" x14ac:dyDescent="0.75">
      <c r="A20" s="23"/>
      <c r="B20" s="9" t="str">
        <f>'A.5 Results'!B10</f>
        <v>narrative.notes</v>
      </c>
      <c r="C20" s="9" t="str">
        <f>'A.5 Results'!C10</f>
        <v>A.5.1.2 Comments, interpretation and recommendations</v>
      </c>
      <c r="D20" s="14" t="s">
        <v>849</v>
      </c>
      <c r="E20" s="9"/>
      <c r="F20" s="75" t="s">
        <v>659</v>
      </c>
      <c r="G20" s="75" t="s">
        <v>846</v>
      </c>
      <c r="H20" s="76"/>
      <c r="I20" s="14" t="str">
        <f t="shared" si="11"/>
        <v>* group[=].element[+].code = #Result.narrative.notes</v>
      </c>
      <c r="J20" s="14" t="str">
        <f t="shared" si="13"/>
        <v>* group[=].element[=].display = ##34#A.5.1.2 Comments, interpretation and recommendations##34#</v>
      </c>
      <c r="K20" s="14" t="str">
        <f t="shared" si="12"/>
        <v>* group[=].element[=].target.code = #Composition.section:lab-subsections.section.text</v>
      </c>
      <c r="L20" s="14" t="str">
        <f t="shared" si="14"/>
        <v>* group[=].element[=].target.display = ##34###34#</v>
      </c>
      <c r="M20" s="14" t="str">
        <f t="shared" si="15"/>
        <v>* group[=].element[=].target.equivalence = #relatedto</v>
      </c>
      <c r="N20" s="14" t="str">
        <f t="shared" si="16"/>
        <v>* group[=].element[=].target.comment = ##34#if multiple sections##34#</v>
      </c>
      <c r="P20" s="9">
        <v>6</v>
      </c>
      <c r="Q20" s="9">
        <f t="shared" si="9"/>
        <v>0</v>
      </c>
      <c r="R20" s="9">
        <f t="shared" si="10"/>
        <v>6</v>
      </c>
      <c r="S20" s="14" t="str" cm="1">
        <f t="array" ref="S20">INDEX('Results-ConceptMap-2'!$I$15:$N$125,Q20+1,R20)</f>
        <v/>
      </c>
    </row>
    <row r="21" spans="1:19" ht="59" x14ac:dyDescent="0.75">
      <c r="A21" s="23"/>
      <c r="B21" s="9" t="str">
        <f>'A.5 Results'!B11</f>
        <v>observation</v>
      </c>
      <c r="C21" s="9" t="str">
        <f>'A.5 Results'!C11</f>
        <v>A.5.2 Observation details</v>
      </c>
      <c r="D21" s="14" t="s">
        <v>813</v>
      </c>
      <c r="E21" s="9"/>
      <c r="F21" s="75" t="s">
        <v>659</v>
      </c>
      <c r="G21" s="75" t="s">
        <v>845</v>
      </c>
      <c r="H21" s="76"/>
      <c r="I21" s="14" t="str">
        <f t="shared" si="11"/>
        <v>* group[=].element[+].code = #Result.observation</v>
      </c>
      <c r="J21" s="14" t="str">
        <f t="shared" si="13"/>
        <v>* group[=].element[=].display = ##34#A.5.2 Observation details##34#</v>
      </c>
      <c r="K21" s="14" t="str">
        <f t="shared" si="12"/>
        <v>* group[=].element[=].target.code = #Composition.section:lab-no-subsections.entry.resolve()</v>
      </c>
      <c r="L21" s="14" t="str">
        <f t="shared" si="14"/>
        <v>* group[=].element[=].target.display = ##34###34#</v>
      </c>
      <c r="M21" s="14" t="str">
        <f t="shared" si="15"/>
        <v>* group[=].element[=].target.equivalence = #relatedto</v>
      </c>
      <c r="N21" s="14" t="str">
        <f t="shared" si="16"/>
        <v>* group[=].element[=].target.comment = ##34#if single section##34#</v>
      </c>
      <c r="P21">
        <v>7</v>
      </c>
      <c r="Q21" s="9">
        <f t="shared" si="9"/>
        <v>1</v>
      </c>
      <c r="R21" s="9">
        <f t="shared" si="10"/>
        <v>1</v>
      </c>
      <c r="S21" s="14" t="str" cm="1">
        <f t="array" ref="S21">INDEX('Results-ConceptMap-2'!$I$15:$N$125,Q21+1,R21)</f>
        <v>* group[=].element[+].code = #Result.narrative.report</v>
      </c>
    </row>
    <row r="22" spans="1:19" ht="73.75" x14ac:dyDescent="0.75">
      <c r="A22" s="23"/>
      <c r="B22" s="9" t="str">
        <f>'A.5 Results'!B11</f>
        <v>observation</v>
      </c>
      <c r="C22" s="9" t="str">
        <f>'A.5 Results'!C11</f>
        <v>A.5.2 Observation details</v>
      </c>
      <c r="D22" s="14" t="s">
        <v>815</v>
      </c>
      <c r="E22" s="9"/>
      <c r="F22" s="75" t="s">
        <v>659</v>
      </c>
      <c r="G22" s="75" t="s">
        <v>846</v>
      </c>
      <c r="H22" s="76"/>
      <c r="I22" s="14" t="str">
        <f t="shared" si="11"/>
        <v>* group[=].element[+].code = #Result.observation</v>
      </c>
      <c r="J22" s="14" t="str">
        <f t="shared" si="13"/>
        <v>* group[=].element[=].display = ##34#A.5.2 Observation details##34#</v>
      </c>
      <c r="K22" s="14" t="str">
        <f t="shared" si="12"/>
        <v>* group[=].element[=].target.code = #Composition.section:lab-subsections.section.entry.resolve()</v>
      </c>
      <c r="L22" s="14" t="str">
        <f t="shared" si="14"/>
        <v>* group[=].element[=].target.display = ##34###34#</v>
      </c>
      <c r="M22" s="14" t="str">
        <f t="shared" si="15"/>
        <v>* group[=].element[=].target.equivalence = #relatedto</v>
      </c>
      <c r="N22" s="14" t="str">
        <f t="shared" si="16"/>
        <v>* group[=].element[=].target.comment = ##34#if multiple sections##34#</v>
      </c>
      <c r="P22" s="9">
        <v>8</v>
      </c>
      <c r="Q22" s="9">
        <f t="shared" si="9"/>
        <v>1</v>
      </c>
      <c r="R22" s="9">
        <f t="shared" si="10"/>
        <v>2</v>
      </c>
      <c r="S22" s="14" t="str" cm="1">
        <f t="array" ref="S22">INDEX('Results-ConceptMap-2'!$I$15:$N$125,Q22+1,R22)</f>
        <v>* group[=].element[=].display = ##34#A.5.1.1 Narrative report##34#</v>
      </c>
    </row>
    <row r="23" spans="1:19" ht="59" x14ac:dyDescent="0.75">
      <c r="A23" s="23"/>
      <c r="B23" s="9" t="str">
        <f>'A.5 Results'!B12</f>
        <v>observation.dateTime</v>
      </c>
      <c r="C23" s="9" t="str">
        <f>'A.5 Results'!C12</f>
        <v>A.5.2.1 Observation date</v>
      </c>
      <c r="D23" s="14" t="s">
        <v>813</v>
      </c>
      <c r="E23" s="9"/>
      <c r="F23" s="75" t="s">
        <v>659</v>
      </c>
      <c r="G23" s="75" t="s">
        <v>844</v>
      </c>
      <c r="H23" s="76"/>
      <c r="I23" s="14" t="str">
        <f t="shared" si="11"/>
        <v>* group[=].element[+].code = #Result.observation.dateTime</v>
      </c>
      <c r="J23" s="14" t="str">
        <f t="shared" si="13"/>
        <v>* group[=].element[=].display = ##34#A.5.2.1 Observation date##34#</v>
      </c>
      <c r="K23" s="14" t="str">
        <f t="shared" si="12"/>
        <v>* group[=].element[=].target.code = #Composition.section:lab-no-subsections.entry.resolve()</v>
      </c>
      <c r="L23" s="14" t="str">
        <f t="shared" si="14"/>
        <v>* group[=].element[=].target.display = ##34###34#</v>
      </c>
      <c r="M23" s="14" t="str">
        <f t="shared" si="15"/>
        <v>* group[=].element[=].target.equivalence = #relatedto</v>
      </c>
      <c r="N23" s="14" t="str">
        <f t="shared" si="16"/>
        <v>* group[=].element[=].target.comment = ##34#see details in the Observation group##34#</v>
      </c>
      <c r="P23">
        <v>9</v>
      </c>
      <c r="Q23" s="9">
        <f t="shared" si="9"/>
        <v>1</v>
      </c>
      <c r="R23" s="9">
        <f t="shared" si="10"/>
        <v>3</v>
      </c>
      <c r="S23" s="14" t="str" cm="1">
        <f t="array" ref="S23">INDEX('Results-ConceptMap-2'!$I$15:$N$125,Q23+1,R23)</f>
        <v>* group[=].element[=].target.code = #Composition.text</v>
      </c>
    </row>
    <row r="24" spans="1:19" ht="59" x14ac:dyDescent="0.75">
      <c r="A24" s="23"/>
      <c r="B24" s="9" t="str">
        <f>'A.5 Results'!B13</f>
        <v>observation.code</v>
      </c>
      <c r="C24" s="9" t="str">
        <f>'A.5 Results'!C13</f>
        <v>A.5.2.3 Observation code</v>
      </c>
      <c r="D24" s="14" t="s">
        <v>813</v>
      </c>
      <c r="E24" s="9"/>
      <c r="F24" s="75" t="s">
        <v>659</v>
      </c>
      <c r="G24" s="75" t="s">
        <v>844</v>
      </c>
      <c r="H24" s="76"/>
      <c r="I24" s="14" t="str">
        <f t="shared" si="11"/>
        <v>* group[=].element[+].code = #Result.observation.code</v>
      </c>
      <c r="J24" s="14" t="str">
        <f t="shared" si="13"/>
        <v>* group[=].element[=].display = ##34#A.5.2.3 Observation code##34#</v>
      </c>
      <c r="K24" s="14" t="str">
        <f t="shared" si="12"/>
        <v>* group[=].element[=].target.code = #Composition.section:lab-no-subsections.entry.resolve()</v>
      </c>
      <c r="L24" s="14" t="str">
        <f t="shared" si="14"/>
        <v>* group[=].element[=].target.display = ##34###34#</v>
      </c>
      <c r="M24" s="14" t="str">
        <f t="shared" si="15"/>
        <v>* group[=].element[=].target.equivalence = #relatedto</v>
      </c>
      <c r="N24" s="14" t="str">
        <f t="shared" si="16"/>
        <v>* group[=].element[=].target.comment = ##34#see details in the Observation group##34#</v>
      </c>
      <c r="P24" s="9">
        <v>10</v>
      </c>
      <c r="Q24" s="9">
        <f t="shared" si="9"/>
        <v>1</v>
      </c>
      <c r="R24" s="9">
        <f t="shared" si="10"/>
        <v>4</v>
      </c>
      <c r="S24" s="14" t="str" cm="1">
        <f t="array" ref="S24">INDEX('Results-ConceptMap-2'!$I$15:$N$125,Q24+1,R24)</f>
        <v>* group[=].element[=].target.display = ##34###34#</v>
      </c>
    </row>
    <row r="25" spans="1:19" ht="59" x14ac:dyDescent="0.75">
      <c r="A25" s="23"/>
      <c r="B25" s="9" t="str">
        <f>'A.5 Results'!B14</f>
        <v>observation.code.name</v>
      </c>
      <c r="C25" s="9" t="str">
        <f>'A.5 Results'!C14</f>
        <v>A.5.2.3.1 Observation name</v>
      </c>
      <c r="D25" s="14" t="s">
        <v>813</v>
      </c>
      <c r="E25" s="9"/>
      <c r="F25" s="75" t="s">
        <v>659</v>
      </c>
      <c r="G25" s="75" t="s">
        <v>844</v>
      </c>
      <c r="H25" s="76"/>
      <c r="I25" s="14" t="str">
        <f t="shared" si="11"/>
        <v>* group[=].element[+].code = #Result.observation.code.name</v>
      </c>
      <c r="J25" s="14" t="str">
        <f t="shared" si="13"/>
        <v>* group[=].element[=].display = ##34#A.5.2.3.1 Observation name##34#</v>
      </c>
      <c r="K25" s="14" t="str">
        <f t="shared" si="12"/>
        <v>* group[=].element[=].target.code = #Composition.section:lab-no-subsections.entry.resolve()</v>
      </c>
      <c r="L25" s="14" t="str">
        <f t="shared" si="14"/>
        <v>* group[=].element[=].target.display = ##34###34#</v>
      </c>
      <c r="M25" s="14" t="str">
        <f t="shared" si="15"/>
        <v>* group[=].element[=].target.equivalence = #relatedto</v>
      </c>
      <c r="N25" s="14" t="str">
        <f t="shared" si="16"/>
        <v>* group[=].element[=].target.comment = ##34#see details in the Observation group##34#</v>
      </c>
      <c r="P25">
        <v>11</v>
      </c>
      <c r="Q25" s="9">
        <f t="shared" si="9"/>
        <v>1</v>
      </c>
      <c r="R25" s="9">
        <f t="shared" si="10"/>
        <v>5</v>
      </c>
      <c r="S25" s="14" t="str" cm="1">
        <f t="array" ref="S25">INDEX('Results-ConceptMap-2'!$I$15:$N$125,Q25+1,R25)</f>
        <v>* group[=].element[=].target.equivalence = #relatedto</v>
      </c>
    </row>
    <row r="26" spans="1:19" ht="59" x14ac:dyDescent="0.75">
      <c r="A26" s="23"/>
      <c r="B26" s="9" t="str">
        <f>'A.5 Results'!B15</f>
        <v>observation.code.originalName</v>
      </c>
      <c r="C26" s="9" t="str">
        <f>'A.5 Results'!C15</f>
        <v>A.5.2.3.2 Observation original name</v>
      </c>
      <c r="D26" s="14" t="s">
        <v>813</v>
      </c>
      <c r="E26" s="9"/>
      <c r="F26" s="75" t="s">
        <v>659</v>
      </c>
      <c r="G26" s="75" t="s">
        <v>844</v>
      </c>
      <c r="H26" s="76"/>
      <c r="I26" s="14" t="str">
        <f t="shared" si="11"/>
        <v>* group[=].element[+].code = #Result.observation.code.originalName</v>
      </c>
      <c r="J26" s="14" t="str">
        <f t="shared" si="13"/>
        <v>* group[=].element[=].display = ##34#A.5.2.3.2 Observation original name##34#</v>
      </c>
      <c r="K26" s="14" t="str">
        <f t="shared" si="12"/>
        <v>* group[=].element[=].target.code = #Composition.section:lab-no-subsections.entry.resolve()</v>
      </c>
      <c r="L26" s="14" t="str">
        <f t="shared" si="14"/>
        <v>* group[=].element[=].target.display = ##34###34#</v>
      </c>
      <c r="M26" s="14" t="str">
        <f t="shared" si="15"/>
        <v>* group[=].element[=].target.equivalence = #relatedto</v>
      </c>
      <c r="N26" s="14" t="str">
        <f t="shared" si="16"/>
        <v>* group[=].element[=].target.comment = ##34#see details in the Observation group##34#</v>
      </c>
      <c r="P26" s="9">
        <v>12</v>
      </c>
      <c r="Q26" s="9">
        <f t="shared" si="9"/>
        <v>1</v>
      </c>
      <c r="R26" s="9">
        <f t="shared" si="10"/>
        <v>6</v>
      </c>
      <c r="S26" s="14" t="str" cm="1">
        <f t="array" ref="S26">INDEX('Results-ConceptMap-2'!$I$15:$N$125,Q26+1,R26)</f>
        <v/>
      </c>
    </row>
    <row r="27" spans="1:19" ht="59" x14ac:dyDescent="0.75">
      <c r="A27" s="23"/>
      <c r="B27" s="9" t="str">
        <f>'A.5 Results'!B16</f>
        <v>observation.code.displayName</v>
      </c>
      <c r="C27" s="9" t="str">
        <f>'A.5 Results'!C16</f>
        <v>A.5.2.3.3 Observation display name</v>
      </c>
      <c r="D27" s="14" t="s">
        <v>813</v>
      </c>
      <c r="E27" s="9"/>
      <c r="F27" s="75" t="s">
        <v>659</v>
      </c>
      <c r="G27" s="75" t="s">
        <v>844</v>
      </c>
      <c r="H27" s="76"/>
      <c r="I27" s="14" t="str">
        <f t="shared" si="11"/>
        <v>* group[=].element[+].code = #Result.observation.code.displayName</v>
      </c>
      <c r="J27" s="14" t="str">
        <f t="shared" si="13"/>
        <v>* group[=].element[=].display = ##34#A.5.2.3.3 Observation display name##34#</v>
      </c>
      <c r="K27" s="14" t="str">
        <f t="shared" si="12"/>
        <v>* group[=].element[=].target.code = #Composition.section:lab-no-subsections.entry.resolve()</v>
      </c>
      <c r="L27" s="14" t="str">
        <f t="shared" si="14"/>
        <v>* group[=].element[=].target.display = ##34###34#</v>
      </c>
      <c r="M27" s="14" t="str">
        <f t="shared" si="15"/>
        <v>* group[=].element[=].target.equivalence = #relatedto</v>
      </c>
      <c r="N27" s="14" t="str">
        <f t="shared" si="16"/>
        <v>* group[=].element[=].target.comment = ##34#see details in the Observation group##34#</v>
      </c>
      <c r="P27">
        <v>13</v>
      </c>
      <c r="Q27" s="9">
        <f t="shared" si="9"/>
        <v>2</v>
      </c>
      <c r="R27" s="9">
        <f t="shared" si="10"/>
        <v>1</v>
      </c>
      <c r="S27" s="14" t="str" cm="1">
        <f t="array" ref="S27">INDEX('Results-ConceptMap-2'!$I$15:$N$125,Q27+1,R27)</f>
        <v>* group[=].element[+].code = #Result.narrative.report</v>
      </c>
    </row>
    <row r="28" spans="1:19" ht="59" x14ac:dyDescent="0.75">
      <c r="A28" s="23"/>
      <c r="B28" s="9" t="str">
        <f>'A.5 Results'!B17</f>
        <v>observation.method</v>
      </c>
      <c r="C28" s="9" t="str">
        <f>'A.5 Results'!C17</f>
        <v>A.5.2.4 Observation method</v>
      </c>
      <c r="D28" s="14" t="s">
        <v>813</v>
      </c>
      <c r="E28" s="9"/>
      <c r="F28" s="75" t="s">
        <v>659</v>
      </c>
      <c r="G28" s="75" t="s">
        <v>844</v>
      </c>
      <c r="H28" s="76"/>
      <c r="I28" s="14" t="str">
        <f t="shared" si="11"/>
        <v>* group[=].element[+].code = #Result.observation.method</v>
      </c>
      <c r="J28" s="14" t="str">
        <f t="shared" si="13"/>
        <v>* group[=].element[=].display = ##34#A.5.2.4 Observation method##34#</v>
      </c>
      <c r="K28" s="14" t="str">
        <f t="shared" si="12"/>
        <v>* group[=].element[=].target.code = #Composition.section:lab-no-subsections.entry.resolve()</v>
      </c>
      <c r="L28" s="14" t="str">
        <f t="shared" si="14"/>
        <v>* group[=].element[=].target.display = ##34###34#</v>
      </c>
      <c r="M28" s="14" t="str">
        <f t="shared" si="15"/>
        <v>* group[=].element[=].target.equivalence = #relatedto</v>
      </c>
      <c r="N28" s="14" t="str">
        <f t="shared" si="16"/>
        <v>* group[=].element[=].target.comment = ##34#see details in the Observation group##34#</v>
      </c>
      <c r="P28" s="9">
        <v>14</v>
      </c>
      <c r="Q28" s="9">
        <f t="shared" si="9"/>
        <v>2</v>
      </c>
      <c r="R28" s="9">
        <f t="shared" si="10"/>
        <v>2</v>
      </c>
      <c r="S28" s="14" t="str" cm="1">
        <f t="array" ref="S28">INDEX('Results-ConceptMap-2'!$I$15:$N$125,Q28+1,R28)</f>
        <v>* group[=].element[=].display = ##34#A.5.1.1 Narrative report##34#</v>
      </c>
    </row>
    <row r="29" spans="1:19" ht="59" x14ac:dyDescent="0.75">
      <c r="A29" s="23"/>
      <c r="B29" s="9" t="str">
        <f>'A.5 Results'!B18</f>
        <v>observation.device</v>
      </c>
      <c r="C29" s="9" t="str">
        <f>'A.5 Results'!C18</f>
        <v>A.5.2.5 Observation device</v>
      </c>
      <c r="D29" s="14" t="s">
        <v>813</v>
      </c>
      <c r="E29" s="14"/>
      <c r="F29" s="75" t="s">
        <v>659</v>
      </c>
      <c r="G29" s="75" t="s">
        <v>844</v>
      </c>
      <c r="H29" s="76"/>
      <c r="I29" s="14" t="str">
        <f t="shared" si="11"/>
        <v>* group[=].element[+].code = #Result.observation.device</v>
      </c>
      <c r="J29" s="14" t="str">
        <f t="shared" si="13"/>
        <v>* group[=].element[=].display = ##34#A.5.2.5 Observation device##34#</v>
      </c>
      <c r="K29" s="14" t="str">
        <f t="shared" si="12"/>
        <v>* group[=].element[=].target.code = #Composition.section:lab-no-subsections.entry.resolve()</v>
      </c>
      <c r="L29" s="14" t="str">
        <f t="shared" si="14"/>
        <v>* group[=].element[=].target.display = ##34###34#</v>
      </c>
      <c r="M29" s="14" t="str">
        <f t="shared" si="15"/>
        <v>* group[=].element[=].target.equivalence = #relatedto</v>
      </c>
      <c r="N29" s="14" t="str">
        <f t="shared" si="16"/>
        <v>* group[=].element[=].target.comment = ##34#see details in the Observation group##34#</v>
      </c>
      <c r="P29">
        <v>15</v>
      </c>
      <c r="Q29" s="9">
        <f t="shared" si="9"/>
        <v>2</v>
      </c>
      <c r="R29" s="9">
        <f t="shared" si="10"/>
        <v>3</v>
      </c>
      <c r="S29" s="14" t="str" cm="1">
        <f t="array" ref="S29">INDEX('Results-ConceptMap-2'!$I$15:$N$125,Q29+1,R29)</f>
        <v>* group[=].element[=].target.code = #Composition.section:lab-no-subsections.text</v>
      </c>
    </row>
    <row r="30" spans="1:19" ht="59" x14ac:dyDescent="0.75">
      <c r="A30" s="23"/>
      <c r="B30" s="9" t="str">
        <f>'A.5 Results'!B19</f>
        <v>observation.order</v>
      </c>
      <c r="C30" s="9" t="str">
        <f>'A.5 Results'!C19</f>
        <v>A.5.2.8 Order</v>
      </c>
      <c r="D30" s="14" t="s">
        <v>813</v>
      </c>
      <c r="E30" s="14"/>
      <c r="F30" s="75" t="s">
        <v>659</v>
      </c>
      <c r="G30" s="75" t="s">
        <v>844</v>
      </c>
      <c r="H30" s="76"/>
      <c r="I30" s="14" t="str">
        <f t="shared" ref="I30:I36" si="17">"* group[=].element[+].code = #"&amp;$B$14&amp;"."&amp;B30</f>
        <v>* group[=].element[+].code = #Result.observation.order</v>
      </c>
      <c r="J30" s="14" t="str">
        <f t="shared" si="13"/>
        <v>* group[=].element[=].display = ##34#A.5.2.8 Order##34#</v>
      </c>
      <c r="K30" s="14" t="str">
        <f t="shared" ref="K30:K36" si="18">IF(F30="unmatched","//-- unmatched",IF(D30="","* group[=].element[=].target.code = #"&amp;$D$14,"* group[=].element[=].target.code = #"&amp;$D$14&amp;"."&amp;D30))</f>
        <v>* group[=].element[=].target.code = #Composition.section:lab-no-subsections.entry.resolve()</v>
      </c>
      <c r="L30" s="14" t="str">
        <f t="shared" si="14"/>
        <v>* group[=].element[=].target.display = ##34###34#</v>
      </c>
      <c r="M30" s="14" t="str">
        <f t="shared" si="15"/>
        <v>* group[=].element[=].target.equivalence = #relatedto</v>
      </c>
      <c r="N30" s="14" t="str">
        <f t="shared" si="16"/>
        <v>* group[=].element[=].target.comment = ##34#see details in the Observation group##34#</v>
      </c>
      <c r="P30" s="9">
        <v>16</v>
      </c>
      <c r="Q30" s="9">
        <f t="shared" si="9"/>
        <v>2</v>
      </c>
      <c r="R30" s="9">
        <f t="shared" si="10"/>
        <v>4</v>
      </c>
      <c r="S30" s="14" t="str" cm="1">
        <f t="array" ref="S30">INDEX('Results-ConceptMap-2'!$I$15:$N$125,Q30+1,R30)</f>
        <v>* group[=].element[=].target.display = ##34###34#</v>
      </c>
    </row>
    <row r="31" spans="1:19" ht="59" x14ac:dyDescent="0.75">
      <c r="B31" s="9" t="str">
        <f>'A.5 Results'!B20</f>
        <v>observation.performer</v>
      </c>
      <c r="C31" s="9" t="str">
        <f>'A.5 Results'!C20</f>
        <v>A.5.2.9 Performer</v>
      </c>
      <c r="D31" s="14" t="s">
        <v>813</v>
      </c>
      <c r="E31" s="14"/>
      <c r="F31" s="75" t="s">
        <v>659</v>
      </c>
      <c r="G31" s="75" t="s">
        <v>844</v>
      </c>
      <c r="H31" s="76"/>
      <c r="I31" s="14" t="str">
        <f t="shared" si="17"/>
        <v>* group[=].element[+].code = #Result.observation.performer</v>
      </c>
      <c r="J31" s="14" t="str">
        <f t="shared" ref="J31:J36" si="19">"* group[=].element[=].display = ##34#"&amp;C31&amp;"##34#"</f>
        <v>* group[=].element[=].display = ##34#A.5.2.9 Performer##34#</v>
      </c>
      <c r="K31" s="14" t="str">
        <f t="shared" si="18"/>
        <v>* group[=].element[=].target.code = #Composition.section:lab-no-subsections.entry.resolve()</v>
      </c>
      <c r="L31" s="14" t="str">
        <f t="shared" ref="L31:L36" si="20">IF(F31="unmatched","//-- unmatched","* group[=].element[=].target.display = ##34#"&amp;E31&amp;"##34#")</f>
        <v>* group[=].element[=].target.display = ##34###34#</v>
      </c>
      <c r="M31" s="14" t="str">
        <f t="shared" ref="M31:M36" si="21">"* group[=].element[=].target.equivalence = #"&amp;F31</f>
        <v>* group[=].element[=].target.equivalence = #relatedto</v>
      </c>
      <c r="N31" s="14" t="str">
        <f t="shared" ref="N31:N36" si="22">IF(G31&lt;&gt;"",CONCATENATE("* group[=].element[=].target.comment = ","##34#",G31,"##34#"),"")</f>
        <v>* group[=].element[=].target.comment = ##34#see details in the Observation group##34#</v>
      </c>
      <c r="P31">
        <v>17</v>
      </c>
      <c r="Q31" s="9">
        <f t="shared" si="9"/>
        <v>2</v>
      </c>
      <c r="R31" s="9">
        <f t="shared" si="10"/>
        <v>5</v>
      </c>
      <c r="S31" s="14" t="str" cm="1">
        <f t="array" ref="S31">INDEX('Results-ConceptMap-2'!$I$15:$N$125,Q31+1,R31)</f>
        <v>* group[=].element[=].target.equivalence = #relatedto</v>
      </c>
    </row>
    <row r="32" spans="1:19" ht="59" x14ac:dyDescent="0.75">
      <c r="B32" s="9" t="str">
        <f>'A.5 Results'!B21</f>
        <v>observation.reporter</v>
      </c>
      <c r="C32" s="9" t="str">
        <f>'A.5 Results'!C21</f>
        <v>A.5.2.10 Reporter</v>
      </c>
      <c r="D32" s="14" t="s">
        <v>813</v>
      </c>
      <c r="E32" s="14"/>
      <c r="F32" s="75" t="s">
        <v>659</v>
      </c>
      <c r="G32" s="75" t="s">
        <v>844</v>
      </c>
      <c r="H32" s="76"/>
      <c r="I32" s="14" t="str">
        <f t="shared" si="17"/>
        <v>* group[=].element[+].code = #Result.observation.reporter</v>
      </c>
      <c r="J32" s="14" t="str">
        <f t="shared" si="19"/>
        <v>* group[=].element[=].display = ##34#A.5.2.10 Reporter##34#</v>
      </c>
      <c r="K32" s="14" t="str">
        <f t="shared" si="18"/>
        <v>* group[=].element[=].target.code = #Composition.section:lab-no-subsections.entry.resolve()</v>
      </c>
      <c r="L32" s="14" t="str">
        <f t="shared" si="20"/>
        <v>* group[=].element[=].target.display = ##34###34#</v>
      </c>
      <c r="M32" s="14" t="str">
        <f t="shared" si="21"/>
        <v>* group[=].element[=].target.equivalence = #relatedto</v>
      </c>
      <c r="N32" s="14" t="str">
        <f t="shared" si="22"/>
        <v>* group[=].element[=].target.comment = ##34#see details in the Observation group##34#</v>
      </c>
      <c r="P32" s="9">
        <v>18</v>
      </c>
      <c r="Q32" s="9">
        <f t="shared" si="9"/>
        <v>2</v>
      </c>
      <c r="R32" s="9">
        <f t="shared" si="10"/>
        <v>6</v>
      </c>
      <c r="S32" s="14" t="str" cm="1">
        <f t="array" ref="S32">INDEX('Results-ConceptMap-2'!$I$15:$N$125,Q32+1,R32)</f>
        <v>* group[=].element[=].target.comment = ##34#if single section##34#</v>
      </c>
    </row>
    <row r="33" spans="1:19" ht="59" x14ac:dyDescent="0.75">
      <c r="B33" s="9" t="str">
        <f>'A.5 Results'!B22</f>
        <v>observation.result</v>
      </c>
      <c r="C33" s="9" t="str">
        <f>'A.5 Results'!C22</f>
        <v>A.5.2.11 Observation result</v>
      </c>
      <c r="D33" s="14" t="s">
        <v>813</v>
      </c>
      <c r="E33" s="14"/>
      <c r="F33" s="75" t="s">
        <v>659</v>
      </c>
      <c r="G33" s="75" t="s">
        <v>844</v>
      </c>
      <c r="H33" s="76"/>
      <c r="I33" s="14" t="str">
        <f t="shared" si="17"/>
        <v>* group[=].element[+].code = #Result.observation.result</v>
      </c>
      <c r="J33" s="14" t="str">
        <f t="shared" si="19"/>
        <v>* group[=].element[=].display = ##34#A.5.2.11 Observation result##34#</v>
      </c>
      <c r="K33" s="14" t="str">
        <f t="shared" si="18"/>
        <v>* group[=].element[=].target.code = #Composition.section:lab-no-subsections.entry.resolve()</v>
      </c>
      <c r="L33" s="14" t="str">
        <f t="shared" si="20"/>
        <v>* group[=].element[=].target.display = ##34###34#</v>
      </c>
      <c r="M33" s="14" t="str">
        <f t="shared" si="21"/>
        <v>* group[=].element[=].target.equivalence = #relatedto</v>
      </c>
      <c r="N33" s="14" t="str">
        <f t="shared" si="22"/>
        <v>* group[=].element[=].target.comment = ##34#see details in the Observation group##34#</v>
      </c>
      <c r="P33">
        <v>19</v>
      </c>
      <c r="Q33" s="9">
        <f t="shared" si="9"/>
        <v>3</v>
      </c>
      <c r="R33" s="9">
        <f t="shared" si="10"/>
        <v>1</v>
      </c>
      <c r="S33" s="14" t="str" cm="1">
        <f t="array" ref="S33">INDEX('Results-ConceptMap-2'!$I$15:$N$125,Q33+1,R33)</f>
        <v>* group[=].element[+].code = #Result.narrative.report</v>
      </c>
    </row>
    <row r="34" spans="1:19" ht="59" x14ac:dyDescent="0.75">
      <c r="B34" s="9" t="str">
        <f>'A.5 Results'!B23</f>
        <v>observation.interpretation</v>
      </c>
      <c r="C34" s="9" t="str">
        <f>'A.5 Results'!C23</f>
        <v>A.5.2.12 Observation interpretation</v>
      </c>
      <c r="D34" s="14" t="s">
        <v>813</v>
      </c>
      <c r="E34" s="14"/>
      <c r="F34" s="75" t="s">
        <v>659</v>
      </c>
      <c r="G34" s="75" t="s">
        <v>844</v>
      </c>
      <c r="H34" s="76"/>
      <c r="I34" s="14" t="str">
        <f t="shared" si="17"/>
        <v>* group[=].element[+].code = #Result.observation.interpretation</v>
      </c>
      <c r="J34" s="14" t="str">
        <f t="shared" si="19"/>
        <v>* group[=].element[=].display = ##34#A.5.2.12 Observation interpretation##34#</v>
      </c>
      <c r="K34" s="14" t="str">
        <f t="shared" si="18"/>
        <v>* group[=].element[=].target.code = #Composition.section:lab-no-subsections.entry.resolve()</v>
      </c>
      <c r="L34" s="14" t="str">
        <f t="shared" si="20"/>
        <v>* group[=].element[=].target.display = ##34###34#</v>
      </c>
      <c r="M34" s="14" t="str">
        <f t="shared" si="21"/>
        <v>* group[=].element[=].target.equivalence = #relatedto</v>
      </c>
      <c r="N34" s="14" t="str">
        <f t="shared" si="22"/>
        <v>* group[=].element[=].target.comment = ##34#see details in the Observation group##34#</v>
      </c>
      <c r="P34" s="9">
        <v>20</v>
      </c>
      <c r="Q34" s="9">
        <f t="shared" si="9"/>
        <v>3</v>
      </c>
      <c r="R34" s="9">
        <f t="shared" si="10"/>
        <v>2</v>
      </c>
      <c r="S34" s="14" t="str" cm="1">
        <f t="array" ref="S34">INDEX('Results-ConceptMap-2'!$I$15:$N$125,Q34+1,R34)</f>
        <v>* group[=].element[=].display = ##34#A.5.1.1 Narrative report##34#</v>
      </c>
    </row>
    <row r="35" spans="1:19" ht="59" x14ac:dyDescent="0.75">
      <c r="B35" s="9" t="str">
        <f>'A.5 Results'!B24</f>
        <v>observation.description</v>
      </c>
      <c r="C35" s="9" t="str">
        <f>'A.5 Results'!C24</f>
        <v>A.5.2.13 Result description</v>
      </c>
      <c r="D35" s="14" t="s">
        <v>813</v>
      </c>
      <c r="E35" s="14"/>
      <c r="F35" s="75" t="s">
        <v>659</v>
      </c>
      <c r="G35" s="75" t="s">
        <v>844</v>
      </c>
      <c r="H35" s="76"/>
      <c r="I35" s="14" t="str">
        <f t="shared" si="17"/>
        <v>* group[=].element[+].code = #Result.observation.description</v>
      </c>
      <c r="J35" s="14" t="str">
        <f t="shared" si="19"/>
        <v>* group[=].element[=].display = ##34#A.5.2.13 Result description##34#</v>
      </c>
      <c r="K35" s="14" t="str">
        <f t="shared" si="18"/>
        <v>* group[=].element[=].target.code = #Composition.section:lab-no-subsections.entry.resolve()</v>
      </c>
      <c r="L35" s="14" t="str">
        <f t="shared" si="20"/>
        <v>* group[=].element[=].target.display = ##34###34#</v>
      </c>
      <c r="M35" s="14" t="str">
        <f t="shared" si="21"/>
        <v>* group[=].element[=].target.equivalence = #relatedto</v>
      </c>
      <c r="N35" s="14" t="str">
        <f t="shared" si="22"/>
        <v>* group[=].element[=].target.comment = ##34#see details in the Observation group##34#</v>
      </c>
      <c r="P35">
        <v>21</v>
      </c>
      <c r="Q35" s="9">
        <f t="shared" si="9"/>
        <v>3</v>
      </c>
      <c r="R35" s="9">
        <f t="shared" si="10"/>
        <v>3</v>
      </c>
      <c r="S35" s="14" t="str" cm="1">
        <f t="array" ref="S35">INDEX('Results-ConceptMap-2'!$I$15:$N$125,Q35+1,R35)</f>
        <v>* group[=].element[=].target.code = #Composition.section:lab-subsections.section.text</v>
      </c>
    </row>
    <row r="36" spans="1:19" ht="59" x14ac:dyDescent="0.75">
      <c r="B36" s="9" t="str">
        <f>'A.5 Results'!B25</f>
        <v>observation.accreditationStatus</v>
      </c>
      <c r="C36" s="9" t="str">
        <f>'A.5 Results'!C25</f>
        <v>A.5.2.14 Accreditation status</v>
      </c>
      <c r="D36" s="14" t="s">
        <v>813</v>
      </c>
      <c r="E36" s="14"/>
      <c r="F36" s="75" t="s">
        <v>659</v>
      </c>
      <c r="G36" s="75" t="s">
        <v>844</v>
      </c>
      <c r="H36" s="76"/>
      <c r="I36" s="14" t="str">
        <f t="shared" si="17"/>
        <v>* group[=].element[+].code = #Result.observation.accreditationStatus</v>
      </c>
      <c r="J36" s="14" t="str">
        <f t="shared" si="19"/>
        <v>* group[=].element[=].display = ##34#A.5.2.14 Accreditation status##34#</v>
      </c>
      <c r="K36" s="14" t="str">
        <f t="shared" si="18"/>
        <v>* group[=].element[=].target.code = #Composition.section:lab-no-subsections.entry.resolve()</v>
      </c>
      <c r="L36" s="14" t="str">
        <f t="shared" si="20"/>
        <v>* group[=].element[=].target.display = ##34###34#</v>
      </c>
      <c r="M36" s="14" t="str">
        <f t="shared" si="21"/>
        <v>* group[=].element[=].target.equivalence = #relatedto</v>
      </c>
      <c r="N36" s="14" t="str">
        <f t="shared" si="22"/>
        <v>* group[=].element[=].target.comment = ##34#see details in the Observation group##34#</v>
      </c>
      <c r="P36" s="9">
        <v>22</v>
      </c>
      <c r="Q36" s="9">
        <f t="shared" si="9"/>
        <v>3</v>
      </c>
      <c r="R36" s="9">
        <f t="shared" si="10"/>
        <v>4</v>
      </c>
      <c r="S36" s="14" t="str" cm="1">
        <f t="array" ref="S36">INDEX('Results-ConceptMap-2'!$I$15:$N$125,Q36+1,R36)</f>
        <v>* group[=].element[=].target.display = ##34###34#</v>
      </c>
    </row>
    <row r="37" spans="1:19" x14ac:dyDescent="0.75">
      <c r="B37" s="9">
        <f>'A.5 Results'!B26</f>
        <v>0</v>
      </c>
      <c r="C37" s="9">
        <f>'A.5 Results'!C26</f>
        <v>0</v>
      </c>
      <c r="D37" s="14"/>
      <c r="E37" s="14"/>
      <c r="F37" s="75"/>
      <c r="G37" s="75"/>
      <c r="H37" s="76"/>
      <c r="I37" s="14"/>
      <c r="J37" s="14"/>
      <c r="K37" s="14"/>
      <c r="L37" s="14"/>
      <c r="M37" s="14"/>
      <c r="N37" s="14"/>
      <c r="P37">
        <v>23</v>
      </c>
      <c r="Q37" s="9">
        <f t="shared" si="9"/>
        <v>3</v>
      </c>
      <c r="R37" s="9">
        <f t="shared" si="10"/>
        <v>5</v>
      </c>
      <c r="S37" s="14" t="str" cm="1">
        <f t="array" ref="S37">INDEX('Results-ConceptMap-2'!$I$15:$N$125,Q37+1,R37)</f>
        <v>* group[=].element[=].target.equivalence = #relatedto</v>
      </c>
    </row>
    <row r="38" spans="1:19" x14ac:dyDescent="0.75">
      <c r="B38" s="9">
        <f>'A.5 Results'!B27</f>
        <v>0</v>
      </c>
      <c r="C38" s="9">
        <f>'A.5 Results'!C27</f>
        <v>0</v>
      </c>
      <c r="D38" s="14"/>
      <c r="E38" s="14"/>
      <c r="F38" s="75"/>
      <c r="G38" s="75"/>
      <c r="H38" s="76"/>
      <c r="I38" s="14"/>
      <c r="J38" s="14"/>
      <c r="K38" s="14"/>
      <c r="L38" s="14"/>
      <c r="M38" s="14"/>
      <c r="N38" s="14"/>
      <c r="P38" s="9">
        <v>24</v>
      </c>
      <c r="Q38" s="9">
        <f t="shared" si="9"/>
        <v>3</v>
      </c>
      <c r="R38" s="9">
        <f t="shared" si="10"/>
        <v>6</v>
      </c>
      <c r="S38" s="14" t="str" cm="1">
        <f t="array" ref="S38">INDEX('Results-ConceptMap-2'!$I$15:$N$125,Q38+1,R38)</f>
        <v>* group[=].element[=].target.comment = ##34#if multiple sections##34#</v>
      </c>
    </row>
    <row r="39" spans="1:19" x14ac:dyDescent="0.75">
      <c r="B39" s="9"/>
      <c r="C39" s="9"/>
      <c r="D39" s="14"/>
      <c r="E39" s="14"/>
      <c r="F39" s="75"/>
      <c r="G39" s="75"/>
      <c r="H39" s="76"/>
      <c r="I39" s="14"/>
      <c r="J39" s="14"/>
      <c r="K39" s="14"/>
      <c r="L39" s="14"/>
      <c r="M39" s="14"/>
      <c r="N39" s="14"/>
      <c r="P39">
        <v>25</v>
      </c>
      <c r="Q39" s="9">
        <f t="shared" si="9"/>
        <v>4</v>
      </c>
      <c r="R39" s="9">
        <f t="shared" si="10"/>
        <v>1</v>
      </c>
      <c r="S39" s="14" t="str" cm="1">
        <f t="array" ref="S39">INDEX('Results-ConceptMap-2'!$I$15:$N$125,Q39+1,R39)</f>
        <v>* group[=].element[+].code = #Result.narrative.notes</v>
      </c>
    </row>
    <row r="40" spans="1:19" ht="29.5" x14ac:dyDescent="0.75">
      <c r="B40" s="9"/>
      <c r="C40" s="9"/>
      <c r="D40" s="14"/>
      <c r="E40" s="14"/>
      <c r="F40" s="75"/>
      <c r="G40" s="75"/>
      <c r="H40" s="76"/>
      <c r="I40" s="14"/>
      <c r="J40" s="14"/>
      <c r="K40" s="14"/>
      <c r="L40" s="14"/>
      <c r="M40" s="14"/>
      <c r="N40" s="14"/>
      <c r="P40" s="9">
        <v>26</v>
      </c>
      <c r="Q40" s="9">
        <f t="shared" si="9"/>
        <v>4</v>
      </c>
      <c r="R40" s="9">
        <f t="shared" si="10"/>
        <v>2</v>
      </c>
      <c r="S40" s="14" t="str" cm="1">
        <f t="array" ref="S40">INDEX('Results-ConceptMap-2'!$I$15:$N$125,Q40+1,R40)</f>
        <v>* group[=].element[=].display = ##34#A.5.1.2 Comments, interpretation and recommendations##34#</v>
      </c>
    </row>
    <row r="41" spans="1:19" x14ac:dyDescent="0.75">
      <c r="B41" s="9"/>
      <c r="C41" s="9"/>
      <c r="D41" s="14"/>
      <c r="E41" s="14"/>
      <c r="F41" s="75"/>
      <c r="G41" s="75"/>
      <c r="H41" s="76"/>
      <c r="I41" s="14"/>
      <c r="J41" s="14"/>
      <c r="K41" s="14"/>
      <c r="L41" s="14"/>
      <c r="M41" s="14"/>
      <c r="N41" s="14"/>
      <c r="P41">
        <v>27</v>
      </c>
      <c r="Q41" s="9">
        <f t="shared" si="9"/>
        <v>4</v>
      </c>
      <c r="R41" s="9">
        <f t="shared" si="10"/>
        <v>3</v>
      </c>
      <c r="S41" s="14" t="str" cm="1">
        <f t="array" ref="S41">INDEX('Results-ConceptMap-2'!$I$15:$N$125,Q41+1,R41)</f>
        <v>* group[=].element[=].target.code = #Composition.section:lab-no-subsections.text</v>
      </c>
    </row>
    <row r="42" spans="1:19" x14ac:dyDescent="0.75">
      <c r="B42" s="9"/>
      <c r="C42" s="9"/>
      <c r="D42" s="14"/>
      <c r="E42" s="14"/>
      <c r="F42" s="75"/>
      <c r="G42" s="75"/>
      <c r="H42" s="76"/>
      <c r="I42" s="14"/>
      <c r="J42" s="14"/>
      <c r="K42" s="14"/>
      <c r="L42" s="14"/>
      <c r="M42" s="14"/>
      <c r="N42" s="14"/>
      <c r="P42" s="9">
        <v>28</v>
      </c>
      <c r="Q42" s="9">
        <f t="shared" si="9"/>
        <v>4</v>
      </c>
      <c r="R42" s="9">
        <f t="shared" si="10"/>
        <v>4</v>
      </c>
      <c r="S42" s="14" t="str" cm="1">
        <f t="array" ref="S42">INDEX('Results-ConceptMap-2'!$I$15:$N$125,Q42+1,R42)</f>
        <v>* group[=].element[=].target.display = ##34###34#</v>
      </c>
    </row>
    <row r="43" spans="1:19" s="1" customFormat="1" x14ac:dyDescent="0.75">
      <c r="A43"/>
      <c r="B43" s="9"/>
      <c r="C43" s="9"/>
      <c r="D43" s="14"/>
      <c r="E43" s="14"/>
      <c r="F43" s="75"/>
      <c r="G43" s="76"/>
      <c r="H43" s="76"/>
      <c r="I43" s="14"/>
      <c r="J43" s="14"/>
      <c r="K43" s="14"/>
      <c r="L43" s="14"/>
      <c r="M43" s="14"/>
      <c r="N43" s="14"/>
      <c r="P43">
        <v>29</v>
      </c>
      <c r="Q43" s="9">
        <f t="shared" si="9"/>
        <v>4</v>
      </c>
      <c r="R43" s="9">
        <f t="shared" si="10"/>
        <v>5</v>
      </c>
      <c r="S43" s="14" t="str" cm="1">
        <f t="array" ref="S43">INDEX('Results-ConceptMap-2'!$I$15:$N$125,Q43+1,R43)</f>
        <v>* group[=].element[=].target.equivalence = #relatedto</v>
      </c>
    </row>
    <row r="44" spans="1:19" s="1" customFormat="1" x14ac:dyDescent="0.75">
      <c r="A44"/>
      <c r="B44" s="9"/>
      <c r="C44" s="9"/>
      <c r="D44" s="60"/>
      <c r="F44" s="76"/>
      <c r="G44" s="76"/>
      <c r="H44" s="76"/>
      <c r="I44" s="14"/>
      <c r="J44" s="14"/>
      <c r="K44" s="14"/>
      <c r="L44" s="14"/>
      <c r="M44" s="14"/>
      <c r="N44" s="14"/>
      <c r="P44" s="9">
        <v>30</v>
      </c>
      <c r="Q44" s="9">
        <f t="shared" si="9"/>
        <v>4</v>
      </c>
      <c r="R44" s="9">
        <f t="shared" si="10"/>
        <v>6</v>
      </c>
      <c r="S44" s="14" t="str" cm="1">
        <f t="array" ref="S44">INDEX('Results-ConceptMap-2'!$I$15:$N$125,Q44+1,R44)</f>
        <v>* group[=].element[=].target.comment = ##34#if single section##34#</v>
      </c>
    </row>
    <row r="45" spans="1:19" s="1" customFormat="1" x14ac:dyDescent="0.75">
      <c r="A45"/>
      <c r="B45" s="9"/>
      <c r="C45" s="9"/>
      <c r="F45" s="76"/>
      <c r="G45" s="76"/>
      <c r="H45" s="76"/>
      <c r="J45"/>
      <c r="K45" s="76"/>
      <c r="L45" s="76"/>
      <c r="M45" s="74"/>
      <c r="N45" s="74"/>
      <c r="P45">
        <v>31</v>
      </c>
      <c r="Q45" s="9">
        <f t="shared" si="9"/>
        <v>5</v>
      </c>
      <c r="R45" s="9">
        <f t="shared" si="10"/>
        <v>1</v>
      </c>
      <c r="S45" s="14" t="str" cm="1">
        <f t="array" ref="S45">INDEX('Results-ConceptMap-2'!$I$15:$N$125,Q45+1,R45)</f>
        <v>* group[=].element[+].code = #Result.narrative.notes</v>
      </c>
    </row>
    <row r="46" spans="1:19" ht="29.5" x14ac:dyDescent="0.75">
      <c r="P46" s="9">
        <v>32</v>
      </c>
      <c r="Q46" s="9">
        <f t="shared" si="9"/>
        <v>5</v>
      </c>
      <c r="R46" s="9">
        <f t="shared" si="10"/>
        <v>2</v>
      </c>
      <c r="S46" s="14" t="str" cm="1">
        <f t="array" ref="S46">INDEX('Results-ConceptMap-2'!$I$15:$N$125,Q46+1,R46)</f>
        <v>* group[=].element[=].display = ##34#A.5.1.2 Comments, interpretation and recommendations##34#</v>
      </c>
    </row>
    <row r="47" spans="1:19" ht="29.5" x14ac:dyDescent="0.75">
      <c r="P47">
        <v>33</v>
      </c>
      <c r="Q47" s="9">
        <f t="shared" si="9"/>
        <v>5</v>
      </c>
      <c r="R47" s="9">
        <f t="shared" si="10"/>
        <v>3</v>
      </c>
      <c r="S47" s="14" t="str" cm="1">
        <f t="array" ref="S47">INDEX('Results-ConceptMap-2'!$I$15:$N$125,Q47+1,R47)</f>
        <v>* group[=].element[=].target.code = #Composition.section:lab-subsections.section.text</v>
      </c>
    </row>
    <row r="48" spans="1:19" x14ac:dyDescent="0.75">
      <c r="P48" s="9">
        <v>34</v>
      </c>
      <c r="Q48" s="9">
        <f t="shared" si="9"/>
        <v>5</v>
      </c>
      <c r="R48" s="9">
        <f t="shared" si="10"/>
        <v>4</v>
      </c>
      <c r="S48" s="14" t="str" cm="1">
        <f t="array" ref="S48">INDEX('Results-ConceptMap-2'!$I$15:$N$125,Q48+1,R48)</f>
        <v>* group[=].element[=].target.display = ##34###34#</v>
      </c>
    </row>
    <row r="49" spans="16:19" x14ac:dyDescent="0.75">
      <c r="P49">
        <v>35</v>
      </c>
      <c r="Q49" s="9">
        <f t="shared" si="9"/>
        <v>5</v>
      </c>
      <c r="R49" s="9">
        <f t="shared" si="10"/>
        <v>5</v>
      </c>
      <c r="S49" s="14" t="str" cm="1">
        <f t="array" ref="S49">INDEX('Results-ConceptMap-2'!$I$15:$N$125,Q49+1,R49)</f>
        <v>* group[=].element[=].target.equivalence = #relatedto</v>
      </c>
    </row>
    <row r="50" spans="16:19" x14ac:dyDescent="0.75">
      <c r="P50" s="9">
        <v>36</v>
      </c>
      <c r="Q50" s="9">
        <f t="shared" si="9"/>
        <v>5</v>
      </c>
      <c r="R50" s="9">
        <f t="shared" si="10"/>
        <v>6</v>
      </c>
      <c r="S50" s="14" t="str" cm="1">
        <f t="array" ref="S50">INDEX('Results-ConceptMap-2'!$I$15:$N$125,Q50+1,R50)</f>
        <v>* group[=].element[=].target.comment = ##34#if multiple sections##34#</v>
      </c>
    </row>
    <row r="51" spans="16:19" x14ac:dyDescent="0.75">
      <c r="P51">
        <v>37</v>
      </c>
      <c r="Q51" s="9">
        <f t="shared" si="9"/>
        <v>6</v>
      </c>
      <c r="R51" s="9">
        <f t="shared" si="10"/>
        <v>1</v>
      </c>
      <c r="S51" s="14" t="str" cm="1">
        <f t="array" ref="S51">INDEX('Results-ConceptMap-2'!$I$15:$N$125,Q51+1,R51)</f>
        <v>* group[=].element[+].code = #Result.observation</v>
      </c>
    </row>
    <row r="52" spans="16:19" x14ac:dyDescent="0.75">
      <c r="P52" s="9">
        <v>38</v>
      </c>
      <c r="Q52" s="9">
        <f t="shared" si="9"/>
        <v>6</v>
      </c>
      <c r="R52" s="9">
        <f t="shared" si="10"/>
        <v>2</v>
      </c>
      <c r="S52" s="14" t="str" cm="1">
        <f t="array" ref="S52">INDEX('Results-ConceptMap-2'!$I$15:$N$125,Q52+1,R52)</f>
        <v>* group[=].element[=].display = ##34#A.5.2 Observation details##34#</v>
      </c>
    </row>
    <row r="53" spans="16:19" ht="29.5" x14ac:dyDescent="0.75">
      <c r="P53">
        <v>39</v>
      </c>
      <c r="Q53" s="9">
        <f t="shared" si="9"/>
        <v>6</v>
      </c>
      <c r="R53" s="9">
        <f t="shared" si="10"/>
        <v>3</v>
      </c>
      <c r="S53" s="14" t="str" cm="1">
        <f t="array" ref="S53">INDEX('Results-ConceptMap-2'!$I$15:$N$125,Q53+1,R53)</f>
        <v>* group[=].element[=].target.code = #Composition.section:lab-no-subsections.entry.resolve()</v>
      </c>
    </row>
    <row r="54" spans="16:19" x14ac:dyDescent="0.75">
      <c r="P54" s="9">
        <v>40</v>
      </c>
      <c r="Q54" s="9">
        <f t="shared" si="9"/>
        <v>6</v>
      </c>
      <c r="R54" s="9">
        <f t="shared" si="10"/>
        <v>4</v>
      </c>
      <c r="S54" s="14" t="str" cm="1">
        <f t="array" ref="S54">INDEX('Results-ConceptMap-2'!$I$15:$N$125,Q54+1,R54)</f>
        <v>* group[=].element[=].target.display = ##34###34#</v>
      </c>
    </row>
    <row r="55" spans="16:19" x14ac:dyDescent="0.75">
      <c r="P55">
        <v>41</v>
      </c>
      <c r="Q55" s="9">
        <f t="shared" si="9"/>
        <v>6</v>
      </c>
      <c r="R55" s="9">
        <f t="shared" si="10"/>
        <v>5</v>
      </c>
      <c r="S55" s="14" t="str" cm="1">
        <f t="array" ref="S55">INDEX('Results-ConceptMap-2'!$I$15:$N$125,Q55+1,R55)</f>
        <v>* group[=].element[=].target.equivalence = #relatedto</v>
      </c>
    </row>
    <row r="56" spans="16:19" x14ac:dyDescent="0.75">
      <c r="P56" s="9">
        <v>42</v>
      </c>
      <c r="Q56" s="9">
        <f t="shared" si="9"/>
        <v>6</v>
      </c>
      <c r="R56" s="9">
        <f t="shared" si="10"/>
        <v>6</v>
      </c>
      <c r="S56" s="14" t="str" cm="1">
        <f t="array" ref="S56">INDEX('Results-ConceptMap-2'!$I$15:$N$125,Q56+1,R56)</f>
        <v>* group[=].element[=].target.comment = ##34#if single section##34#</v>
      </c>
    </row>
    <row r="57" spans="16:19" x14ac:dyDescent="0.75">
      <c r="P57">
        <v>43</v>
      </c>
      <c r="Q57" s="9">
        <f t="shared" si="9"/>
        <v>7</v>
      </c>
      <c r="R57" s="9">
        <f t="shared" si="10"/>
        <v>1</v>
      </c>
      <c r="S57" s="14" t="str" cm="1">
        <f t="array" ref="S57">INDEX('Results-ConceptMap-2'!$I$15:$N$125,Q57+1,R57)</f>
        <v>* group[=].element[+].code = #Result.observation</v>
      </c>
    </row>
    <row r="58" spans="16:19" x14ac:dyDescent="0.75">
      <c r="P58" s="9">
        <v>44</v>
      </c>
      <c r="Q58" s="9">
        <f t="shared" si="9"/>
        <v>7</v>
      </c>
      <c r="R58" s="9">
        <f t="shared" si="10"/>
        <v>2</v>
      </c>
      <c r="S58" s="14" t="str" cm="1">
        <f t="array" ref="S58">INDEX('Results-ConceptMap-2'!$I$15:$N$125,Q58+1,R58)</f>
        <v>* group[=].element[=].display = ##34#A.5.2 Observation details##34#</v>
      </c>
    </row>
    <row r="59" spans="16:19" ht="29.5" x14ac:dyDescent="0.75">
      <c r="P59">
        <v>45</v>
      </c>
      <c r="Q59" s="9">
        <f t="shared" si="9"/>
        <v>7</v>
      </c>
      <c r="R59" s="9">
        <f t="shared" si="10"/>
        <v>3</v>
      </c>
      <c r="S59" s="14" t="str" cm="1">
        <f t="array" ref="S59">INDEX('Results-ConceptMap-2'!$I$15:$N$125,Q59+1,R59)</f>
        <v>* group[=].element[=].target.code = #Composition.section:lab-subsections.section.entry.resolve()</v>
      </c>
    </row>
    <row r="60" spans="16:19" x14ac:dyDescent="0.75">
      <c r="P60" s="9">
        <v>46</v>
      </c>
      <c r="Q60" s="9">
        <f t="shared" si="9"/>
        <v>7</v>
      </c>
      <c r="R60" s="9">
        <f t="shared" si="10"/>
        <v>4</v>
      </c>
      <c r="S60" s="14" t="str" cm="1">
        <f t="array" ref="S60">INDEX('Results-ConceptMap-2'!$I$15:$N$125,Q60+1,R60)</f>
        <v>* group[=].element[=].target.display = ##34###34#</v>
      </c>
    </row>
    <row r="61" spans="16:19" x14ac:dyDescent="0.75">
      <c r="P61">
        <v>47</v>
      </c>
      <c r="Q61" s="9">
        <f t="shared" si="9"/>
        <v>7</v>
      </c>
      <c r="R61" s="9">
        <f t="shared" si="10"/>
        <v>5</v>
      </c>
      <c r="S61" s="14" t="str" cm="1">
        <f t="array" ref="S61">INDEX('Results-ConceptMap-2'!$I$15:$N$125,Q61+1,R61)</f>
        <v>* group[=].element[=].target.equivalence = #relatedto</v>
      </c>
    </row>
    <row r="62" spans="16:19" x14ac:dyDescent="0.75">
      <c r="P62" s="9">
        <v>48</v>
      </c>
      <c r="Q62" s="9">
        <f t="shared" si="9"/>
        <v>7</v>
      </c>
      <c r="R62" s="9">
        <f t="shared" si="10"/>
        <v>6</v>
      </c>
      <c r="S62" s="14" t="str" cm="1">
        <f t="array" ref="S62">INDEX('Results-ConceptMap-2'!$I$15:$N$125,Q62+1,R62)</f>
        <v>* group[=].element[=].target.comment = ##34#if multiple sections##34#</v>
      </c>
    </row>
    <row r="63" spans="16:19" x14ac:dyDescent="0.75">
      <c r="P63">
        <v>49</v>
      </c>
      <c r="Q63" s="9">
        <f t="shared" si="9"/>
        <v>8</v>
      </c>
      <c r="R63" s="9">
        <f t="shared" si="10"/>
        <v>1</v>
      </c>
      <c r="S63" s="14" t="str" cm="1">
        <f t="array" ref="S63">INDEX('Results-ConceptMap-2'!$I$15:$N$125,Q63+1,R63)</f>
        <v>* group[=].element[+].code = #Result.observation.dateTime</v>
      </c>
    </row>
    <row r="64" spans="16:19" x14ac:dyDescent="0.75">
      <c r="P64" s="9">
        <v>50</v>
      </c>
      <c r="Q64" s="9">
        <f t="shared" si="9"/>
        <v>8</v>
      </c>
      <c r="R64" s="9">
        <f t="shared" si="10"/>
        <v>2</v>
      </c>
      <c r="S64" s="14" t="str" cm="1">
        <f t="array" ref="S64">INDEX('Results-ConceptMap-2'!$I$15:$N$125,Q64+1,R64)</f>
        <v>* group[=].element[=].display = ##34#A.5.2.1 Observation date##34#</v>
      </c>
    </row>
    <row r="65" spans="16:19" ht="29.5" x14ac:dyDescent="0.75">
      <c r="P65">
        <v>51</v>
      </c>
      <c r="Q65" s="9">
        <f t="shared" si="9"/>
        <v>8</v>
      </c>
      <c r="R65" s="9">
        <f t="shared" si="10"/>
        <v>3</v>
      </c>
      <c r="S65" s="14" t="str" cm="1">
        <f t="array" ref="S65">INDEX('Results-ConceptMap-2'!$I$15:$N$125,Q65+1,R65)</f>
        <v>* group[=].element[=].target.code = #Composition.section:lab-no-subsections.entry.resolve()</v>
      </c>
    </row>
    <row r="66" spans="16:19" x14ac:dyDescent="0.75">
      <c r="P66" s="9">
        <v>52</v>
      </c>
      <c r="Q66" s="9">
        <f t="shared" si="9"/>
        <v>8</v>
      </c>
      <c r="R66" s="9">
        <f t="shared" si="10"/>
        <v>4</v>
      </c>
      <c r="S66" s="14" t="str" cm="1">
        <f t="array" ref="S66">INDEX('Results-ConceptMap-2'!$I$15:$N$125,Q66+1,R66)</f>
        <v>* group[=].element[=].target.display = ##34###34#</v>
      </c>
    </row>
    <row r="67" spans="16:19" x14ac:dyDescent="0.75">
      <c r="P67">
        <v>53</v>
      </c>
      <c r="Q67" s="9">
        <f t="shared" si="9"/>
        <v>8</v>
      </c>
      <c r="R67" s="9">
        <f t="shared" si="10"/>
        <v>5</v>
      </c>
      <c r="S67" s="14" t="str" cm="1">
        <f t="array" ref="S67">INDEX('Results-ConceptMap-2'!$I$15:$N$125,Q67+1,R67)</f>
        <v>* group[=].element[=].target.equivalence = #relatedto</v>
      </c>
    </row>
    <row r="68" spans="16:19" ht="29.5" x14ac:dyDescent="0.75">
      <c r="P68" s="9">
        <v>54</v>
      </c>
      <c r="Q68" s="9">
        <f t="shared" si="9"/>
        <v>8</v>
      </c>
      <c r="R68" s="9">
        <f t="shared" si="10"/>
        <v>6</v>
      </c>
      <c r="S68" s="14" t="str" cm="1">
        <f t="array" ref="S68">INDEX('Results-ConceptMap-2'!$I$15:$N$125,Q68+1,R68)</f>
        <v>* group[=].element[=].target.comment = ##34#see details in the Observation group##34#</v>
      </c>
    </row>
    <row r="69" spans="16:19" x14ac:dyDescent="0.75">
      <c r="P69">
        <v>55</v>
      </c>
      <c r="Q69" s="9">
        <f t="shared" si="9"/>
        <v>9</v>
      </c>
      <c r="R69" s="9">
        <f t="shared" si="10"/>
        <v>1</v>
      </c>
      <c r="S69" s="14" t="str" cm="1">
        <f t="array" ref="S69">INDEX('Results-ConceptMap-2'!$I$15:$N$125,Q69+1,R69)</f>
        <v>* group[=].element[+].code = #Result.observation.code</v>
      </c>
    </row>
    <row r="70" spans="16:19" x14ac:dyDescent="0.75">
      <c r="P70" s="9">
        <v>56</v>
      </c>
      <c r="Q70" s="9">
        <f t="shared" si="9"/>
        <v>9</v>
      </c>
      <c r="R70" s="9">
        <f t="shared" si="10"/>
        <v>2</v>
      </c>
      <c r="S70" s="14" t="str" cm="1">
        <f t="array" ref="S70">INDEX('Results-ConceptMap-2'!$I$15:$N$125,Q70+1,R70)</f>
        <v>* group[=].element[=].display = ##34#A.5.2.3 Observation code##34#</v>
      </c>
    </row>
    <row r="71" spans="16:19" ht="29.5" x14ac:dyDescent="0.75">
      <c r="P71">
        <v>57</v>
      </c>
      <c r="Q71" s="9">
        <f t="shared" si="9"/>
        <v>9</v>
      </c>
      <c r="R71" s="9">
        <f t="shared" si="10"/>
        <v>3</v>
      </c>
      <c r="S71" s="14" t="str" cm="1">
        <f t="array" ref="S71">INDEX('Results-ConceptMap-2'!$I$15:$N$125,Q71+1,R71)</f>
        <v>* group[=].element[=].target.code = #Composition.section:lab-no-subsections.entry.resolve()</v>
      </c>
    </row>
    <row r="72" spans="16:19" x14ac:dyDescent="0.75">
      <c r="P72" s="9">
        <v>58</v>
      </c>
      <c r="Q72" s="9">
        <f t="shared" si="9"/>
        <v>9</v>
      </c>
      <c r="R72" s="9">
        <f t="shared" si="10"/>
        <v>4</v>
      </c>
      <c r="S72" s="14" t="str" cm="1">
        <f t="array" ref="S72">INDEX('Results-ConceptMap-2'!$I$15:$N$125,Q72+1,R72)</f>
        <v>* group[=].element[=].target.display = ##34###34#</v>
      </c>
    </row>
    <row r="73" spans="16:19" x14ac:dyDescent="0.75">
      <c r="P73">
        <v>59</v>
      </c>
      <c r="Q73" s="9">
        <f t="shared" si="9"/>
        <v>9</v>
      </c>
      <c r="R73" s="9">
        <f t="shared" si="10"/>
        <v>5</v>
      </c>
      <c r="S73" s="14" t="str" cm="1">
        <f t="array" ref="S73">INDEX('Results-ConceptMap-2'!$I$15:$N$125,Q73+1,R73)</f>
        <v>* group[=].element[=].target.equivalence = #relatedto</v>
      </c>
    </row>
    <row r="74" spans="16:19" ht="29.5" x14ac:dyDescent="0.75">
      <c r="P74" s="9">
        <v>60</v>
      </c>
      <c r="Q74" s="9">
        <f t="shared" si="9"/>
        <v>9</v>
      </c>
      <c r="R74" s="9">
        <f t="shared" si="10"/>
        <v>6</v>
      </c>
      <c r="S74" s="14" t="str" cm="1">
        <f t="array" ref="S74">INDEX('Results-ConceptMap-2'!$I$15:$N$125,Q74+1,R74)</f>
        <v>* group[=].element[=].target.comment = ##34#see details in the Observation group##34#</v>
      </c>
    </row>
    <row r="75" spans="16:19" x14ac:dyDescent="0.75">
      <c r="P75">
        <v>61</v>
      </c>
      <c r="Q75" s="9">
        <f t="shared" si="9"/>
        <v>10</v>
      </c>
      <c r="R75" s="9">
        <f t="shared" si="10"/>
        <v>1</v>
      </c>
      <c r="S75" s="14" t="str" cm="1">
        <f t="array" ref="S75">INDEX('Results-ConceptMap-2'!$I$15:$N$125,Q75+1,R75)</f>
        <v>* group[=].element[+].code = #Result.observation.code.name</v>
      </c>
    </row>
    <row r="76" spans="16:19" x14ac:dyDescent="0.75">
      <c r="P76" s="9">
        <v>62</v>
      </c>
      <c r="Q76" s="9">
        <f t="shared" si="9"/>
        <v>10</v>
      </c>
      <c r="R76" s="9">
        <f t="shared" si="10"/>
        <v>2</v>
      </c>
      <c r="S76" s="14" t="str" cm="1">
        <f t="array" ref="S76">INDEX('Results-ConceptMap-2'!$I$15:$N$125,Q76+1,R76)</f>
        <v>* group[=].element[=].display = ##34#A.5.2.3.1 Observation name##34#</v>
      </c>
    </row>
    <row r="77" spans="16:19" ht="29.5" x14ac:dyDescent="0.75">
      <c r="P77">
        <v>63</v>
      </c>
      <c r="Q77" s="9">
        <f t="shared" si="9"/>
        <v>10</v>
      </c>
      <c r="R77" s="9">
        <f t="shared" si="10"/>
        <v>3</v>
      </c>
      <c r="S77" s="14" t="str" cm="1">
        <f t="array" ref="S77">INDEX('Results-ConceptMap-2'!$I$15:$N$125,Q77+1,R77)</f>
        <v>* group[=].element[=].target.code = #Composition.section:lab-no-subsections.entry.resolve()</v>
      </c>
    </row>
    <row r="78" spans="16:19" x14ac:dyDescent="0.75">
      <c r="P78" s="9">
        <v>64</v>
      </c>
      <c r="Q78" s="9">
        <f t="shared" si="9"/>
        <v>10</v>
      </c>
      <c r="R78" s="9">
        <f t="shared" si="10"/>
        <v>4</v>
      </c>
      <c r="S78" s="14" t="str" cm="1">
        <f t="array" ref="S78">INDEX('Results-ConceptMap-2'!$I$15:$N$125,Q78+1,R78)</f>
        <v>* group[=].element[=].target.display = ##34###34#</v>
      </c>
    </row>
    <row r="79" spans="16:19" x14ac:dyDescent="0.75">
      <c r="P79">
        <v>65</v>
      </c>
      <c r="Q79" s="9">
        <f t="shared" si="9"/>
        <v>10</v>
      </c>
      <c r="R79" s="9">
        <f t="shared" si="10"/>
        <v>5</v>
      </c>
      <c r="S79" s="14" t="str" cm="1">
        <f t="array" ref="S79">INDEX('Results-ConceptMap-2'!$I$15:$N$125,Q79+1,R79)</f>
        <v>* group[=].element[=].target.equivalence = #relatedto</v>
      </c>
    </row>
    <row r="80" spans="16:19" ht="29.5" x14ac:dyDescent="0.75">
      <c r="P80" s="9">
        <v>66</v>
      </c>
      <c r="Q80" s="9">
        <f t="shared" ref="Q80:Q158" si="23">IF(MOD(P80,$Q$8)=0,P80/$Q$8-1,INT(P80/$Q$8))</f>
        <v>10</v>
      </c>
      <c r="R80" s="9">
        <f t="shared" ref="R80:R130" si="24">IF(MOD(P80,$Q$8)=0,$Q$8,MOD(P80,$Q$8))</f>
        <v>6</v>
      </c>
      <c r="S80" s="14" t="str" cm="1">
        <f t="array" ref="S80">INDEX('Results-ConceptMap-2'!$I$15:$N$125,Q80+1,R80)</f>
        <v>* group[=].element[=].target.comment = ##34#see details in the Observation group##34#</v>
      </c>
    </row>
    <row r="81" spans="16:19" x14ac:dyDescent="0.75">
      <c r="P81">
        <v>67</v>
      </c>
      <c r="Q81" s="9">
        <f t="shared" si="23"/>
        <v>11</v>
      </c>
      <c r="R81" s="9">
        <f t="shared" si="24"/>
        <v>1</v>
      </c>
      <c r="S81" s="14" t="str" cm="1">
        <f t="array" ref="S81">INDEX('Results-ConceptMap-2'!$I$15:$N$125,Q81+1,R81)</f>
        <v>* group[=].element[+].code = #Result.observation.code.originalName</v>
      </c>
    </row>
    <row r="82" spans="16:19" x14ac:dyDescent="0.75">
      <c r="P82" s="9">
        <v>68</v>
      </c>
      <c r="Q82" s="9">
        <f t="shared" si="23"/>
        <v>11</v>
      </c>
      <c r="R82" s="9">
        <f t="shared" si="24"/>
        <v>2</v>
      </c>
      <c r="S82" s="14" t="str" cm="1">
        <f t="array" ref="S82">INDEX('Results-ConceptMap-2'!$I$15:$N$125,Q82+1,R82)</f>
        <v>* group[=].element[=].display = ##34#A.5.2.3.2 Observation original name##34#</v>
      </c>
    </row>
    <row r="83" spans="16:19" ht="29.5" x14ac:dyDescent="0.75">
      <c r="P83">
        <v>69</v>
      </c>
      <c r="Q83" s="9">
        <f t="shared" si="23"/>
        <v>11</v>
      </c>
      <c r="R83" s="9">
        <f t="shared" si="24"/>
        <v>3</v>
      </c>
      <c r="S83" s="14" t="str" cm="1">
        <f t="array" ref="S83">INDEX('Results-ConceptMap-2'!$I$15:$N$125,Q83+1,R83)</f>
        <v>* group[=].element[=].target.code = #Composition.section:lab-no-subsections.entry.resolve()</v>
      </c>
    </row>
    <row r="84" spans="16:19" x14ac:dyDescent="0.75">
      <c r="P84" s="9">
        <v>70</v>
      </c>
      <c r="Q84" s="9">
        <f t="shared" si="23"/>
        <v>11</v>
      </c>
      <c r="R84" s="9">
        <f t="shared" si="24"/>
        <v>4</v>
      </c>
      <c r="S84" s="14" t="str" cm="1">
        <f t="array" ref="S84">INDEX('Results-ConceptMap-2'!$I$15:$N$125,Q84+1,R84)</f>
        <v>* group[=].element[=].target.display = ##34###34#</v>
      </c>
    </row>
    <row r="85" spans="16:19" x14ac:dyDescent="0.75">
      <c r="P85">
        <v>71</v>
      </c>
      <c r="Q85" s="9">
        <f t="shared" si="23"/>
        <v>11</v>
      </c>
      <c r="R85" s="9">
        <f t="shared" si="24"/>
        <v>5</v>
      </c>
      <c r="S85" s="14" t="str" cm="1">
        <f t="array" ref="S85">INDEX('Results-ConceptMap-2'!$I$15:$N$125,Q85+1,R85)</f>
        <v>* group[=].element[=].target.equivalence = #relatedto</v>
      </c>
    </row>
    <row r="86" spans="16:19" ht="29.5" x14ac:dyDescent="0.75">
      <c r="P86" s="9">
        <v>72</v>
      </c>
      <c r="Q86" s="9">
        <f t="shared" si="23"/>
        <v>11</v>
      </c>
      <c r="R86" s="9">
        <f t="shared" si="24"/>
        <v>6</v>
      </c>
      <c r="S86" s="14" t="str" cm="1">
        <f t="array" ref="S86">INDEX('Results-ConceptMap-2'!$I$15:$N$125,Q86+1,R86)</f>
        <v>* group[=].element[=].target.comment = ##34#see details in the Observation group##34#</v>
      </c>
    </row>
    <row r="87" spans="16:19" x14ac:dyDescent="0.75">
      <c r="P87">
        <v>73</v>
      </c>
      <c r="Q87" s="9">
        <f t="shared" si="23"/>
        <v>12</v>
      </c>
      <c r="R87" s="9">
        <f t="shared" si="24"/>
        <v>1</v>
      </c>
      <c r="S87" s="14" t="str" cm="1">
        <f t="array" ref="S87">INDEX('Results-ConceptMap-2'!$I$15:$N$125,Q87+1,R87)</f>
        <v>* group[=].element[+].code = #Result.observation.code.displayName</v>
      </c>
    </row>
    <row r="88" spans="16:19" x14ac:dyDescent="0.75">
      <c r="P88" s="9">
        <v>74</v>
      </c>
      <c r="Q88" s="9">
        <f t="shared" si="23"/>
        <v>12</v>
      </c>
      <c r="R88" s="9">
        <f t="shared" si="24"/>
        <v>2</v>
      </c>
      <c r="S88" s="14" t="str" cm="1">
        <f t="array" ref="S88">INDEX('Results-ConceptMap-2'!$I$15:$N$125,Q88+1,R88)</f>
        <v>* group[=].element[=].display = ##34#A.5.2.3.3 Observation display name##34#</v>
      </c>
    </row>
    <row r="89" spans="16:19" ht="29.5" x14ac:dyDescent="0.75">
      <c r="P89">
        <v>75</v>
      </c>
      <c r="Q89" s="9">
        <f t="shared" si="23"/>
        <v>12</v>
      </c>
      <c r="R89" s="9">
        <f t="shared" si="24"/>
        <v>3</v>
      </c>
      <c r="S89" s="14" t="str" cm="1">
        <f t="array" ref="S89">INDEX('Results-ConceptMap-2'!$I$15:$N$125,Q89+1,R89)</f>
        <v>* group[=].element[=].target.code = #Composition.section:lab-no-subsections.entry.resolve()</v>
      </c>
    </row>
    <row r="90" spans="16:19" x14ac:dyDescent="0.75">
      <c r="P90" s="9">
        <v>76</v>
      </c>
      <c r="Q90" s="9">
        <f t="shared" si="23"/>
        <v>12</v>
      </c>
      <c r="R90" s="9">
        <f t="shared" si="24"/>
        <v>4</v>
      </c>
      <c r="S90" s="14" t="str" cm="1">
        <f t="array" ref="S90">INDEX('Results-ConceptMap-2'!$I$15:$N$125,Q90+1,R90)</f>
        <v>* group[=].element[=].target.display = ##34###34#</v>
      </c>
    </row>
    <row r="91" spans="16:19" x14ac:dyDescent="0.75">
      <c r="P91">
        <v>77</v>
      </c>
      <c r="Q91" s="9">
        <f t="shared" si="23"/>
        <v>12</v>
      </c>
      <c r="R91" s="9">
        <f t="shared" si="24"/>
        <v>5</v>
      </c>
      <c r="S91" s="14" t="str" cm="1">
        <f t="array" ref="S91">INDEX('Results-ConceptMap-2'!$I$15:$N$125,Q91+1,R91)</f>
        <v>* group[=].element[=].target.equivalence = #relatedto</v>
      </c>
    </row>
    <row r="92" spans="16:19" ht="29.5" x14ac:dyDescent="0.75">
      <c r="P92" s="9">
        <v>78</v>
      </c>
      <c r="Q92" s="9">
        <f t="shared" si="23"/>
        <v>12</v>
      </c>
      <c r="R92" s="9">
        <f t="shared" si="24"/>
        <v>6</v>
      </c>
      <c r="S92" s="14" t="str" cm="1">
        <f t="array" ref="S92">INDEX('Results-ConceptMap-2'!$I$15:$N$125,Q92+1,R92)</f>
        <v>* group[=].element[=].target.comment = ##34#see details in the Observation group##34#</v>
      </c>
    </row>
    <row r="93" spans="16:19" x14ac:dyDescent="0.75">
      <c r="P93">
        <v>79</v>
      </c>
      <c r="Q93" s="9">
        <f t="shared" si="23"/>
        <v>13</v>
      </c>
      <c r="R93" s="9">
        <f t="shared" si="24"/>
        <v>1</v>
      </c>
      <c r="S93" s="14" t="str" cm="1">
        <f t="array" ref="S93">INDEX('Results-ConceptMap-2'!$I$15:$N$125,Q93+1,R93)</f>
        <v>* group[=].element[+].code = #Result.observation.method</v>
      </c>
    </row>
    <row r="94" spans="16:19" x14ac:dyDescent="0.75">
      <c r="P94" s="9">
        <v>80</v>
      </c>
      <c r="Q94" s="9">
        <f t="shared" si="23"/>
        <v>13</v>
      </c>
      <c r="R94" s="9">
        <f t="shared" si="24"/>
        <v>2</v>
      </c>
      <c r="S94" s="14" t="str" cm="1">
        <f t="array" ref="S94">INDEX('Results-ConceptMap-2'!$I$15:$N$125,Q94+1,R94)</f>
        <v>* group[=].element[=].display = ##34#A.5.2.4 Observation method##34#</v>
      </c>
    </row>
    <row r="95" spans="16:19" ht="29.5" x14ac:dyDescent="0.75">
      <c r="P95">
        <v>81</v>
      </c>
      <c r="Q95" s="9">
        <f t="shared" si="23"/>
        <v>13</v>
      </c>
      <c r="R95" s="9">
        <f t="shared" si="24"/>
        <v>3</v>
      </c>
      <c r="S95" s="14" t="str" cm="1">
        <f t="array" ref="S95">INDEX('Results-ConceptMap-2'!$I$15:$N$125,Q95+1,R95)</f>
        <v>* group[=].element[=].target.code = #Composition.section:lab-no-subsections.entry.resolve()</v>
      </c>
    </row>
    <row r="96" spans="16:19" x14ac:dyDescent="0.75">
      <c r="P96" s="9">
        <v>82</v>
      </c>
      <c r="Q96" s="9">
        <f t="shared" si="23"/>
        <v>13</v>
      </c>
      <c r="R96" s="9">
        <f t="shared" si="24"/>
        <v>4</v>
      </c>
      <c r="S96" s="14" t="str" cm="1">
        <f t="array" ref="S96">INDEX('Results-ConceptMap-2'!$I$15:$N$125,Q96+1,R96)</f>
        <v>* group[=].element[=].target.display = ##34###34#</v>
      </c>
    </row>
    <row r="97" spans="16:19" x14ac:dyDescent="0.75">
      <c r="P97">
        <v>83</v>
      </c>
      <c r="Q97" s="9">
        <f t="shared" si="23"/>
        <v>13</v>
      </c>
      <c r="R97" s="9">
        <f t="shared" si="24"/>
        <v>5</v>
      </c>
      <c r="S97" s="14" t="str" cm="1">
        <f t="array" ref="S97">INDEX('Results-ConceptMap-2'!$I$15:$N$125,Q97+1,R97)</f>
        <v>* group[=].element[=].target.equivalence = #relatedto</v>
      </c>
    </row>
    <row r="98" spans="16:19" ht="29.5" x14ac:dyDescent="0.75">
      <c r="P98" s="9">
        <v>84</v>
      </c>
      <c r="Q98" s="9">
        <f t="shared" si="23"/>
        <v>13</v>
      </c>
      <c r="R98" s="9">
        <f t="shared" si="24"/>
        <v>6</v>
      </c>
      <c r="S98" s="14" t="str" cm="1">
        <f t="array" ref="S98">INDEX('Results-ConceptMap-2'!$I$15:$N$125,Q98+1,R98)</f>
        <v>* group[=].element[=].target.comment = ##34#see details in the Observation group##34#</v>
      </c>
    </row>
    <row r="99" spans="16:19" x14ac:dyDescent="0.75">
      <c r="P99">
        <v>85</v>
      </c>
      <c r="Q99" s="9">
        <f t="shared" si="23"/>
        <v>14</v>
      </c>
      <c r="R99" s="9">
        <f t="shared" si="24"/>
        <v>1</v>
      </c>
      <c r="S99" s="14" t="str" cm="1">
        <f t="array" ref="S99">INDEX('Results-ConceptMap-2'!$I$15:$N$125,Q99+1,R99)</f>
        <v>* group[=].element[+].code = #Result.observation.device</v>
      </c>
    </row>
    <row r="100" spans="16:19" x14ac:dyDescent="0.75">
      <c r="P100" s="9">
        <v>86</v>
      </c>
      <c r="Q100" s="9">
        <f t="shared" si="23"/>
        <v>14</v>
      </c>
      <c r="R100" s="9">
        <f t="shared" si="24"/>
        <v>2</v>
      </c>
      <c r="S100" s="14" t="str" cm="1">
        <f t="array" ref="S100">INDEX('Results-ConceptMap-2'!$I$15:$N$125,Q100+1,R100)</f>
        <v>* group[=].element[=].display = ##34#A.5.2.5 Observation device##34#</v>
      </c>
    </row>
    <row r="101" spans="16:19" ht="29.5" x14ac:dyDescent="0.75">
      <c r="P101">
        <v>87</v>
      </c>
      <c r="Q101" s="9">
        <f t="shared" si="23"/>
        <v>14</v>
      </c>
      <c r="R101" s="9">
        <f t="shared" si="24"/>
        <v>3</v>
      </c>
      <c r="S101" s="14" t="str" cm="1">
        <f t="array" ref="S101">INDEX('Results-ConceptMap-2'!$I$15:$N$125,Q101+1,R101)</f>
        <v>* group[=].element[=].target.code = #Composition.section:lab-no-subsections.entry.resolve()</v>
      </c>
    </row>
    <row r="102" spans="16:19" x14ac:dyDescent="0.75">
      <c r="P102" s="9">
        <v>88</v>
      </c>
      <c r="Q102" s="9">
        <f t="shared" si="23"/>
        <v>14</v>
      </c>
      <c r="R102" s="9">
        <f t="shared" si="24"/>
        <v>4</v>
      </c>
      <c r="S102" s="14" t="str" cm="1">
        <f t="array" ref="S102">INDEX('Results-ConceptMap-2'!$I$15:$N$125,Q102+1,R102)</f>
        <v>* group[=].element[=].target.display = ##34###34#</v>
      </c>
    </row>
    <row r="103" spans="16:19" x14ac:dyDescent="0.75">
      <c r="P103">
        <v>89</v>
      </c>
      <c r="Q103" s="9">
        <f t="shared" si="23"/>
        <v>14</v>
      </c>
      <c r="R103" s="9">
        <f t="shared" si="24"/>
        <v>5</v>
      </c>
      <c r="S103" s="14" t="str" cm="1">
        <f t="array" ref="S103">INDEX('Results-ConceptMap-2'!$I$15:$N$125,Q103+1,R103)</f>
        <v>* group[=].element[=].target.equivalence = #relatedto</v>
      </c>
    </row>
    <row r="104" spans="16:19" ht="29.5" x14ac:dyDescent="0.75">
      <c r="P104" s="9">
        <v>90</v>
      </c>
      <c r="Q104" s="9">
        <f t="shared" si="23"/>
        <v>14</v>
      </c>
      <c r="R104" s="9">
        <f t="shared" si="24"/>
        <v>6</v>
      </c>
      <c r="S104" s="14" t="str" cm="1">
        <f t="array" ref="S104">INDEX('Results-ConceptMap-2'!$I$15:$N$125,Q104+1,R104)</f>
        <v>* group[=].element[=].target.comment = ##34#see details in the Observation group##34#</v>
      </c>
    </row>
    <row r="105" spans="16:19" x14ac:dyDescent="0.75">
      <c r="P105">
        <v>91</v>
      </c>
      <c r="Q105" s="9">
        <f t="shared" si="23"/>
        <v>15</v>
      </c>
      <c r="R105" s="9">
        <f t="shared" si="24"/>
        <v>1</v>
      </c>
      <c r="S105" s="14" t="str" cm="1">
        <f t="array" ref="S105">INDEX('Results-ConceptMap-2'!$I$15:$N$125,Q105+1,R105)</f>
        <v>* group[=].element[+].code = #Result.observation.order</v>
      </c>
    </row>
    <row r="106" spans="16:19" x14ac:dyDescent="0.75">
      <c r="P106" s="9">
        <v>92</v>
      </c>
      <c r="Q106" s="9">
        <f t="shared" si="23"/>
        <v>15</v>
      </c>
      <c r="R106" s="9">
        <f t="shared" si="24"/>
        <v>2</v>
      </c>
      <c r="S106" s="14" t="str" cm="1">
        <f t="array" ref="S106">INDEX('Results-ConceptMap-2'!$I$15:$N$125,Q106+1,R106)</f>
        <v>* group[=].element[=].display = ##34#A.5.2.8 Order##34#</v>
      </c>
    </row>
    <row r="107" spans="16:19" ht="29.5" x14ac:dyDescent="0.75">
      <c r="P107">
        <v>93</v>
      </c>
      <c r="Q107" s="9">
        <f t="shared" si="23"/>
        <v>15</v>
      </c>
      <c r="R107" s="9">
        <f t="shared" si="24"/>
        <v>3</v>
      </c>
      <c r="S107" s="14" t="str" cm="1">
        <f t="array" ref="S107">INDEX('Results-ConceptMap-2'!$I$15:$N$125,Q107+1,R107)</f>
        <v>* group[=].element[=].target.code = #Composition.section:lab-no-subsections.entry.resolve()</v>
      </c>
    </row>
    <row r="108" spans="16:19" x14ac:dyDescent="0.75">
      <c r="P108" s="9">
        <v>94</v>
      </c>
      <c r="Q108" s="9">
        <f t="shared" si="23"/>
        <v>15</v>
      </c>
      <c r="R108" s="9">
        <f t="shared" si="24"/>
        <v>4</v>
      </c>
      <c r="S108" s="14" t="str" cm="1">
        <f t="array" ref="S108">INDEX('Results-ConceptMap-2'!$I$15:$N$125,Q108+1,R108)</f>
        <v>* group[=].element[=].target.display = ##34###34#</v>
      </c>
    </row>
    <row r="109" spans="16:19" x14ac:dyDescent="0.75">
      <c r="P109">
        <v>95</v>
      </c>
      <c r="Q109" s="9">
        <f t="shared" si="23"/>
        <v>15</v>
      </c>
      <c r="R109" s="9">
        <f t="shared" si="24"/>
        <v>5</v>
      </c>
      <c r="S109" s="14" t="str" cm="1">
        <f t="array" ref="S109">INDEX('Results-ConceptMap-2'!$I$15:$N$125,Q109+1,R109)</f>
        <v>* group[=].element[=].target.equivalence = #relatedto</v>
      </c>
    </row>
    <row r="110" spans="16:19" ht="29.5" x14ac:dyDescent="0.75">
      <c r="P110" s="9">
        <v>96</v>
      </c>
      <c r="Q110" s="9">
        <f t="shared" si="23"/>
        <v>15</v>
      </c>
      <c r="R110" s="9">
        <f t="shared" si="24"/>
        <v>6</v>
      </c>
      <c r="S110" s="14" t="str" cm="1">
        <f t="array" ref="S110">INDEX('Results-ConceptMap-2'!$I$15:$N$125,Q110+1,R110)</f>
        <v>* group[=].element[=].target.comment = ##34#see details in the Observation group##34#</v>
      </c>
    </row>
    <row r="111" spans="16:19" x14ac:dyDescent="0.75">
      <c r="P111">
        <v>97</v>
      </c>
      <c r="Q111" s="9">
        <f t="shared" si="23"/>
        <v>16</v>
      </c>
      <c r="R111" s="9">
        <f t="shared" si="24"/>
        <v>1</v>
      </c>
      <c r="S111" s="14" t="str" cm="1">
        <f t="array" ref="S111">INDEX('Results-ConceptMap-2'!$I$15:$N$125,Q111+1,R111)</f>
        <v>* group[=].element[+].code = #Result.observation.performer</v>
      </c>
    </row>
    <row r="112" spans="16:19" x14ac:dyDescent="0.75">
      <c r="P112" s="9">
        <v>98</v>
      </c>
      <c r="Q112" s="9">
        <f t="shared" si="23"/>
        <v>16</v>
      </c>
      <c r="R112" s="9">
        <f t="shared" si="24"/>
        <v>2</v>
      </c>
      <c r="S112" s="14" t="str" cm="1">
        <f t="array" ref="S112">INDEX('Results-ConceptMap-2'!$I$15:$N$125,Q112+1,R112)</f>
        <v>* group[=].element[=].display = ##34#A.5.2.9 Performer##34#</v>
      </c>
    </row>
    <row r="113" spans="16:19" ht="29.5" x14ac:dyDescent="0.75">
      <c r="P113">
        <v>99</v>
      </c>
      <c r="Q113" s="9">
        <f t="shared" si="23"/>
        <v>16</v>
      </c>
      <c r="R113" s="9">
        <f t="shared" si="24"/>
        <v>3</v>
      </c>
      <c r="S113" s="14" t="str" cm="1">
        <f t="array" ref="S113">INDEX('Results-ConceptMap-2'!$I$15:$N$125,Q113+1,R113)</f>
        <v>* group[=].element[=].target.code = #Composition.section:lab-no-subsections.entry.resolve()</v>
      </c>
    </row>
    <row r="114" spans="16:19" x14ac:dyDescent="0.75">
      <c r="P114" s="9">
        <v>100</v>
      </c>
      <c r="Q114" s="9">
        <f t="shared" si="23"/>
        <v>16</v>
      </c>
      <c r="R114" s="9">
        <f t="shared" si="24"/>
        <v>4</v>
      </c>
      <c r="S114" s="14" t="str" cm="1">
        <f t="array" ref="S114">INDEX('Results-ConceptMap-2'!$I$15:$N$125,Q114+1,R114)</f>
        <v>* group[=].element[=].target.display = ##34###34#</v>
      </c>
    </row>
    <row r="115" spans="16:19" x14ac:dyDescent="0.75">
      <c r="P115">
        <v>101</v>
      </c>
      <c r="Q115" s="9">
        <f t="shared" si="23"/>
        <v>16</v>
      </c>
      <c r="R115" s="9">
        <f t="shared" si="24"/>
        <v>5</v>
      </c>
      <c r="S115" s="14" t="str" cm="1">
        <f t="array" ref="S115">INDEX('Results-ConceptMap-2'!$I$15:$N$125,Q115+1,R115)</f>
        <v>* group[=].element[=].target.equivalence = #relatedto</v>
      </c>
    </row>
    <row r="116" spans="16:19" ht="29.5" x14ac:dyDescent="0.75">
      <c r="P116" s="9">
        <v>102</v>
      </c>
      <c r="Q116" s="9">
        <f t="shared" si="23"/>
        <v>16</v>
      </c>
      <c r="R116" s="9">
        <f t="shared" si="24"/>
        <v>6</v>
      </c>
      <c r="S116" s="14" t="str" cm="1">
        <f t="array" ref="S116">INDEX('Results-ConceptMap-2'!$I$15:$N$125,Q116+1,R116)</f>
        <v>* group[=].element[=].target.comment = ##34#see details in the Observation group##34#</v>
      </c>
    </row>
    <row r="117" spans="16:19" x14ac:dyDescent="0.75">
      <c r="P117">
        <v>103</v>
      </c>
      <c r="Q117" s="9">
        <f t="shared" si="23"/>
        <v>17</v>
      </c>
      <c r="R117" s="9">
        <f t="shared" si="24"/>
        <v>1</v>
      </c>
      <c r="S117" s="14" t="str" cm="1">
        <f t="array" ref="S117">INDEX('Results-ConceptMap-2'!$I$15:$N$125,Q117+1,R117)</f>
        <v>* group[=].element[+].code = #Result.observation.reporter</v>
      </c>
    </row>
    <row r="118" spans="16:19" x14ac:dyDescent="0.75">
      <c r="P118" s="9">
        <v>104</v>
      </c>
      <c r="Q118" s="9">
        <f t="shared" si="23"/>
        <v>17</v>
      </c>
      <c r="R118" s="9">
        <f t="shared" si="24"/>
        <v>2</v>
      </c>
      <c r="S118" s="14" t="str" cm="1">
        <f t="array" ref="S118">INDEX('Results-ConceptMap-2'!$I$15:$N$125,Q118+1,R118)</f>
        <v>* group[=].element[=].display = ##34#A.5.2.10 Reporter##34#</v>
      </c>
    </row>
    <row r="119" spans="16:19" ht="29.5" x14ac:dyDescent="0.75">
      <c r="P119">
        <v>105</v>
      </c>
      <c r="Q119" s="9">
        <f t="shared" si="23"/>
        <v>17</v>
      </c>
      <c r="R119" s="9">
        <f t="shared" si="24"/>
        <v>3</v>
      </c>
      <c r="S119" s="14" t="str" cm="1">
        <f t="array" ref="S119">INDEX('Results-ConceptMap-2'!$I$15:$N$125,Q119+1,R119)</f>
        <v>* group[=].element[=].target.code = #Composition.section:lab-no-subsections.entry.resolve()</v>
      </c>
    </row>
    <row r="120" spans="16:19" x14ac:dyDescent="0.75">
      <c r="P120" s="9">
        <v>106</v>
      </c>
      <c r="Q120" s="9">
        <f t="shared" si="23"/>
        <v>17</v>
      </c>
      <c r="R120" s="9">
        <f t="shared" si="24"/>
        <v>4</v>
      </c>
      <c r="S120" s="14" t="str" cm="1">
        <f t="array" ref="S120">INDEX('Results-ConceptMap-2'!$I$15:$N$125,Q120+1,R120)</f>
        <v>* group[=].element[=].target.display = ##34###34#</v>
      </c>
    </row>
    <row r="121" spans="16:19" x14ac:dyDescent="0.75">
      <c r="P121">
        <v>107</v>
      </c>
      <c r="Q121" s="9">
        <f t="shared" si="23"/>
        <v>17</v>
      </c>
      <c r="R121" s="9">
        <f t="shared" si="24"/>
        <v>5</v>
      </c>
      <c r="S121" s="14" t="str" cm="1">
        <f t="array" ref="S121">INDEX('Results-ConceptMap-2'!$I$15:$N$125,Q121+1,R121)</f>
        <v>* group[=].element[=].target.equivalence = #relatedto</v>
      </c>
    </row>
    <row r="122" spans="16:19" ht="29.5" x14ac:dyDescent="0.75">
      <c r="P122" s="9">
        <v>108</v>
      </c>
      <c r="Q122" s="9">
        <f t="shared" si="23"/>
        <v>17</v>
      </c>
      <c r="R122" s="9">
        <f t="shared" si="24"/>
        <v>6</v>
      </c>
      <c r="S122" s="14" t="str" cm="1">
        <f t="array" ref="S122">INDEX('Results-ConceptMap-2'!$I$15:$N$125,Q122+1,R122)</f>
        <v>* group[=].element[=].target.comment = ##34#see details in the Observation group##34#</v>
      </c>
    </row>
    <row r="123" spans="16:19" x14ac:dyDescent="0.75">
      <c r="P123">
        <v>109</v>
      </c>
      <c r="Q123" s="9">
        <f t="shared" si="23"/>
        <v>18</v>
      </c>
      <c r="R123" s="9">
        <f t="shared" si="24"/>
        <v>1</v>
      </c>
      <c r="S123" s="14" t="str" cm="1">
        <f t="array" ref="S123">INDEX('Results-ConceptMap-2'!$I$15:$N$125,Q123+1,R123)</f>
        <v>* group[=].element[+].code = #Result.observation.result</v>
      </c>
    </row>
    <row r="124" spans="16:19" x14ac:dyDescent="0.75">
      <c r="P124" s="9">
        <v>110</v>
      </c>
      <c r="Q124" s="9">
        <f t="shared" si="23"/>
        <v>18</v>
      </c>
      <c r="R124" s="9">
        <f t="shared" si="24"/>
        <v>2</v>
      </c>
      <c r="S124" s="14" t="str" cm="1">
        <f t="array" ref="S124">INDEX('Results-ConceptMap-2'!$I$15:$N$125,Q124+1,R124)</f>
        <v>* group[=].element[=].display = ##34#A.5.2.11 Observation result##34#</v>
      </c>
    </row>
    <row r="125" spans="16:19" ht="29.5" x14ac:dyDescent="0.75">
      <c r="P125">
        <v>111</v>
      </c>
      <c r="Q125" s="9">
        <f t="shared" si="23"/>
        <v>18</v>
      </c>
      <c r="R125" s="9">
        <f t="shared" si="24"/>
        <v>3</v>
      </c>
      <c r="S125" s="14" t="str" cm="1">
        <f t="array" ref="S125">INDEX('Results-ConceptMap-2'!$I$15:$N$125,Q125+1,R125)</f>
        <v>* group[=].element[=].target.code = #Composition.section:lab-no-subsections.entry.resolve()</v>
      </c>
    </row>
    <row r="126" spans="16:19" x14ac:dyDescent="0.75">
      <c r="P126" s="9">
        <v>112</v>
      </c>
      <c r="Q126" s="9">
        <f t="shared" si="23"/>
        <v>18</v>
      </c>
      <c r="R126" s="9">
        <f t="shared" si="24"/>
        <v>4</v>
      </c>
      <c r="S126" s="14" t="str" cm="1">
        <f t="array" ref="S126">INDEX('Results-ConceptMap-2'!$I$15:$N$125,Q126+1,R126)</f>
        <v>* group[=].element[=].target.display = ##34###34#</v>
      </c>
    </row>
    <row r="127" spans="16:19" x14ac:dyDescent="0.75">
      <c r="P127">
        <v>113</v>
      </c>
      <c r="Q127" s="9">
        <f t="shared" si="23"/>
        <v>18</v>
      </c>
      <c r="R127" s="9">
        <f t="shared" si="24"/>
        <v>5</v>
      </c>
      <c r="S127" s="14" t="str" cm="1">
        <f t="array" ref="S127">INDEX('Results-ConceptMap-2'!$I$15:$N$125,Q127+1,R127)</f>
        <v>* group[=].element[=].target.equivalence = #relatedto</v>
      </c>
    </row>
    <row r="128" spans="16:19" ht="29.5" x14ac:dyDescent="0.75">
      <c r="P128" s="9">
        <v>114</v>
      </c>
      <c r="Q128" s="9">
        <f t="shared" si="23"/>
        <v>18</v>
      </c>
      <c r="R128" s="9">
        <f t="shared" si="24"/>
        <v>6</v>
      </c>
      <c r="S128" s="14" t="str" cm="1">
        <f t="array" ref="S128">INDEX('Results-ConceptMap-2'!$I$15:$N$125,Q128+1,R128)</f>
        <v>* group[=].element[=].target.comment = ##34#see details in the Observation group##34#</v>
      </c>
    </row>
    <row r="129" spans="16:19" x14ac:dyDescent="0.75">
      <c r="P129">
        <v>115</v>
      </c>
      <c r="Q129" s="9">
        <f t="shared" si="23"/>
        <v>19</v>
      </c>
      <c r="R129" s="9">
        <f t="shared" si="24"/>
        <v>1</v>
      </c>
      <c r="S129" s="14" t="str" cm="1">
        <f t="array" ref="S129">INDEX('Results-ConceptMap-2'!$I$15:$N$125,Q129+1,R129)</f>
        <v>* group[=].element[+].code = #Result.observation.interpretation</v>
      </c>
    </row>
    <row r="130" spans="16:19" x14ac:dyDescent="0.75">
      <c r="P130" s="9">
        <v>116</v>
      </c>
      <c r="Q130" s="9">
        <f t="shared" si="23"/>
        <v>19</v>
      </c>
      <c r="R130" s="9">
        <f t="shared" si="24"/>
        <v>2</v>
      </c>
      <c r="S130" s="14" t="str" cm="1">
        <f t="array" ref="S130">INDEX('Results-ConceptMap-2'!$I$15:$N$125,Q130+1,R130)</f>
        <v>* group[=].element[=].display = ##34#A.5.2.12 Observation interpretation##34#</v>
      </c>
    </row>
    <row r="131" spans="16:19" ht="29.5" x14ac:dyDescent="0.75">
      <c r="P131">
        <v>117</v>
      </c>
      <c r="Q131" s="9">
        <f t="shared" si="23"/>
        <v>19</v>
      </c>
      <c r="R131" s="9">
        <f t="shared" ref="R131:R147" si="25">IF(MOD(P131,$Q$8)=0,$Q$8,MOD(P131,$Q$8))</f>
        <v>3</v>
      </c>
      <c r="S131" s="14" t="str" cm="1">
        <f t="array" ref="S131">INDEX('Results-ConceptMap-2'!$I$15:$N$125,Q131+1,R131)</f>
        <v>* group[=].element[=].target.code = #Composition.section:lab-no-subsections.entry.resolve()</v>
      </c>
    </row>
    <row r="132" spans="16:19" x14ac:dyDescent="0.75">
      <c r="P132" s="9">
        <v>118</v>
      </c>
      <c r="Q132" s="9">
        <f t="shared" si="23"/>
        <v>19</v>
      </c>
      <c r="R132" s="9">
        <f t="shared" si="25"/>
        <v>4</v>
      </c>
      <c r="S132" s="14" t="str" cm="1">
        <f t="array" ref="S132">INDEX('Results-ConceptMap-2'!$I$15:$N$125,Q132+1,R132)</f>
        <v>* group[=].element[=].target.display = ##34###34#</v>
      </c>
    </row>
    <row r="133" spans="16:19" x14ac:dyDescent="0.75">
      <c r="P133">
        <v>119</v>
      </c>
      <c r="Q133" s="9">
        <f t="shared" si="23"/>
        <v>19</v>
      </c>
      <c r="R133" s="9">
        <f t="shared" si="25"/>
        <v>5</v>
      </c>
      <c r="S133" s="14" t="str" cm="1">
        <f t="array" ref="S133">INDEX('Results-ConceptMap-2'!$I$15:$N$125,Q133+1,R133)</f>
        <v>* group[=].element[=].target.equivalence = #relatedto</v>
      </c>
    </row>
    <row r="134" spans="16:19" ht="29.5" x14ac:dyDescent="0.75">
      <c r="P134" s="9">
        <v>120</v>
      </c>
      <c r="Q134" s="9">
        <f t="shared" si="23"/>
        <v>19</v>
      </c>
      <c r="R134" s="9">
        <f t="shared" si="25"/>
        <v>6</v>
      </c>
      <c r="S134" s="14" t="str" cm="1">
        <f t="array" ref="S134">INDEX('Results-ConceptMap-2'!$I$15:$N$125,Q134+1,R134)</f>
        <v>* group[=].element[=].target.comment = ##34#see details in the Observation group##34#</v>
      </c>
    </row>
    <row r="135" spans="16:19" x14ac:dyDescent="0.75">
      <c r="P135">
        <v>121</v>
      </c>
      <c r="Q135" s="9">
        <f t="shared" si="23"/>
        <v>20</v>
      </c>
      <c r="R135" s="9">
        <f t="shared" si="25"/>
        <v>1</v>
      </c>
      <c r="S135" s="14" t="str" cm="1">
        <f t="array" ref="S135">INDEX('Results-ConceptMap-2'!$I$15:$N$125,Q135+1,R135)</f>
        <v>* group[=].element[+].code = #Result.observation.description</v>
      </c>
    </row>
    <row r="136" spans="16:19" x14ac:dyDescent="0.75">
      <c r="P136" s="9">
        <v>122</v>
      </c>
      <c r="Q136" s="9">
        <f t="shared" si="23"/>
        <v>20</v>
      </c>
      <c r="R136" s="9">
        <f t="shared" si="25"/>
        <v>2</v>
      </c>
      <c r="S136" s="14" t="str" cm="1">
        <f t="array" ref="S136">INDEX('Results-ConceptMap-2'!$I$15:$N$125,Q136+1,R136)</f>
        <v>* group[=].element[=].display = ##34#A.5.2.13 Result description##34#</v>
      </c>
    </row>
    <row r="137" spans="16:19" ht="29.5" x14ac:dyDescent="0.75">
      <c r="P137">
        <v>123</v>
      </c>
      <c r="Q137" s="9">
        <f t="shared" si="23"/>
        <v>20</v>
      </c>
      <c r="R137" s="9">
        <f t="shared" si="25"/>
        <v>3</v>
      </c>
      <c r="S137" s="14" t="str" cm="1">
        <f t="array" ref="S137">INDEX('Results-ConceptMap-2'!$I$15:$N$125,Q137+1,R137)</f>
        <v>* group[=].element[=].target.code = #Composition.section:lab-no-subsections.entry.resolve()</v>
      </c>
    </row>
    <row r="138" spans="16:19" x14ac:dyDescent="0.75">
      <c r="P138" s="9">
        <v>124</v>
      </c>
      <c r="Q138" s="9">
        <f t="shared" si="23"/>
        <v>20</v>
      </c>
      <c r="R138" s="9">
        <f t="shared" si="25"/>
        <v>4</v>
      </c>
      <c r="S138" s="14" t="str" cm="1">
        <f t="array" ref="S138">INDEX('Results-ConceptMap-2'!$I$15:$N$125,Q138+1,R138)</f>
        <v>* group[=].element[=].target.display = ##34###34#</v>
      </c>
    </row>
    <row r="139" spans="16:19" x14ac:dyDescent="0.75">
      <c r="P139">
        <v>125</v>
      </c>
      <c r="Q139" s="9">
        <f t="shared" si="23"/>
        <v>20</v>
      </c>
      <c r="R139" s="9">
        <f t="shared" si="25"/>
        <v>5</v>
      </c>
      <c r="S139" s="14" t="str" cm="1">
        <f t="array" ref="S139">INDEX('Results-ConceptMap-2'!$I$15:$N$125,Q139+1,R139)</f>
        <v>* group[=].element[=].target.equivalence = #relatedto</v>
      </c>
    </row>
    <row r="140" spans="16:19" ht="29.5" x14ac:dyDescent="0.75">
      <c r="P140" s="9">
        <v>126</v>
      </c>
      <c r="Q140" s="9">
        <f t="shared" si="23"/>
        <v>20</v>
      </c>
      <c r="R140" s="9">
        <f t="shared" si="25"/>
        <v>6</v>
      </c>
      <c r="S140" s="14" t="str" cm="1">
        <f t="array" ref="S140">INDEX('Results-ConceptMap-2'!$I$15:$N$125,Q140+1,R140)</f>
        <v>* group[=].element[=].target.comment = ##34#see details in the Observation group##34#</v>
      </c>
    </row>
    <row r="141" spans="16:19" x14ac:dyDescent="0.75">
      <c r="P141">
        <v>127</v>
      </c>
      <c r="Q141" s="9">
        <f t="shared" si="23"/>
        <v>21</v>
      </c>
      <c r="R141" s="9">
        <f t="shared" si="25"/>
        <v>1</v>
      </c>
      <c r="S141" s="14" t="str" cm="1">
        <f t="array" ref="S141">INDEX('Results-ConceptMap-2'!$I$15:$N$125,Q141+1,R141)</f>
        <v>* group[=].element[+].code = #Result.observation.accreditationStatus</v>
      </c>
    </row>
    <row r="142" spans="16:19" x14ac:dyDescent="0.75">
      <c r="P142" s="9">
        <v>128</v>
      </c>
      <c r="Q142" s="9">
        <f t="shared" si="23"/>
        <v>21</v>
      </c>
      <c r="R142" s="9">
        <f t="shared" si="25"/>
        <v>2</v>
      </c>
      <c r="S142" s="14" t="str" cm="1">
        <f t="array" ref="S142">INDEX('Results-ConceptMap-2'!$I$15:$N$125,Q142+1,R142)</f>
        <v>* group[=].element[=].display = ##34#A.5.2.14 Accreditation status##34#</v>
      </c>
    </row>
    <row r="143" spans="16:19" ht="29.5" x14ac:dyDescent="0.75">
      <c r="P143">
        <v>129</v>
      </c>
      <c r="Q143" s="9">
        <f t="shared" si="23"/>
        <v>21</v>
      </c>
      <c r="R143" s="9">
        <f t="shared" si="25"/>
        <v>3</v>
      </c>
      <c r="S143" s="14" t="str" cm="1">
        <f t="array" ref="S143">INDEX('Results-ConceptMap-2'!$I$15:$N$125,Q143+1,R143)</f>
        <v>* group[=].element[=].target.code = #Composition.section:lab-no-subsections.entry.resolve()</v>
      </c>
    </row>
    <row r="144" spans="16:19" x14ac:dyDescent="0.75">
      <c r="P144" s="9">
        <v>130</v>
      </c>
      <c r="Q144" s="9">
        <f t="shared" si="23"/>
        <v>21</v>
      </c>
      <c r="R144" s="9">
        <f t="shared" si="25"/>
        <v>4</v>
      </c>
      <c r="S144" s="14" t="str" cm="1">
        <f t="array" ref="S144">INDEX('Results-ConceptMap-2'!$I$15:$N$125,Q144+1,R144)</f>
        <v>* group[=].element[=].target.display = ##34###34#</v>
      </c>
    </row>
    <row r="145" spans="16:19" x14ac:dyDescent="0.75">
      <c r="P145">
        <v>131</v>
      </c>
      <c r="Q145" s="9">
        <f t="shared" si="23"/>
        <v>21</v>
      </c>
      <c r="R145" s="9">
        <f t="shared" si="25"/>
        <v>5</v>
      </c>
      <c r="S145" s="14" t="str" cm="1">
        <f t="array" ref="S145">INDEX('Results-ConceptMap-2'!$I$15:$N$125,Q145+1,R145)</f>
        <v>* group[=].element[=].target.equivalence = #relatedto</v>
      </c>
    </row>
    <row r="146" spans="16:19" ht="29.5" x14ac:dyDescent="0.75">
      <c r="P146">
        <v>132</v>
      </c>
      <c r="Q146" s="9">
        <f t="shared" si="23"/>
        <v>21</v>
      </c>
      <c r="R146" s="9">
        <f t="shared" si="25"/>
        <v>6</v>
      </c>
      <c r="S146" s="14" t="str" cm="1">
        <f t="array" ref="S146">INDEX('Results-ConceptMap-2'!$I$15:$N$125,Q146+1,R146)</f>
        <v>* group[=].element[=].target.comment = ##34#see details in the Observation group##34#</v>
      </c>
    </row>
    <row r="147" spans="16:19" x14ac:dyDescent="0.75">
      <c r="P147" s="9">
        <v>133</v>
      </c>
      <c r="Q147" s="9">
        <f t="shared" si="23"/>
        <v>22</v>
      </c>
      <c r="R147" s="9">
        <f t="shared" si="25"/>
        <v>1</v>
      </c>
      <c r="S147" s="14" cm="1">
        <f t="array" ref="S147">INDEX('Results-ConceptMap-2'!$I$15:$N$125,Q147+1,R147)</f>
        <v>0</v>
      </c>
    </row>
    <row r="148" spans="16:19" x14ac:dyDescent="0.75">
      <c r="P148">
        <v>134</v>
      </c>
      <c r="Q148" s="9">
        <f t="shared" si="23"/>
        <v>22</v>
      </c>
      <c r="R148" s="9">
        <f t="shared" ref="R148:R158" si="26">IF(MOD(P148,$Q$8)=0,$Q$8,MOD(P148,$Q$8))</f>
        <v>2</v>
      </c>
      <c r="S148" s="14" cm="1">
        <f t="array" ref="S148">INDEX('Results-ConceptMap-2'!$I$15:$N$125,Q148+1,R148)</f>
        <v>0</v>
      </c>
    </row>
    <row r="149" spans="16:19" x14ac:dyDescent="0.75">
      <c r="P149" s="9">
        <v>135</v>
      </c>
      <c r="Q149" s="9">
        <f t="shared" si="23"/>
        <v>22</v>
      </c>
      <c r="R149" s="9">
        <f t="shared" si="26"/>
        <v>3</v>
      </c>
      <c r="S149" s="14" cm="1">
        <f t="array" ref="S149">INDEX('Results-ConceptMap-2'!$I$15:$N$125,Q149+1,R149)</f>
        <v>0</v>
      </c>
    </row>
    <row r="150" spans="16:19" x14ac:dyDescent="0.75">
      <c r="P150">
        <v>136</v>
      </c>
      <c r="Q150" s="9">
        <f t="shared" si="23"/>
        <v>22</v>
      </c>
      <c r="R150" s="9">
        <f t="shared" si="26"/>
        <v>4</v>
      </c>
      <c r="S150" s="14" cm="1">
        <f t="array" ref="S150">INDEX('Results-ConceptMap-2'!$I$15:$N$125,Q150+1,R150)</f>
        <v>0</v>
      </c>
    </row>
    <row r="151" spans="16:19" x14ac:dyDescent="0.75">
      <c r="P151" s="9">
        <v>137</v>
      </c>
      <c r="Q151" s="9">
        <f t="shared" si="23"/>
        <v>22</v>
      </c>
      <c r="R151" s="9">
        <f t="shared" si="26"/>
        <v>5</v>
      </c>
      <c r="S151" s="14" cm="1">
        <f t="array" ref="S151">INDEX('Results-ConceptMap-2'!$I$15:$N$125,Q151+1,R151)</f>
        <v>0</v>
      </c>
    </row>
    <row r="152" spans="16:19" x14ac:dyDescent="0.75">
      <c r="P152">
        <v>138</v>
      </c>
      <c r="Q152" s="9">
        <f t="shared" si="23"/>
        <v>22</v>
      </c>
      <c r="R152" s="9">
        <f t="shared" si="26"/>
        <v>6</v>
      </c>
      <c r="S152" s="14" cm="1">
        <f t="array" ref="S152">INDEX('Results-ConceptMap-2'!$I$15:$N$125,Q152+1,R152)</f>
        <v>0</v>
      </c>
    </row>
    <row r="153" spans="16:19" x14ac:dyDescent="0.75">
      <c r="P153" s="9">
        <v>139</v>
      </c>
      <c r="Q153" s="9">
        <f t="shared" si="23"/>
        <v>23</v>
      </c>
      <c r="R153" s="9">
        <f t="shared" si="26"/>
        <v>1</v>
      </c>
      <c r="S153" s="14" cm="1">
        <f t="array" ref="S153">INDEX('Results-ConceptMap-2'!$I$15:$N$125,Q153+1,R153)</f>
        <v>0</v>
      </c>
    </row>
    <row r="154" spans="16:19" x14ac:dyDescent="0.75">
      <c r="P154">
        <v>140</v>
      </c>
      <c r="Q154" s="9">
        <f t="shared" si="23"/>
        <v>23</v>
      </c>
      <c r="R154" s="9">
        <f t="shared" si="26"/>
        <v>2</v>
      </c>
      <c r="S154" s="14" cm="1">
        <f t="array" ref="S154">INDEX('Results-ConceptMap-2'!$I$15:$N$125,Q154+1,R154)</f>
        <v>0</v>
      </c>
    </row>
    <row r="155" spans="16:19" x14ac:dyDescent="0.75">
      <c r="P155" s="9">
        <v>141</v>
      </c>
      <c r="Q155" s="9">
        <f t="shared" si="23"/>
        <v>23</v>
      </c>
      <c r="R155" s="9">
        <f t="shared" si="26"/>
        <v>3</v>
      </c>
      <c r="S155" s="14" cm="1">
        <f t="array" ref="S155">INDEX('Results-ConceptMap-2'!$I$15:$N$125,Q155+1,R155)</f>
        <v>0</v>
      </c>
    </row>
    <row r="156" spans="16:19" x14ac:dyDescent="0.75">
      <c r="P156">
        <v>142</v>
      </c>
      <c r="Q156" s="9">
        <f t="shared" si="23"/>
        <v>23</v>
      </c>
      <c r="R156" s="9">
        <f t="shared" si="26"/>
        <v>4</v>
      </c>
      <c r="S156" s="14" cm="1">
        <f t="array" ref="S156">INDEX('Results-ConceptMap-2'!$I$15:$N$125,Q156+1,R156)</f>
        <v>0</v>
      </c>
    </row>
    <row r="157" spans="16:19" x14ac:dyDescent="0.75">
      <c r="P157" s="9">
        <v>143</v>
      </c>
      <c r="Q157" s="9">
        <f t="shared" si="23"/>
        <v>23</v>
      </c>
      <c r="R157" s="9">
        <f t="shared" si="26"/>
        <v>5</v>
      </c>
      <c r="S157" s="14" cm="1">
        <f t="array" ref="S157">INDEX('Results-ConceptMap-2'!$I$15:$N$125,Q157+1,R157)</f>
        <v>0</v>
      </c>
    </row>
    <row r="158" spans="16:19" x14ac:dyDescent="0.75">
      <c r="P158">
        <v>144</v>
      </c>
      <c r="Q158" s="9">
        <f t="shared" si="23"/>
        <v>23</v>
      </c>
      <c r="R158" s="9">
        <f t="shared" si="26"/>
        <v>6</v>
      </c>
      <c r="S158" s="14" cm="1">
        <f t="array" ref="S158">INDEX('Results-ConceptMap-2'!$I$15:$N$125,Q158+1,R158)</f>
        <v>0</v>
      </c>
    </row>
  </sheetData>
  <mergeCells count="2">
    <mergeCell ref="E6:G6"/>
    <mergeCell ref="E7:G7"/>
  </mergeCells>
  <hyperlinks>
    <hyperlink ref="E6" r:id="rId1" display="http://hl7.eu/fhir/laboratory/StructureDefinition/Author" xr:uid="{C4E518BB-BD69-41C4-B7AF-534E3D07C2E9}"/>
    <hyperlink ref="E7" r:id="rId2" xr:uid="{4E460196-C19D-493D-B9BF-CCC4FF323F26}"/>
  </hyperlinks>
  <pageMargins left="0.7" right="0.7" top="0.75" bottom="0.75" header="0.3" footer="0.3"/>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149D81-AD2D-4F0A-805A-1DBD3AE5846C}">
  <sheetPr codeName="Foglio62">
    <tabColor theme="0" tint="-0.499984740745262"/>
  </sheetPr>
  <dimension ref="A2:S153"/>
  <sheetViews>
    <sheetView topLeftCell="J31" workbookViewId="0">
      <selection activeCell="S40" sqref="S40"/>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73" t="s">
        <v>34</v>
      </c>
      <c r="C3" s="87" t="str">
        <f>'Results-ConceptMap-1'!C3</f>
        <v>Result2Fhir</v>
      </c>
      <c r="D3" s="73" t="s">
        <v>688</v>
      </c>
      <c r="E3" s="84"/>
    </row>
    <row r="4" spans="1:19" ht="15.5" thickBot="1" x14ac:dyDescent="0.9">
      <c r="B4" s="73" t="s">
        <v>19</v>
      </c>
      <c r="C4" s="87" t="str">
        <f>'Results-ConceptMap-1'!C4</f>
        <v>ConceptMap-eu-result2FHIR</v>
      </c>
      <c r="D4" s="73" t="s">
        <v>689</v>
      </c>
      <c r="E4"/>
    </row>
    <row r="5" spans="1:19" ht="15.5" thickBot="1" x14ac:dyDescent="0.9">
      <c r="B5" s="73" t="s">
        <v>13</v>
      </c>
      <c r="C5" s="87" t="str">
        <f>'Results-ConceptMap-1'!C5</f>
        <v>eHN Result to this guide Map</v>
      </c>
      <c r="D5" s="73"/>
      <c r="E5" s="10"/>
    </row>
    <row r="6" spans="1:19" ht="15.5" thickBot="1" x14ac:dyDescent="0.9">
      <c r="B6" s="73" t="s">
        <v>35</v>
      </c>
      <c r="C6" s="87">
        <f>'Results-ConceptMap-1'!C6</f>
        <v>0</v>
      </c>
      <c r="D6" s="73" t="s">
        <v>685</v>
      </c>
      <c r="E6" s="112" t="str">
        <f>'Results-ConceptMap-1'!E6</f>
        <v>http://hl7.eu/fhir/laboratory/StructureDefinition/Result</v>
      </c>
      <c r="F6" s="111"/>
      <c r="G6" s="111"/>
    </row>
    <row r="7" spans="1:19" ht="15.5" thickBot="1" x14ac:dyDescent="0.9">
      <c r="B7" s="73" t="s">
        <v>18</v>
      </c>
      <c r="C7" s="87">
        <f>'Results-ConceptMap-1'!C7</f>
        <v>0</v>
      </c>
      <c r="D7" s="73" t="s">
        <v>686</v>
      </c>
      <c r="E7" s="112" t="s">
        <v>850</v>
      </c>
      <c r="F7" s="111"/>
      <c r="G7" s="111"/>
    </row>
    <row r="8" spans="1:19" ht="45" thickBot="1" x14ac:dyDescent="0.9">
      <c r="B8" s="73" t="s">
        <v>679</v>
      </c>
      <c r="C8" s="87" t="str">
        <f>'Results-ConceptMap-1'!C8</f>
        <v>eHN Result Model to this guide Map</v>
      </c>
      <c r="D8" s="73"/>
      <c r="E8" s="10"/>
      <c r="I8" s="14" t="s">
        <v>647</v>
      </c>
      <c r="J8" s="14" t="s">
        <v>648</v>
      </c>
      <c r="K8" s="14" t="s">
        <v>649</v>
      </c>
      <c r="L8" s="14" t="s">
        <v>650</v>
      </c>
      <c r="M8" s="9" t="s">
        <v>651</v>
      </c>
      <c r="P8" s="69" t="s">
        <v>652</v>
      </c>
      <c r="Q8" s="69">
        <v>6</v>
      </c>
    </row>
    <row r="9" spans="1:19" ht="30.25" thickBot="1" x14ac:dyDescent="0.9">
      <c r="B9" s="73" t="s">
        <v>680</v>
      </c>
      <c r="C9" s="87" t="str">
        <f>'Results-ConceptMap-1'!C9</f>
        <v>It shows how the Result data set defined by the EU eHN guidelines is mapped into this guide</v>
      </c>
      <c r="D9" s="73"/>
      <c r="E9"/>
      <c r="I9" s="14"/>
      <c r="J9" s="9"/>
      <c r="K9" s="9"/>
      <c r="L9" s="9"/>
      <c r="M9" s="9"/>
    </row>
    <row r="10" spans="1:19" x14ac:dyDescent="0.75">
      <c r="B10" s="73"/>
      <c r="C10" s="87"/>
      <c r="D10" s="73"/>
      <c r="E10"/>
      <c r="I10" s="14"/>
      <c r="J10" s="9"/>
      <c r="K10" s="9"/>
      <c r="L10" s="9"/>
      <c r="M10" s="9"/>
    </row>
    <row r="11" spans="1:19" x14ac:dyDescent="0.75">
      <c r="E11" s="10"/>
      <c r="I11" s="25" t="s">
        <v>653</v>
      </c>
      <c r="J11" s="70" t="s">
        <v>654</v>
      </c>
      <c r="K11" s="25" t="s">
        <v>655</v>
      </c>
      <c r="L11" s="70" t="s">
        <v>656</v>
      </c>
      <c r="M11" s="71" t="s">
        <v>657</v>
      </c>
      <c r="N11" s="74" t="s">
        <v>644</v>
      </c>
    </row>
    <row r="12" spans="1:19" x14ac:dyDescent="0.75">
      <c r="E12" s="72"/>
      <c r="I12" s="14"/>
      <c r="J12" s="9"/>
      <c r="K12" s="9"/>
      <c r="L12" s="9"/>
      <c r="M12" s="9"/>
    </row>
    <row r="13" spans="1:19" x14ac:dyDescent="0.75">
      <c r="D13" s="14"/>
      <c r="E13" s="9"/>
      <c r="F13" s="71" t="s">
        <v>657</v>
      </c>
      <c r="G13" s="74" t="s">
        <v>644</v>
      </c>
      <c r="H13" s="74"/>
      <c r="I13" s="14"/>
      <c r="J13" s="9"/>
      <c r="K13" s="71"/>
      <c r="L13" s="71"/>
      <c r="M13" s="71"/>
      <c r="N13" s="74"/>
    </row>
    <row r="14" spans="1:19" x14ac:dyDescent="0.75">
      <c r="A14" s="23"/>
      <c r="B14" s="8" t="str">
        <f>'A.5 Results'!B5</f>
        <v>Result</v>
      </c>
      <c r="C14" s="9"/>
      <c r="D14" s="4" t="s">
        <v>851</v>
      </c>
      <c r="E14" s="8"/>
      <c r="F14" s="75"/>
      <c r="G14" s="75"/>
      <c r="I14" s="14"/>
      <c r="J14" s="9"/>
      <c r="K14" s="9"/>
      <c r="L14" s="9"/>
      <c r="M14" s="71"/>
      <c r="N14" s="74"/>
    </row>
    <row r="15" spans="1:19" ht="44.25" customHeight="1" x14ac:dyDescent="0.75">
      <c r="A15" s="23"/>
      <c r="B15" s="9" t="str">
        <f>'A.5 Results'!B8</f>
        <v>narrative</v>
      </c>
      <c r="C15" s="9" t="str">
        <f>'A.5 Results'!C8</f>
        <v>A.5.1 Laboratory report narrative</v>
      </c>
      <c r="D15" s="14"/>
      <c r="E15" s="9"/>
      <c r="F15" s="75" t="s">
        <v>660</v>
      </c>
      <c r="G15" s="75"/>
      <c r="H15" s="76"/>
      <c r="I15" s="14" t="str">
        <f>"* group[=].element[+].code = #"&amp;$B$14&amp;"."&amp;B15</f>
        <v>* group[=].element[+].code = #Result.narrative</v>
      </c>
      <c r="J15" s="14" t="str">
        <f t="shared" ref="J15" si="0">"* group[=].element[=].display = ##34#"&amp;C15&amp;"##34#"</f>
        <v>* group[=].element[=].display = ##34#A.5.1 Laboratory report narrative##34#</v>
      </c>
      <c r="K15" s="14" t="str">
        <f>IF(F15="unmatched","//-- unmatched",IF(D15="","* group[=].element[=].target.code = #"&amp;$D$14,"* group[=].element[=].target.code = #"&amp;$D$14&amp;"."&amp;D15))</f>
        <v>//-- unmatched</v>
      </c>
      <c r="L15" s="14" t="str">
        <f t="shared" ref="L15" si="1">IF(F15="unmatched","//-- unmatched","* group[=].element[=].target.display = ##34#"&amp;E15&amp;"##34#")</f>
        <v>//-- unmatched</v>
      </c>
      <c r="M15" s="14" t="str">
        <f t="shared" ref="M15" si="2">"* group[=].element[=].target.equivalence = #"&amp;F15</f>
        <v>* group[=].element[=].target.equivalence = #unmatched</v>
      </c>
      <c r="N15" s="14" t="str">
        <f t="shared" ref="N15" si="3">IF(G15&lt;&gt;"",CONCATENATE("* group[=].element[=].target.comment = ","##34#",G15,"##34#"),"")</f>
        <v/>
      </c>
      <c r="P15" s="9">
        <v>1</v>
      </c>
      <c r="Q15" s="9">
        <f>IF(MOD(P15,$Q$8)=0,P15/$Q$8-1,INT(P15/$Q$8))</f>
        <v>0</v>
      </c>
      <c r="R15" s="9">
        <f>IF(MOD(P15,$Q$8)=0,$Q$8,MOD(P15,$Q$8))</f>
        <v>1</v>
      </c>
      <c r="S15" s="14" t="str" cm="1">
        <f t="array" ref="S15">INDEX('Results-ConceptMap-3'!$I$15:$N$122,Q15+1,R15)</f>
        <v>* group[=].element[+].code = #Result.narrative</v>
      </c>
    </row>
    <row r="16" spans="1:19" ht="44.25" x14ac:dyDescent="0.75">
      <c r="A16" s="23"/>
      <c r="B16" s="9" t="str">
        <f>'A.5 Results'!B9</f>
        <v>narrative.report</v>
      </c>
      <c r="C16" s="9" t="str">
        <f>'A.5 Results'!C9</f>
        <v>A.5.1.1 Narrative report</v>
      </c>
      <c r="D16" s="14"/>
      <c r="E16" s="9"/>
      <c r="F16" s="75" t="s">
        <v>660</v>
      </c>
      <c r="G16" s="75"/>
      <c r="H16" s="76"/>
      <c r="I16" s="14" t="str">
        <f t="shared" ref="I16:I18" si="4">"* group[=].element[+].code = #"&amp;$B$14&amp;"."&amp;B16</f>
        <v>* group[=].element[+].code = #Result.narrative.report</v>
      </c>
      <c r="J16" s="14" t="str">
        <f t="shared" ref="J16:J18" si="5">"* group[=].element[=].display = ##34#"&amp;C16&amp;"##34#"</f>
        <v>* group[=].element[=].display = ##34#A.5.1.1 Narrative report##34#</v>
      </c>
      <c r="K16" s="14" t="str">
        <f t="shared" ref="K16:K18" si="6">IF(F16="unmatched","//-- unmatched",IF(D16="","* group[=].element[=].target.code = #"&amp;$D$14,"* group[=].element[=].target.code = #"&amp;$D$14&amp;"."&amp;D16))</f>
        <v>//-- unmatched</v>
      </c>
      <c r="L16" s="14" t="str">
        <f t="shared" ref="L16:L18" si="7">IF(F16="unmatched","//-- unmatched","* group[=].element[=].target.display = ##34#"&amp;E16&amp;"##34#")</f>
        <v>//-- unmatched</v>
      </c>
      <c r="M16" s="14" t="str">
        <f t="shared" ref="M16:M18" si="8">"* group[=].element[=].target.equivalence = #"&amp;F16</f>
        <v>* group[=].element[=].target.equivalence = #unmatched</v>
      </c>
      <c r="N16" s="14" t="str">
        <f t="shared" ref="N16:N18" si="9">IF(G16&lt;&gt;"",CONCATENATE("* group[=].element[=].target.comment = ","##34#",G16,"##34#"),"")</f>
        <v/>
      </c>
      <c r="P16" s="9">
        <v>2</v>
      </c>
      <c r="Q16" s="9">
        <f t="shared" ref="Q16:Q59" si="10">IF(MOD(P16,$Q$8)=0,P16/$Q$8-1,INT(P16/$Q$8))</f>
        <v>0</v>
      </c>
      <c r="R16" s="9">
        <f t="shared" ref="R16:R59" si="11">IF(MOD(P16,$Q$8)=0,$Q$8,MOD(P16,$Q$8))</f>
        <v>2</v>
      </c>
      <c r="S16" s="14" t="str" cm="1">
        <f t="array" ref="S16">INDEX('Results-ConceptMap-3'!$I$15:$N$122,Q16+1,R16)</f>
        <v>* group[=].element[=].display = ##34#A.5.1 Laboratory report narrative##34#</v>
      </c>
    </row>
    <row r="17" spans="1:19" ht="44.25" x14ac:dyDescent="0.75">
      <c r="A17" s="23"/>
      <c r="B17" s="9" t="str">
        <f>'A.5 Results'!B10</f>
        <v>narrative.notes</v>
      </c>
      <c r="C17" s="9" t="str">
        <f>'A.5 Results'!C10</f>
        <v>A.5.1.2 Comments, interpretation and recommendations</v>
      </c>
      <c r="D17" s="14"/>
      <c r="E17" s="9"/>
      <c r="F17" s="75" t="s">
        <v>660</v>
      </c>
      <c r="G17" s="75"/>
      <c r="H17" s="76"/>
      <c r="I17" s="14" t="str">
        <f t="shared" si="4"/>
        <v>* group[=].element[+].code = #Result.narrative.notes</v>
      </c>
      <c r="J17" s="14" t="str">
        <f t="shared" si="5"/>
        <v>* group[=].element[=].display = ##34#A.5.1.2 Comments, interpretation and recommendations##34#</v>
      </c>
      <c r="K17" s="14" t="str">
        <f t="shared" si="6"/>
        <v>//-- unmatched</v>
      </c>
      <c r="L17" s="14" t="str">
        <f t="shared" si="7"/>
        <v>//-- unmatched</v>
      </c>
      <c r="M17" s="14" t="str">
        <f t="shared" si="8"/>
        <v>* group[=].element[=].target.equivalence = #unmatched</v>
      </c>
      <c r="N17" s="14" t="str">
        <f t="shared" si="9"/>
        <v/>
      </c>
      <c r="P17" s="9">
        <v>3</v>
      </c>
      <c r="Q17" s="9">
        <f t="shared" si="10"/>
        <v>0</v>
      </c>
      <c r="R17" s="9">
        <f t="shared" si="11"/>
        <v>3</v>
      </c>
      <c r="S17" s="14" t="str" cm="1">
        <f t="array" ref="S17">INDEX('Results-ConceptMap-3'!$I$15:$N$122,Q17+1,R17)</f>
        <v>//-- unmatched</v>
      </c>
    </row>
    <row r="18" spans="1:19" ht="44.25" x14ac:dyDescent="0.75">
      <c r="A18" s="23"/>
      <c r="B18" s="9" t="str">
        <f>'A.5 Results'!B11</f>
        <v>observation</v>
      </c>
      <c r="C18" s="9" t="str">
        <f>'A.5 Results'!C11</f>
        <v>A.5.2 Observation details</v>
      </c>
      <c r="D18" s="14"/>
      <c r="E18" s="9"/>
      <c r="F18" s="75" t="s">
        <v>658</v>
      </c>
      <c r="G18" s="75"/>
      <c r="H18" s="76"/>
      <c r="I18" s="14" t="str">
        <f t="shared" si="4"/>
        <v>* group[=].element[+].code = #Result.observation</v>
      </c>
      <c r="J18" s="14" t="str">
        <f t="shared" si="5"/>
        <v>* group[=].element[=].display = ##34#A.5.2 Observation details##34#</v>
      </c>
      <c r="K18" s="14" t="str">
        <f t="shared" si="6"/>
        <v>* group[=].element[=].target.code = #Observation</v>
      </c>
      <c r="L18" s="14" t="str">
        <f t="shared" si="7"/>
        <v>* group[=].element[=].target.display = ##34###34#</v>
      </c>
      <c r="M18" s="14" t="str">
        <f t="shared" si="8"/>
        <v>* group[=].element[=].target.equivalence = #equivalent</v>
      </c>
      <c r="N18" s="14" t="str">
        <f t="shared" si="9"/>
        <v/>
      </c>
      <c r="P18" s="9">
        <v>4</v>
      </c>
      <c r="Q18" s="9">
        <f t="shared" si="10"/>
        <v>0</v>
      </c>
      <c r="R18" s="9">
        <f t="shared" si="11"/>
        <v>4</v>
      </c>
      <c r="S18" s="14" t="str" cm="1">
        <f t="array" ref="S18">INDEX('Results-ConceptMap-3'!$I$15:$N$122,Q18+1,R18)</f>
        <v>//-- unmatched</v>
      </c>
    </row>
    <row r="19" spans="1:19" ht="44.25" x14ac:dyDescent="0.75">
      <c r="A19" s="23"/>
      <c r="B19" s="9" t="str">
        <f>'A.5 Results'!B12</f>
        <v>observation.dateTime</v>
      </c>
      <c r="C19" s="9" t="str">
        <f>'A.5 Results'!C12</f>
        <v>A.5.2.1 Observation date</v>
      </c>
      <c r="D19" s="14" t="s">
        <v>852</v>
      </c>
      <c r="E19" s="9"/>
      <c r="F19" s="75" t="s">
        <v>658</v>
      </c>
      <c r="G19" s="75"/>
      <c r="H19" s="76"/>
      <c r="I19" s="14" t="str">
        <f t="shared" ref="I19:I34" si="12">"* group[=].element[+].code = #"&amp;$B$14&amp;"."&amp;B19</f>
        <v>* group[=].element[+].code = #Result.observation.dateTime</v>
      </c>
      <c r="J19" s="14" t="str">
        <f t="shared" ref="J19:J34" si="13">"* group[=].element[=].display = ##34#"&amp;C19&amp;"##34#"</f>
        <v>* group[=].element[=].display = ##34#A.5.2.1 Observation date##34#</v>
      </c>
      <c r="K19" s="14" t="str">
        <f t="shared" ref="K19:K34" si="14">IF(F19="unmatched","//-- unmatched",IF(D19="","* group[=].element[=].target.code = #"&amp;$D$14,"* group[=].element[=].target.code = #"&amp;$D$14&amp;"."&amp;D19))</f>
        <v>* group[=].element[=].target.code = #Observation.effective[x]</v>
      </c>
      <c r="L19" s="14" t="str">
        <f t="shared" ref="L19:L34" si="15">IF(F19="unmatched","//-- unmatched","* group[=].element[=].target.display = ##34#"&amp;E19&amp;"##34#")</f>
        <v>* group[=].element[=].target.display = ##34###34#</v>
      </c>
      <c r="M19" s="14" t="str">
        <f t="shared" ref="M19:M34" si="16">"* group[=].element[=].target.equivalence = #"&amp;F19</f>
        <v>* group[=].element[=].target.equivalence = #equivalent</v>
      </c>
      <c r="N19" s="14" t="str">
        <f t="shared" ref="N19:N34" si="17">IF(G19&lt;&gt;"",CONCATENATE("* group[=].element[=].target.comment = ","##34#",G19,"##34#"),"")</f>
        <v/>
      </c>
      <c r="P19" s="9">
        <v>5</v>
      </c>
      <c r="Q19" s="9">
        <f t="shared" si="10"/>
        <v>0</v>
      </c>
      <c r="R19" s="9">
        <f t="shared" si="11"/>
        <v>5</v>
      </c>
      <c r="S19" s="14" t="str" cm="1">
        <f t="array" ref="S19">INDEX('Results-ConceptMap-3'!$I$15:$N$122,Q19+1,R19)</f>
        <v>* group[=].element[=].target.equivalence = #unmatched</v>
      </c>
    </row>
    <row r="20" spans="1:19" ht="59" x14ac:dyDescent="0.75">
      <c r="A20" s="23"/>
      <c r="B20" s="9" t="str">
        <f>'A.5 Results'!B13</f>
        <v>observation.code</v>
      </c>
      <c r="C20" s="9" t="str">
        <f>'A.5 Results'!C13</f>
        <v>A.5.2.3 Observation code</v>
      </c>
      <c r="D20" s="14" t="s">
        <v>858</v>
      </c>
      <c r="E20" s="9"/>
      <c r="F20" s="75" t="s">
        <v>659</v>
      </c>
      <c r="G20" s="75" t="s">
        <v>866</v>
      </c>
      <c r="H20" s="76"/>
      <c r="I20" s="14" t="str">
        <f t="shared" si="12"/>
        <v>* group[=].element[+].code = #Result.observation.code</v>
      </c>
      <c r="J20" s="14" t="str">
        <f t="shared" si="13"/>
        <v>* group[=].element[=].display = ##34#A.5.2.3 Observation code##34#</v>
      </c>
      <c r="K20" s="14" t="str">
        <f t="shared" si="14"/>
        <v>* group[=].element[=].target.code = #Observation.code.coding.code</v>
      </c>
      <c r="L20" s="14" t="str">
        <f t="shared" si="15"/>
        <v>* group[=].element[=].target.display = ##34###34#</v>
      </c>
      <c r="M20" s="14" t="str">
        <f t="shared" si="16"/>
        <v>* group[=].element[=].target.equivalence = #relatedto</v>
      </c>
      <c r="N20" s="14" t="str">
        <f t="shared" si="17"/>
        <v>* group[=].element[=].target.comment = ##34#depends on the type of test##34#</v>
      </c>
      <c r="P20" s="9">
        <v>6</v>
      </c>
      <c r="Q20" s="9">
        <f t="shared" si="10"/>
        <v>0</v>
      </c>
      <c r="R20" s="9">
        <f t="shared" si="11"/>
        <v>6</v>
      </c>
      <c r="S20" s="14" t="str" cm="1">
        <f t="array" ref="S20">INDEX('Results-ConceptMap-3'!$I$15:$N$122,Q20+1,R20)</f>
        <v/>
      </c>
    </row>
    <row r="21" spans="1:19" ht="73.75" x14ac:dyDescent="0.75">
      <c r="A21" s="23"/>
      <c r="B21" s="9" t="str">
        <f>'A.5 Results'!B13</f>
        <v>observation.code</v>
      </c>
      <c r="C21" s="9" t="str">
        <f>'A.5 Results'!C13</f>
        <v>A.5.2.3 Observation code</v>
      </c>
      <c r="D21" s="14" t="s">
        <v>865</v>
      </c>
      <c r="E21" s="9"/>
      <c r="F21" s="75" t="s">
        <v>659</v>
      </c>
      <c r="G21" s="75" t="s">
        <v>866</v>
      </c>
      <c r="H21" s="76"/>
      <c r="I21" s="14" t="str">
        <f t="shared" si="12"/>
        <v>* group[=].element[+].code = #Result.observation.code</v>
      </c>
      <c r="J21" s="14" t="str">
        <f t="shared" si="13"/>
        <v>* group[=].element[=].display = ##34#A.5.2.3 Observation code##34#</v>
      </c>
      <c r="K21" s="14" t="str">
        <f t="shared" si="14"/>
        <v>* group[=].element[=].target.code = #Observation.component.code.coding.code</v>
      </c>
      <c r="L21" s="14" t="str">
        <f t="shared" si="15"/>
        <v>* group[=].element[=].target.display = ##34###34#</v>
      </c>
      <c r="M21" s="14" t="str">
        <f t="shared" si="16"/>
        <v>* group[=].element[=].target.equivalence = #relatedto</v>
      </c>
      <c r="N21" s="14" t="str">
        <f t="shared" si="17"/>
        <v>* group[=].element[=].target.comment = ##34#depends on the type of test##34#</v>
      </c>
      <c r="P21" s="9">
        <v>7</v>
      </c>
      <c r="Q21" s="9">
        <f t="shared" si="10"/>
        <v>1</v>
      </c>
      <c r="R21" s="9">
        <f t="shared" si="11"/>
        <v>1</v>
      </c>
      <c r="S21" s="14" t="str" cm="1">
        <f t="array" ref="S21">INDEX('Results-ConceptMap-3'!$I$15:$N$122,Q21+1,R21)</f>
        <v>* group[=].element[+].code = #Result.narrative.report</v>
      </c>
    </row>
    <row r="22" spans="1:19" ht="88.5" x14ac:dyDescent="0.75">
      <c r="A22" s="23"/>
      <c r="B22" s="9" t="str">
        <f>'A.5 Results'!B14</f>
        <v>observation.code.name</v>
      </c>
      <c r="C22" s="9" t="str">
        <f>'A.5 Results'!C14</f>
        <v>A.5.2.3.1 Observation name</v>
      </c>
      <c r="D22" s="14" t="s">
        <v>859</v>
      </c>
      <c r="E22" s="9"/>
      <c r="F22" s="75" t="s">
        <v>659</v>
      </c>
      <c r="G22" s="82" t="s">
        <v>867</v>
      </c>
      <c r="H22" s="76"/>
      <c r="I22" s="14" t="str">
        <f t="shared" si="12"/>
        <v>* group[=].element[+].code = #Result.observation.code.name</v>
      </c>
      <c r="J22" s="14" t="str">
        <f t="shared" si="13"/>
        <v>* group[=].element[=].display = ##34#A.5.2.3.1 Observation name##34#</v>
      </c>
      <c r="K22" s="14" t="str">
        <f t="shared" si="14"/>
        <v>* group[=].element[=].target.code = #Observation.code.coding.display</v>
      </c>
      <c r="L22" s="14" t="str">
        <f t="shared" si="15"/>
        <v>* group[=].element[=].target.display = ##34###34#</v>
      </c>
      <c r="M22" s="14" t="str">
        <f t="shared" si="16"/>
        <v>* group[=].element[=].target.equivalence = #relatedto</v>
      </c>
      <c r="N22" s="14" t="str">
        <f t="shared" si="17"/>
        <v>* group[=].element[=].target.comment = ##34#if the designation of the original code.
If the 'code' is in the Observation.code##34#</v>
      </c>
      <c r="P22" s="9">
        <v>8</v>
      </c>
      <c r="Q22" s="9">
        <f t="shared" si="10"/>
        <v>1</v>
      </c>
      <c r="R22" s="9">
        <f t="shared" si="11"/>
        <v>2</v>
      </c>
      <c r="S22" s="14" t="str" cm="1">
        <f t="array" ref="S22">INDEX('Results-ConceptMap-3'!$I$15:$N$122,Q22+1,R22)</f>
        <v>* group[=].element[=].display = ##34#A.5.1.1 Narrative report##34#</v>
      </c>
    </row>
    <row r="23" spans="1:19" ht="59" x14ac:dyDescent="0.75">
      <c r="A23" s="23"/>
      <c r="B23" s="9" t="str">
        <f>'A.5 Results'!B15</f>
        <v>observation.code.originalName</v>
      </c>
      <c r="C23" s="9" t="str">
        <f>'A.5 Results'!C15</f>
        <v>A.5.2.3.2 Observation original name</v>
      </c>
      <c r="D23" s="14" t="s">
        <v>857</v>
      </c>
      <c r="E23" s="9"/>
      <c r="F23" s="75" t="s">
        <v>658</v>
      </c>
      <c r="G23" s="75" t="s">
        <v>868</v>
      </c>
      <c r="H23" s="76"/>
      <c r="I23" s="14" t="str">
        <f t="shared" si="12"/>
        <v>* group[=].element[+].code = #Result.observation.code.originalName</v>
      </c>
      <c r="J23" s="14" t="str">
        <f t="shared" si="13"/>
        <v>* group[=].element[=].display = ##34#A.5.2.3.2 Observation original name##34#</v>
      </c>
      <c r="K23" s="14" t="str">
        <f t="shared" si="14"/>
        <v>* group[=].element[=].target.code = #Observation.code.text</v>
      </c>
      <c r="L23" s="14" t="str">
        <f t="shared" si="15"/>
        <v>* group[=].element[=].target.display = ##34###34#</v>
      </c>
      <c r="M23" s="14" t="str">
        <f t="shared" si="16"/>
        <v>* group[=].element[=].target.equivalence = #equivalent</v>
      </c>
      <c r="N23" s="14" t="str">
        <f t="shared" si="17"/>
        <v>* group[=].element[=].target.comment = ##34#If the 'code' is in the Observation.code##34#</v>
      </c>
      <c r="P23" s="9">
        <v>9</v>
      </c>
      <c r="Q23" s="9">
        <f t="shared" si="10"/>
        <v>1</v>
      </c>
      <c r="R23" s="9">
        <f t="shared" si="11"/>
        <v>3</v>
      </c>
      <c r="S23" s="14" t="str" cm="1">
        <f t="array" ref="S23">INDEX('Results-ConceptMap-3'!$I$15:$N$122,Q23+1,R23)</f>
        <v>//-- unmatched</v>
      </c>
    </row>
    <row r="24" spans="1:19" ht="59" x14ac:dyDescent="0.75">
      <c r="A24" s="23"/>
      <c r="B24" s="9" t="str">
        <f>'A.5 Results'!B16</f>
        <v>observation.code.displayName</v>
      </c>
      <c r="C24" s="9" t="str">
        <f>'A.5 Results'!C16</f>
        <v>A.5.2.3.3 Observation display name</v>
      </c>
      <c r="D24" s="14" t="s">
        <v>859</v>
      </c>
      <c r="E24" s="9"/>
      <c r="F24" s="75" t="s">
        <v>658</v>
      </c>
      <c r="G24" s="75" t="s">
        <v>868</v>
      </c>
      <c r="H24" s="76"/>
      <c r="I24" s="14" t="str">
        <f t="shared" si="12"/>
        <v>* group[=].element[+].code = #Result.observation.code.displayName</v>
      </c>
      <c r="J24" s="14" t="str">
        <f t="shared" si="13"/>
        <v>* group[=].element[=].display = ##34#A.5.2.3.3 Observation display name##34#</v>
      </c>
      <c r="K24" s="14" t="str">
        <f t="shared" si="14"/>
        <v>* group[=].element[=].target.code = #Observation.code.coding.display</v>
      </c>
      <c r="L24" s="14" t="str">
        <f t="shared" si="15"/>
        <v>* group[=].element[=].target.display = ##34###34#</v>
      </c>
      <c r="M24" s="14" t="str">
        <f t="shared" si="16"/>
        <v>* group[=].element[=].target.equivalence = #equivalent</v>
      </c>
      <c r="N24" s="14" t="str">
        <f t="shared" si="17"/>
        <v>* group[=].element[=].target.comment = ##34#If the 'code' is in the Observation.code##34#</v>
      </c>
      <c r="P24" s="9">
        <v>10</v>
      </c>
      <c r="Q24" s="9">
        <f t="shared" si="10"/>
        <v>1</v>
      </c>
      <c r="R24" s="9">
        <f t="shared" si="11"/>
        <v>4</v>
      </c>
      <c r="S24" s="14" t="str" cm="1">
        <f t="array" ref="S24">INDEX('Results-ConceptMap-3'!$I$15:$N$122,Q24+1,R24)</f>
        <v>//-- unmatched</v>
      </c>
    </row>
    <row r="25" spans="1:19" ht="44.25" x14ac:dyDescent="0.75">
      <c r="A25" s="23"/>
      <c r="B25" s="9" t="str">
        <f>'A.5 Results'!B17</f>
        <v>observation.method</v>
      </c>
      <c r="C25" s="9" t="str">
        <f>'A.5 Results'!C17</f>
        <v>A.5.2.4 Observation method</v>
      </c>
      <c r="D25" s="14" t="s">
        <v>853</v>
      </c>
      <c r="E25" s="14"/>
      <c r="F25" s="75" t="s">
        <v>658</v>
      </c>
      <c r="G25" s="75"/>
      <c r="H25" s="76"/>
      <c r="I25" s="14" t="str">
        <f t="shared" si="12"/>
        <v>* group[=].element[+].code = #Result.observation.method</v>
      </c>
      <c r="J25" s="14" t="str">
        <f t="shared" si="13"/>
        <v>* group[=].element[=].display = ##34#A.5.2.4 Observation method##34#</v>
      </c>
      <c r="K25" s="14" t="str">
        <f t="shared" si="14"/>
        <v>* group[=].element[=].target.code = #Observation.method</v>
      </c>
      <c r="L25" s="14" t="str">
        <f t="shared" si="15"/>
        <v>* group[=].element[=].target.display = ##34###34#</v>
      </c>
      <c r="M25" s="14" t="str">
        <f t="shared" si="16"/>
        <v>* group[=].element[=].target.equivalence = #equivalent</v>
      </c>
      <c r="N25" s="14" t="str">
        <f t="shared" si="17"/>
        <v/>
      </c>
      <c r="P25" s="9">
        <v>11</v>
      </c>
      <c r="Q25" s="9">
        <f t="shared" si="10"/>
        <v>1</v>
      </c>
      <c r="R25" s="9">
        <f t="shared" si="11"/>
        <v>5</v>
      </c>
      <c r="S25" s="14" t="str" cm="1">
        <f t="array" ref="S25">INDEX('Results-ConceptMap-3'!$I$15:$N$122,Q25+1,R25)</f>
        <v>* group[=].element[=].target.equivalence = #unmatched</v>
      </c>
    </row>
    <row r="26" spans="1:19" ht="59" x14ac:dyDescent="0.75">
      <c r="A26" s="23"/>
      <c r="B26" s="9" t="str">
        <f>'A.5 Results'!B18</f>
        <v>observation.device</v>
      </c>
      <c r="C26" s="9" t="str">
        <f>'A.5 Results'!C18</f>
        <v>A.5.2.5 Observation device</v>
      </c>
      <c r="D26" s="14" t="s">
        <v>854</v>
      </c>
      <c r="E26" s="14"/>
      <c r="F26" s="75" t="s">
        <v>659</v>
      </c>
      <c r="G26" s="75" t="s">
        <v>860</v>
      </c>
      <c r="H26" s="76"/>
      <c r="I26" s="14" t="str">
        <f t="shared" si="12"/>
        <v>* group[=].element[+].code = #Result.observation.device</v>
      </c>
      <c r="J26" s="14" t="str">
        <f t="shared" si="13"/>
        <v>* group[=].element[=].display = ##34#A.5.2.5 Observation device##34#</v>
      </c>
      <c r="K26" s="14" t="str">
        <f t="shared" si="14"/>
        <v>* group[=].element[=].target.code = #Observation.device</v>
      </c>
      <c r="L26" s="14" t="str">
        <f t="shared" si="15"/>
        <v>* group[=].element[=].target.display = ##34###34#</v>
      </c>
      <c r="M26" s="14" t="str">
        <f t="shared" si="16"/>
        <v>* group[=].element[=].target.equivalence = #relatedto</v>
      </c>
      <c r="N26" s="14" t="str">
        <f t="shared" si="17"/>
        <v>* group[=].element[=].target.comment = ##34#if the measuring device##34#</v>
      </c>
      <c r="P26" s="9">
        <v>12</v>
      </c>
      <c r="Q26" s="9">
        <f t="shared" si="10"/>
        <v>1</v>
      </c>
      <c r="R26" s="9">
        <f t="shared" si="11"/>
        <v>6</v>
      </c>
      <c r="S26" s="14" t="str" cm="1">
        <f t="array" ref="S26">INDEX('Results-ConceptMap-3'!$I$15:$N$122,Q26+1,R26)</f>
        <v/>
      </c>
    </row>
    <row r="27" spans="1:19" ht="44.25" x14ac:dyDescent="0.75">
      <c r="B27" s="9" t="str">
        <f>'A.5 Results'!B19</f>
        <v>observation.order</v>
      </c>
      <c r="C27" s="9" t="str">
        <f>'A.5 Results'!C19</f>
        <v>A.5.2.8 Order</v>
      </c>
      <c r="D27" s="14" t="s">
        <v>861</v>
      </c>
      <c r="E27" s="14"/>
      <c r="F27" s="75" t="s">
        <v>658</v>
      </c>
      <c r="G27" s="75"/>
      <c r="H27" s="76"/>
      <c r="I27" s="14" t="str">
        <f t="shared" si="12"/>
        <v>* group[=].element[+].code = #Result.observation.order</v>
      </c>
      <c r="J27" s="14" t="str">
        <f t="shared" si="13"/>
        <v>* group[=].element[=].display = ##34#A.5.2.8 Order##34#</v>
      </c>
      <c r="K27" s="14" t="str">
        <f t="shared" si="14"/>
        <v>* group[=].element[=].target.code = #Observation.basedOn.resolve()</v>
      </c>
      <c r="L27" s="14" t="str">
        <f t="shared" si="15"/>
        <v>* group[=].element[=].target.display = ##34###34#</v>
      </c>
      <c r="M27" s="14" t="str">
        <f t="shared" si="16"/>
        <v>* group[=].element[=].target.equivalence = #equivalent</v>
      </c>
      <c r="N27" s="14" t="str">
        <f t="shared" si="17"/>
        <v/>
      </c>
      <c r="P27" s="9">
        <v>13</v>
      </c>
      <c r="Q27" s="9">
        <f t="shared" si="10"/>
        <v>2</v>
      </c>
      <c r="R27" s="9">
        <f t="shared" si="11"/>
        <v>1</v>
      </c>
      <c r="S27" s="14" t="str" cm="1">
        <f t="array" ref="S27">INDEX('Results-ConceptMap-3'!$I$15:$N$122,Q27+1,R27)</f>
        <v>* group[=].element[+].code = #Result.narrative.notes</v>
      </c>
    </row>
    <row r="28" spans="1:19" ht="44.25" x14ac:dyDescent="0.75">
      <c r="B28" s="9" t="str">
        <f>'A.5 Results'!B20</f>
        <v>observation.performer</v>
      </c>
      <c r="C28" s="9" t="str">
        <f>'A.5 Results'!C20</f>
        <v>A.5.2.9 Performer</v>
      </c>
      <c r="D28" s="14" t="s">
        <v>855</v>
      </c>
      <c r="E28" s="14"/>
      <c r="F28" s="75" t="s">
        <v>658</v>
      </c>
      <c r="G28" s="75"/>
      <c r="H28" s="76"/>
      <c r="I28" s="14" t="str">
        <f t="shared" si="12"/>
        <v>* group[=].element[+].code = #Result.observation.performer</v>
      </c>
      <c r="J28" s="14" t="str">
        <f t="shared" si="13"/>
        <v>* group[=].element[=].display = ##34#A.5.2.9 Performer##34#</v>
      </c>
      <c r="K28" s="14" t="str">
        <f t="shared" si="14"/>
        <v>* group[=].element[=].target.code = #Observation.performer</v>
      </c>
      <c r="L28" s="14" t="str">
        <f t="shared" si="15"/>
        <v>* group[=].element[=].target.display = ##34###34#</v>
      </c>
      <c r="M28" s="14" t="str">
        <f t="shared" si="16"/>
        <v>* group[=].element[=].target.equivalence = #equivalent</v>
      </c>
      <c r="N28" s="14" t="str">
        <f t="shared" si="17"/>
        <v/>
      </c>
      <c r="P28" s="9">
        <v>14</v>
      </c>
      <c r="Q28" s="9">
        <f t="shared" si="10"/>
        <v>2</v>
      </c>
      <c r="R28" s="9">
        <f t="shared" si="11"/>
        <v>2</v>
      </c>
      <c r="S28" s="14" t="str" cm="1">
        <f t="array" ref="S28">INDEX('Results-ConceptMap-3'!$I$15:$N$122,Q28+1,R28)</f>
        <v>* group[=].element[=].display = ##34#A.5.1.2 Comments, interpretation and recommendations##34#</v>
      </c>
    </row>
    <row r="29" spans="1:19" ht="88.5" x14ac:dyDescent="0.75">
      <c r="B29" s="9" t="str">
        <f>'A.5 Results'!B21</f>
        <v>observation.reporter</v>
      </c>
      <c r="C29" s="9" t="str">
        <f>'A.5 Results'!C21</f>
        <v>A.5.2.10 Reporter</v>
      </c>
      <c r="D29" s="14"/>
      <c r="E29" s="14"/>
      <c r="F29" s="75" t="s">
        <v>660</v>
      </c>
      <c r="G29" s="82" t="s">
        <v>862</v>
      </c>
      <c r="H29" s="76"/>
      <c r="I29" s="14" t="str">
        <f t="shared" si="12"/>
        <v>* group[=].element[+].code = #Result.observation.reporter</v>
      </c>
      <c r="J29" s="14" t="str">
        <f t="shared" si="13"/>
        <v>* group[=].element[=].display = ##34#A.5.2.10 Reporter##34#</v>
      </c>
      <c r="K29" s="14" t="str">
        <f t="shared" si="14"/>
        <v>//-- unmatched</v>
      </c>
      <c r="L29" s="14" t="str">
        <f t="shared" si="15"/>
        <v>//-- unmatched</v>
      </c>
      <c r="M29" s="14" t="str">
        <f t="shared" si="16"/>
        <v>* group[=].element[=].target.equivalence = #unmatched</v>
      </c>
      <c r="N29" s="14" t="str">
        <f t="shared" si="17"/>
        <v>* group[=].element[=].target.comment = ##34#interpreter or a person responsible for validation of this result. To be checked##34#</v>
      </c>
      <c r="P29" s="9">
        <v>15</v>
      </c>
      <c r="Q29" s="9">
        <f t="shared" si="10"/>
        <v>2</v>
      </c>
      <c r="R29" s="9">
        <f t="shared" si="11"/>
        <v>3</v>
      </c>
      <c r="S29" s="14" t="str" cm="1">
        <f t="array" ref="S29">INDEX('Results-ConceptMap-3'!$I$15:$N$122,Q29+1,R29)</f>
        <v>//-- unmatched</v>
      </c>
    </row>
    <row r="30" spans="1:19" ht="59" x14ac:dyDescent="0.75">
      <c r="B30" s="9" t="str">
        <f>'A.5 Results'!B22</f>
        <v>observation.result</v>
      </c>
      <c r="C30" s="9" t="str">
        <f>'A.5 Results'!C22</f>
        <v>A.5.2.11 Observation result</v>
      </c>
      <c r="D30" s="14" t="s">
        <v>863</v>
      </c>
      <c r="E30" s="14"/>
      <c r="F30" s="75" t="s">
        <v>658</v>
      </c>
      <c r="G30" s="75" t="s">
        <v>866</v>
      </c>
      <c r="H30" s="76"/>
      <c r="I30" s="14" t="str">
        <f t="shared" si="12"/>
        <v>* group[=].element[+].code = #Result.observation.result</v>
      </c>
      <c r="J30" s="14" t="str">
        <f t="shared" si="13"/>
        <v>* group[=].element[=].display = ##34#A.5.2.11 Observation result##34#</v>
      </c>
      <c r="K30" s="14" t="str">
        <f t="shared" si="14"/>
        <v>* group[=].element[=].target.code = #Observation.value[x]</v>
      </c>
      <c r="L30" s="14" t="str">
        <f t="shared" si="15"/>
        <v>* group[=].element[=].target.display = ##34###34#</v>
      </c>
      <c r="M30" s="14" t="str">
        <f t="shared" si="16"/>
        <v>* group[=].element[=].target.equivalence = #equivalent</v>
      </c>
      <c r="N30" s="14" t="str">
        <f t="shared" si="17"/>
        <v>* group[=].element[=].target.comment = ##34#depends on the type of test##34#</v>
      </c>
      <c r="P30" s="9">
        <v>16</v>
      </c>
      <c r="Q30" s="9">
        <f t="shared" si="10"/>
        <v>2</v>
      </c>
      <c r="R30" s="9">
        <f t="shared" si="11"/>
        <v>4</v>
      </c>
      <c r="S30" s="14" t="str" cm="1">
        <f t="array" ref="S30">INDEX('Results-ConceptMap-3'!$I$15:$N$122,Q30+1,R30)</f>
        <v>//-- unmatched</v>
      </c>
    </row>
    <row r="31" spans="1:19" ht="73.75" x14ac:dyDescent="0.75">
      <c r="B31" s="9" t="str">
        <f>'A.5 Results'!B22</f>
        <v>observation.result</v>
      </c>
      <c r="C31" s="9" t="str">
        <f>'A.5 Results'!C22</f>
        <v>A.5.2.11 Observation result</v>
      </c>
      <c r="D31" s="14" t="s">
        <v>864</v>
      </c>
      <c r="E31" s="14"/>
      <c r="F31" s="75" t="s">
        <v>658</v>
      </c>
      <c r="G31" s="75" t="s">
        <v>866</v>
      </c>
      <c r="H31" s="76"/>
      <c r="I31" s="14" t="str">
        <f t="shared" si="12"/>
        <v>* group[=].element[+].code = #Result.observation.result</v>
      </c>
      <c r="J31" s="14" t="str">
        <f t="shared" si="13"/>
        <v>* group[=].element[=].display = ##34#A.5.2.11 Observation result##34#</v>
      </c>
      <c r="K31" s="14" t="str">
        <f t="shared" si="14"/>
        <v>* group[=].element[=].target.code = #Observation.component.value[x]</v>
      </c>
      <c r="L31" s="14" t="str">
        <f t="shared" si="15"/>
        <v>* group[=].element[=].target.display = ##34###34#</v>
      </c>
      <c r="M31" s="14" t="str">
        <f t="shared" si="16"/>
        <v>* group[=].element[=].target.equivalence = #equivalent</v>
      </c>
      <c r="N31" s="14" t="str">
        <f t="shared" si="17"/>
        <v>* group[=].element[=].target.comment = ##34#depends on the type of test##34#</v>
      </c>
      <c r="P31" s="9">
        <v>17</v>
      </c>
      <c r="Q31" s="9">
        <f t="shared" si="10"/>
        <v>2</v>
      </c>
      <c r="R31" s="9">
        <f t="shared" si="11"/>
        <v>5</v>
      </c>
      <c r="S31" s="14" t="str" cm="1">
        <f t="array" ref="S31">INDEX('Results-ConceptMap-3'!$I$15:$N$122,Q31+1,R31)</f>
        <v>* group[=].element[=].target.equivalence = #unmatched</v>
      </c>
    </row>
    <row r="32" spans="1:19" ht="44.25" x14ac:dyDescent="0.75">
      <c r="B32" s="9" t="str">
        <f>'A.5 Results'!B23</f>
        <v>observation.interpretation</v>
      </c>
      <c r="C32" s="9" t="str">
        <f>'A.5 Results'!C23</f>
        <v>A.5.2.12 Observation interpretation</v>
      </c>
      <c r="D32" s="14" t="s">
        <v>856</v>
      </c>
      <c r="E32" s="14"/>
      <c r="F32" s="75" t="s">
        <v>658</v>
      </c>
      <c r="G32" s="75"/>
      <c r="H32" s="76"/>
      <c r="I32" s="14" t="str">
        <f t="shared" si="12"/>
        <v>* group[=].element[+].code = #Result.observation.interpretation</v>
      </c>
      <c r="J32" s="14" t="str">
        <f t="shared" si="13"/>
        <v>* group[=].element[=].display = ##34#A.5.2.12 Observation interpretation##34#</v>
      </c>
      <c r="K32" s="14" t="str">
        <f t="shared" si="14"/>
        <v>* group[=].element[=].target.code = #Observation.interpretation</v>
      </c>
      <c r="L32" s="14" t="str">
        <f t="shared" si="15"/>
        <v>* group[=].element[=].target.display = ##34###34#</v>
      </c>
      <c r="M32" s="14" t="str">
        <f t="shared" si="16"/>
        <v>* group[=].element[=].target.equivalence = #equivalent</v>
      </c>
      <c r="N32" s="14" t="str">
        <f t="shared" si="17"/>
        <v/>
      </c>
      <c r="P32" s="9">
        <v>18</v>
      </c>
      <c r="Q32" s="9">
        <f t="shared" si="10"/>
        <v>2</v>
      </c>
      <c r="R32" s="9">
        <f t="shared" si="11"/>
        <v>6</v>
      </c>
      <c r="S32" s="14" t="str" cm="1">
        <f t="array" ref="S32">INDEX('Results-ConceptMap-3'!$I$15:$N$122,Q32+1,R32)</f>
        <v/>
      </c>
    </row>
    <row r="33" spans="1:19" ht="73.75" x14ac:dyDescent="0.75">
      <c r="B33" s="9" t="str">
        <f>'A.5 Results'!B23</f>
        <v>observation.interpretation</v>
      </c>
      <c r="C33" s="9" t="str">
        <f>'A.5 Results'!C23</f>
        <v>A.5.2.12 Observation interpretation</v>
      </c>
      <c r="D33" s="14" t="s">
        <v>869</v>
      </c>
      <c r="E33" s="14"/>
      <c r="F33" s="75" t="s">
        <v>658</v>
      </c>
      <c r="G33" s="75"/>
      <c r="H33" s="76"/>
      <c r="I33" s="14" t="str">
        <f t="shared" si="12"/>
        <v>* group[=].element[+].code = #Result.observation.interpretation</v>
      </c>
      <c r="J33" s="14" t="str">
        <f t="shared" si="13"/>
        <v>* group[=].element[=].display = ##34#A.5.2.12 Observation interpretation##34#</v>
      </c>
      <c r="K33" s="14" t="str">
        <f t="shared" si="14"/>
        <v>* group[=].element[=].target.code = #Observation.component.interpretation</v>
      </c>
      <c r="L33" s="14" t="str">
        <f t="shared" si="15"/>
        <v>* group[=].element[=].target.display = ##34###34#</v>
      </c>
      <c r="M33" s="14" t="str">
        <f t="shared" si="16"/>
        <v>* group[=].element[=].target.equivalence = #equivalent</v>
      </c>
      <c r="N33" s="14" t="str">
        <f t="shared" si="17"/>
        <v/>
      </c>
      <c r="P33" s="9">
        <v>19</v>
      </c>
      <c r="Q33" s="9">
        <f t="shared" si="10"/>
        <v>3</v>
      </c>
      <c r="R33" s="9">
        <f t="shared" si="11"/>
        <v>1</v>
      </c>
      <c r="S33" s="14" t="str" cm="1">
        <f t="array" ref="S33">INDEX('Results-ConceptMap-3'!$I$15:$N$122,Q33+1,R33)</f>
        <v>* group[=].element[+].code = #Result.observation</v>
      </c>
    </row>
    <row r="34" spans="1:19" ht="44.25" x14ac:dyDescent="0.75">
      <c r="B34" s="9" t="str">
        <f>'A.5 Results'!B24</f>
        <v>observation.description</v>
      </c>
      <c r="C34" s="9" t="str">
        <f>'A.5 Results'!C24</f>
        <v>A.5.2.13 Result description</v>
      </c>
      <c r="D34" s="14" t="s">
        <v>842</v>
      </c>
      <c r="E34" s="14"/>
      <c r="F34" s="75" t="s">
        <v>659</v>
      </c>
      <c r="G34" s="90" t="s">
        <v>825</v>
      </c>
      <c r="H34" s="76"/>
      <c r="I34" s="14" t="str">
        <f t="shared" si="12"/>
        <v>* group[=].element[+].code = #Result.observation.description</v>
      </c>
      <c r="J34" s="14" t="str">
        <f t="shared" si="13"/>
        <v>* group[=].element[=].display = ##34#A.5.2.13 Result description##34#</v>
      </c>
      <c r="K34" s="14" t="str">
        <f t="shared" si="14"/>
        <v>* group[=].element[=].target.code = #Observation.text</v>
      </c>
      <c r="L34" s="14" t="str">
        <f t="shared" si="15"/>
        <v>* group[=].element[=].target.display = ##34###34#</v>
      </c>
      <c r="M34" s="14" t="str">
        <f t="shared" si="16"/>
        <v>* group[=].element[=].target.equivalence = #relatedto</v>
      </c>
      <c r="N34" s="14" t="str">
        <f t="shared" si="17"/>
        <v>* group[=].element[=].target.comment = ##34#to be checked##34#</v>
      </c>
      <c r="P34" s="9">
        <v>20</v>
      </c>
      <c r="Q34" s="9">
        <f t="shared" si="10"/>
        <v>3</v>
      </c>
      <c r="R34" s="9">
        <f t="shared" si="11"/>
        <v>2</v>
      </c>
      <c r="S34" s="14" t="str" cm="1">
        <f t="array" ref="S34">INDEX('Results-ConceptMap-3'!$I$15:$N$122,Q34+1,R34)</f>
        <v>* group[=].element[=].display = ##34#A.5.2 Observation details##34#</v>
      </c>
    </row>
    <row r="35" spans="1:19" ht="88.5" x14ac:dyDescent="0.75">
      <c r="B35" s="9" t="str">
        <f>'A.5 Results'!B25</f>
        <v>observation.accreditationStatus</v>
      </c>
      <c r="C35" s="9" t="str">
        <f>'A.5 Results'!C25</f>
        <v>A.5.2.14 Accreditation status</v>
      </c>
      <c r="D35" s="14" t="s">
        <v>870</v>
      </c>
      <c r="E35" s="14"/>
      <c r="F35" s="75" t="s">
        <v>659</v>
      </c>
      <c r="G35" s="90" t="s">
        <v>825</v>
      </c>
      <c r="H35" s="76"/>
      <c r="I35" s="14" t="str">
        <f t="shared" ref="I35:I36" si="18">"* group[=].element[+].code = #"&amp;$B$14&amp;"."&amp;B35</f>
        <v>* group[=].element[+].code = #Result.observation.accreditationStatus</v>
      </c>
      <c r="J35" s="14" t="str">
        <f t="shared" ref="J35:J36" si="19">"* group[=].element[=].display = ##34#"&amp;C35&amp;"##34#"</f>
        <v>* group[=].element[=].display = ##34#A.5.2.14 Accreditation status##34#</v>
      </c>
      <c r="K35" s="14" t="str">
        <f t="shared" ref="K35:K36" si="20">IF(F35="unmatched","//-- unmatched",IF(D35="","* group[=].element[=].target.code = #"&amp;$D$14,"* group[=].element[=].target.code = #"&amp;$D$14&amp;"."&amp;D35))</f>
        <v>* group[=].element[=].target.code = #Observation.performer.resolve().ofType(organization).qualification</v>
      </c>
      <c r="L35" s="14" t="str">
        <f t="shared" ref="L35:L36" si="21">IF(F35="unmatched","//-- unmatched","* group[=].element[=].target.display = ##34#"&amp;E35&amp;"##34#")</f>
        <v>* group[=].element[=].target.display = ##34###34#</v>
      </c>
      <c r="M35" s="14" t="str">
        <f t="shared" ref="M35:M36" si="22">"* group[=].element[=].target.equivalence = #"&amp;F35</f>
        <v>* group[=].element[=].target.equivalence = #relatedto</v>
      </c>
      <c r="N35" s="14" t="str">
        <f t="shared" ref="N35:N36" si="23">IF(G35&lt;&gt;"",CONCATENATE("* group[=].element[=].target.comment = ","##34#",G35,"##34#"),"")</f>
        <v>* group[=].element[=].target.comment = ##34#to be checked##34#</v>
      </c>
      <c r="P35" s="9">
        <v>21</v>
      </c>
      <c r="Q35" s="9">
        <f t="shared" si="10"/>
        <v>3</v>
      </c>
      <c r="R35" s="9">
        <f t="shared" si="11"/>
        <v>3</v>
      </c>
      <c r="S35" s="14" t="str" cm="1">
        <f t="array" ref="S35">INDEX('Results-ConceptMap-3'!$I$15:$N$122,Q35+1,R35)</f>
        <v>* group[=].element[=].target.code = #Observation</v>
      </c>
    </row>
    <row r="36" spans="1:19" ht="88.5" x14ac:dyDescent="0.75">
      <c r="B36" s="9" t="str">
        <f>'A.5 Results'!B25</f>
        <v>observation.accreditationStatus</v>
      </c>
      <c r="C36" s="9" t="str">
        <f>'A.5 Results'!C25</f>
        <v>A.5.2.14 Accreditation status</v>
      </c>
      <c r="D36" s="14" t="s">
        <v>871</v>
      </c>
      <c r="E36" s="14"/>
      <c r="F36" s="75" t="s">
        <v>659</v>
      </c>
      <c r="G36" s="90" t="s">
        <v>825</v>
      </c>
      <c r="H36" s="76"/>
      <c r="I36" s="14" t="str">
        <f t="shared" si="18"/>
        <v>* group[=].element[+].code = #Result.observation.accreditationStatus</v>
      </c>
      <c r="J36" s="14" t="str">
        <f t="shared" si="19"/>
        <v>* group[=].element[=].display = ##34#A.5.2.14 Accreditation status##34#</v>
      </c>
      <c r="K36" s="14" t="str">
        <f t="shared" si="20"/>
        <v>* group[=].element[=].target.code = #Observation.performer.resolve().ofType(PractictionerRole).organization.resolve().qualification</v>
      </c>
      <c r="L36" s="14" t="str">
        <f t="shared" si="21"/>
        <v>* group[=].element[=].target.display = ##34###34#</v>
      </c>
      <c r="M36" s="14" t="str">
        <f t="shared" si="22"/>
        <v>* group[=].element[=].target.equivalence = #relatedto</v>
      </c>
      <c r="N36" s="14" t="str">
        <f t="shared" si="23"/>
        <v>* group[=].element[=].target.comment = ##34#to be checked##34#</v>
      </c>
      <c r="P36" s="9">
        <v>22</v>
      </c>
      <c r="Q36" s="9">
        <f t="shared" si="10"/>
        <v>3</v>
      </c>
      <c r="R36" s="9">
        <f t="shared" si="11"/>
        <v>4</v>
      </c>
      <c r="S36" s="14" t="str" cm="1">
        <f t="array" ref="S36">INDEX('Results-ConceptMap-3'!$I$15:$N$122,Q36+1,R36)</f>
        <v>* group[=].element[=].target.display = ##34###34#</v>
      </c>
    </row>
    <row r="37" spans="1:19" x14ac:dyDescent="0.75">
      <c r="B37" s="9">
        <f>'A.5 Results'!B27</f>
        <v>0</v>
      </c>
      <c r="C37" s="9">
        <f>'A.5 Results'!C27</f>
        <v>0</v>
      </c>
      <c r="D37" s="14"/>
      <c r="E37" s="14"/>
      <c r="F37" s="75"/>
      <c r="G37" s="75"/>
      <c r="H37" s="76"/>
      <c r="I37" s="14"/>
      <c r="J37" s="14"/>
      <c r="K37" s="14"/>
      <c r="L37" s="14"/>
      <c r="M37" s="14"/>
      <c r="N37" s="14"/>
      <c r="P37" s="9">
        <v>23</v>
      </c>
      <c r="Q37" s="9">
        <f t="shared" si="10"/>
        <v>3</v>
      </c>
      <c r="R37" s="9">
        <f t="shared" si="11"/>
        <v>5</v>
      </c>
      <c r="S37" s="14" t="str" cm="1">
        <f t="array" ref="S37">INDEX('Results-ConceptMap-3'!$I$15:$N$122,Q37+1,R37)</f>
        <v>* group[=].element[=].target.equivalence = #equivalent</v>
      </c>
    </row>
    <row r="38" spans="1:19" x14ac:dyDescent="0.75">
      <c r="B38" s="9">
        <f>'A.5 Results'!B28</f>
        <v>0</v>
      </c>
      <c r="C38" s="9">
        <f>'A.5 Results'!C28</f>
        <v>0</v>
      </c>
      <c r="D38" s="14"/>
      <c r="E38" s="14"/>
      <c r="F38" s="75"/>
      <c r="G38" s="75"/>
      <c r="H38" s="76"/>
      <c r="I38" s="14"/>
      <c r="J38" s="14"/>
      <c r="K38" s="14"/>
      <c r="L38" s="14"/>
      <c r="M38" s="14"/>
      <c r="N38" s="1"/>
      <c r="P38" s="9">
        <v>24</v>
      </c>
      <c r="Q38" s="9">
        <f t="shared" si="10"/>
        <v>3</v>
      </c>
      <c r="R38" s="9">
        <f t="shared" si="11"/>
        <v>6</v>
      </c>
      <c r="S38" s="14" t="str" cm="1">
        <f t="array" ref="S38">INDEX('Results-ConceptMap-3'!$I$15:$N$122,Q38+1,R38)</f>
        <v/>
      </c>
    </row>
    <row r="39" spans="1:19" x14ac:dyDescent="0.75">
      <c r="B39" s="9"/>
      <c r="C39" s="9"/>
      <c r="D39" s="14"/>
      <c r="E39" s="14"/>
      <c r="F39" s="75"/>
      <c r="G39" s="75"/>
      <c r="H39" s="76"/>
      <c r="K39" s="76"/>
      <c r="L39" s="76"/>
      <c r="M39" s="74"/>
      <c r="N39" s="74"/>
      <c r="P39" s="9">
        <v>25</v>
      </c>
      <c r="Q39" s="9">
        <f t="shared" si="10"/>
        <v>4</v>
      </c>
      <c r="R39" s="9">
        <f t="shared" si="11"/>
        <v>1</v>
      </c>
      <c r="S39" s="14" t="str" cm="1">
        <f t="array" ref="S39">INDEX('Results-ConceptMap-3'!$I$15:$N$122,Q39+1,R39)</f>
        <v>* group[=].element[+].code = #Result.observation.dateTime</v>
      </c>
    </row>
    <row r="40" spans="1:19" x14ac:dyDescent="0.75">
      <c r="B40" s="9"/>
      <c r="C40" s="9"/>
      <c r="D40" s="14"/>
      <c r="E40" s="14"/>
      <c r="F40" s="75"/>
      <c r="G40" s="75"/>
      <c r="H40" s="76"/>
      <c r="K40" s="76"/>
      <c r="L40" s="76"/>
      <c r="M40" s="74"/>
      <c r="N40" s="74"/>
      <c r="P40" s="9">
        <v>26</v>
      </c>
      <c r="Q40" s="9">
        <f t="shared" si="10"/>
        <v>4</v>
      </c>
      <c r="R40" s="9">
        <f t="shared" si="11"/>
        <v>2</v>
      </c>
      <c r="S40" s="14" t="str" cm="1">
        <f t="array" ref="S40">INDEX('Results-ConceptMap-3'!$I$15:$N$122,Q40+1,R40)</f>
        <v>* group[=].element[=].display = ##34#A.5.2.1 Observation date##34#</v>
      </c>
    </row>
    <row r="41" spans="1:19" s="1" customFormat="1" x14ac:dyDescent="0.75">
      <c r="A41"/>
      <c r="B41" s="9"/>
      <c r="C41" s="9"/>
      <c r="D41" s="14"/>
      <c r="E41" s="14"/>
      <c r="F41" s="75"/>
      <c r="G41" s="76"/>
      <c r="H41" s="76"/>
      <c r="J41"/>
      <c r="K41" s="76"/>
      <c r="L41" s="76"/>
      <c r="M41" s="74"/>
      <c r="N41" s="74"/>
      <c r="P41" s="9">
        <v>27</v>
      </c>
      <c r="Q41" s="9">
        <f t="shared" si="10"/>
        <v>4</v>
      </c>
      <c r="R41" s="9">
        <f t="shared" si="11"/>
        <v>3</v>
      </c>
      <c r="S41" s="14" t="str" cm="1">
        <f t="array" ref="S41">INDEX('Results-ConceptMap-3'!$I$15:$N$122,Q41+1,R41)</f>
        <v>* group[=].element[=].target.code = #Observation.effective[x]</v>
      </c>
    </row>
    <row r="42" spans="1:19" s="1" customFormat="1" x14ac:dyDescent="0.75">
      <c r="A42"/>
      <c r="B42" s="9"/>
      <c r="C42" s="9"/>
      <c r="D42" s="60"/>
      <c r="F42" s="76"/>
      <c r="G42" s="76"/>
      <c r="H42" s="76"/>
      <c r="J42"/>
      <c r="K42" s="76"/>
      <c r="L42" s="76"/>
      <c r="M42" s="74"/>
      <c r="N42" s="74"/>
      <c r="P42" s="9">
        <v>28</v>
      </c>
      <c r="Q42" s="9">
        <f t="shared" si="10"/>
        <v>4</v>
      </c>
      <c r="R42" s="9">
        <f t="shared" si="11"/>
        <v>4</v>
      </c>
      <c r="S42" s="14" t="str" cm="1">
        <f t="array" ref="S42">INDEX('Results-ConceptMap-3'!$I$15:$N$122,Q42+1,R42)</f>
        <v>* group[=].element[=].target.display = ##34###34#</v>
      </c>
    </row>
    <row r="43" spans="1:19" x14ac:dyDescent="0.75">
      <c r="P43" s="9">
        <v>29</v>
      </c>
      <c r="Q43" s="9">
        <f t="shared" si="10"/>
        <v>4</v>
      </c>
      <c r="R43" s="9">
        <f t="shared" si="11"/>
        <v>5</v>
      </c>
      <c r="S43" s="14" t="str" cm="1">
        <f t="array" ref="S43">INDEX('Results-ConceptMap-3'!$I$15:$N$122,Q43+1,R43)</f>
        <v>* group[=].element[=].target.equivalence = #equivalent</v>
      </c>
    </row>
    <row r="44" spans="1:19" x14ac:dyDescent="0.75">
      <c r="P44" s="9">
        <v>30</v>
      </c>
      <c r="Q44" s="9">
        <f t="shared" si="10"/>
        <v>4</v>
      </c>
      <c r="R44" s="9">
        <f t="shared" si="11"/>
        <v>6</v>
      </c>
      <c r="S44" s="14" t="str" cm="1">
        <f t="array" ref="S44">INDEX('Results-ConceptMap-3'!$I$15:$N$122,Q44+1,R44)</f>
        <v/>
      </c>
    </row>
    <row r="45" spans="1:19" x14ac:dyDescent="0.75">
      <c r="P45" s="9">
        <v>31</v>
      </c>
      <c r="Q45" s="9">
        <f t="shared" si="10"/>
        <v>5</v>
      </c>
      <c r="R45" s="9">
        <f t="shared" si="11"/>
        <v>1</v>
      </c>
      <c r="S45" s="14" t="str" cm="1">
        <f t="array" ref="S45">INDEX('Results-ConceptMap-3'!$I$15:$N$122,Q45+1,R45)</f>
        <v>* group[=].element[+].code = #Result.observation.code</v>
      </c>
    </row>
    <row r="46" spans="1:19" x14ac:dyDescent="0.75">
      <c r="P46" s="9">
        <v>32</v>
      </c>
      <c r="Q46" s="9">
        <f t="shared" si="10"/>
        <v>5</v>
      </c>
      <c r="R46" s="9">
        <f t="shared" si="11"/>
        <v>2</v>
      </c>
      <c r="S46" s="14" t="str" cm="1">
        <f t="array" ref="S46">INDEX('Results-ConceptMap-3'!$I$15:$N$122,Q46+1,R46)</f>
        <v>* group[=].element[=].display = ##34#A.5.2.3 Observation code##34#</v>
      </c>
    </row>
    <row r="47" spans="1:19" x14ac:dyDescent="0.75">
      <c r="P47" s="9">
        <v>33</v>
      </c>
      <c r="Q47" s="9">
        <f t="shared" si="10"/>
        <v>5</v>
      </c>
      <c r="R47" s="9">
        <f t="shared" si="11"/>
        <v>3</v>
      </c>
      <c r="S47" s="14" t="str" cm="1">
        <f t="array" ref="S47">INDEX('Results-ConceptMap-3'!$I$15:$N$122,Q47+1,R47)</f>
        <v>* group[=].element[=].target.code = #Observation.code.coding.code</v>
      </c>
    </row>
    <row r="48" spans="1:19" x14ac:dyDescent="0.75">
      <c r="P48" s="9">
        <v>34</v>
      </c>
      <c r="Q48" s="9">
        <f t="shared" si="10"/>
        <v>5</v>
      </c>
      <c r="R48" s="9">
        <f t="shared" si="11"/>
        <v>4</v>
      </c>
      <c r="S48" s="14" t="str" cm="1">
        <f t="array" ref="S48">INDEX('Results-ConceptMap-3'!$I$15:$N$122,Q48+1,R48)</f>
        <v>* group[=].element[=].target.display = ##34###34#</v>
      </c>
    </row>
    <row r="49" spans="16:19" x14ac:dyDescent="0.75">
      <c r="P49" s="9">
        <v>35</v>
      </c>
      <c r="Q49" s="9">
        <f t="shared" si="10"/>
        <v>5</v>
      </c>
      <c r="R49" s="9">
        <f t="shared" si="11"/>
        <v>5</v>
      </c>
      <c r="S49" s="14" t="str" cm="1">
        <f t="array" ref="S49">INDEX('Results-ConceptMap-3'!$I$15:$N$122,Q49+1,R49)</f>
        <v>* group[=].element[=].target.equivalence = #relatedto</v>
      </c>
    </row>
    <row r="50" spans="16:19" x14ac:dyDescent="0.75">
      <c r="P50" s="9">
        <v>36</v>
      </c>
      <c r="Q50" s="9">
        <f t="shared" si="10"/>
        <v>5</v>
      </c>
      <c r="R50" s="9">
        <f t="shared" si="11"/>
        <v>6</v>
      </c>
      <c r="S50" s="14" t="str" cm="1">
        <f t="array" ref="S50">INDEX('Results-ConceptMap-3'!$I$15:$N$122,Q50+1,R50)</f>
        <v>* group[=].element[=].target.comment = ##34#depends on the type of test##34#</v>
      </c>
    </row>
    <row r="51" spans="16:19" x14ac:dyDescent="0.75">
      <c r="P51" s="9">
        <v>37</v>
      </c>
      <c r="Q51" s="9">
        <f t="shared" si="10"/>
        <v>6</v>
      </c>
      <c r="R51" s="9">
        <f t="shared" si="11"/>
        <v>1</v>
      </c>
      <c r="S51" s="14" t="str" cm="1">
        <f t="array" ref="S51">INDEX('Results-ConceptMap-3'!$I$15:$N$122,Q51+1,R51)</f>
        <v>* group[=].element[+].code = #Result.observation.code</v>
      </c>
    </row>
    <row r="52" spans="16:19" x14ac:dyDescent="0.75">
      <c r="P52" s="9">
        <v>38</v>
      </c>
      <c r="Q52" s="9">
        <f t="shared" si="10"/>
        <v>6</v>
      </c>
      <c r="R52" s="9">
        <f t="shared" si="11"/>
        <v>2</v>
      </c>
      <c r="S52" s="14" t="str" cm="1">
        <f t="array" ref="S52">INDEX('Results-ConceptMap-3'!$I$15:$N$122,Q52+1,R52)</f>
        <v>* group[=].element[=].display = ##34#A.5.2.3 Observation code##34#</v>
      </c>
    </row>
    <row r="53" spans="16:19" x14ac:dyDescent="0.75">
      <c r="P53" s="9">
        <v>39</v>
      </c>
      <c r="Q53" s="9">
        <f t="shared" si="10"/>
        <v>6</v>
      </c>
      <c r="R53" s="9">
        <f t="shared" si="11"/>
        <v>3</v>
      </c>
      <c r="S53" s="14" t="str" cm="1">
        <f t="array" ref="S53">INDEX('Results-ConceptMap-3'!$I$15:$N$122,Q53+1,R53)</f>
        <v>* group[=].element[=].target.code = #Observation.component.code.coding.code</v>
      </c>
    </row>
    <row r="54" spans="16:19" x14ac:dyDescent="0.75">
      <c r="P54" s="9">
        <v>40</v>
      </c>
      <c r="Q54" s="9">
        <f t="shared" si="10"/>
        <v>6</v>
      </c>
      <c r="R54" s="9">
        <f t="shared" si="11"/>
        <v>4</v>
      </c>
      <c r="S54" s="14" t="str" cm="1">
        <f t="array" ref="S54">INDEX('Results-ConceptMap-3'!$I$15:$N$122,Q54+1,R54)</f>
        <v>* group[=].element[=].target.display = ##34###34#</v>
      </c>
    </row>
    <row r="55" spans="16:19" x14ac:dyDescent="0.75">
      <c r="P55" s="9">
        <v>41</v>
      </c>
      <c r="Q55" s="9">
        <f t="shared" si="10"/>
        <v>6</v>
      </c>
      <c r="R55" s="9">
        <f t="shared" si="11"/>
        <v>5</v>
      </c>
      <c r="S55" s="14" t="str" cm="1">
        <f t="array" ref="S55">INDEX('Results-ConceptMap-3'!$I$15:$N$122,Q55+1,R55)</f>
        <v>* group[=].element[=].target.equivalence = #relatedto</v>
      </c>
    </row>
    <row r="56" spans="16:19" x14ac:dyDescent="0.75">
      <c r="P56" s="9">
        <v>42</v>
      </c>
      <c r="Q56" s="9">
        <f t="shared" si="10"/>
        <v>6</v>
      </c>
      <c r="R56" s="9">
        <f t="shared" si="11"/>
        <v>6</v>
      </c>
      <c r="S56" s="14" t="str" cm="1">
        <f t="array" ref="S56">INDEX('Results-ConceptMap-3'!$I$15:$N$122,Q56+1,R56)</f>
        <v>* group[=].element[=].target.comment = ##34#depends on the type of test##34#</v>
      </c>
    </row>
    <row r="57" spans="16:19" x14ac:dyDescent="0.75">
      <c r="P57" s="9">
        <v>43</v>
      </c>
      <c r="Q57" s="9">
        <f t="shared" si="10"/>
        <v>7</v>
      </c>
      <c r="R57" s="9">
        <f t="shared" si="11"/>
        <v>1</v>
      </c>
      <c r="S57" s="14" t="str" cm="1">
        <f t="array" ref="S57">INDEX('Results-ConceptMap-3'!$I$15:$N$122,Q57+1,R57)</f>
        <v>* group[=].element[+].code = #Result.observation.code.name</v>
      </c>
    </row>
    <row r="58" spans="16:19" x14ac:dyDescent="0.75">
      <c r="P58" s="9">
        <v>44</v>
      </c>
      <c r="Q58" s="9">
        <f t="shared" si="10"/>
        <v>7</v>
      </c>
      <c r="R58" s="9">
        <f t="shared" si="11"/>
        <v>2</v>
      </c>
      <c r="S58" s="14" t="str" cm="1">
        <f t="array" ref="S58">INDEX('Results-ConceptMap-3'!$I$15:$N$122,Q58+1,R58)</f>
        <v>* group[=].element[=].display = ##34#A.5.2.3.1 Observation name##34#</v>
      </c>
    </row>
    <row r="59" spans="16:19" x14ac:dyDescent="0.75">
      <c r="P59" s="9">
        <v>45</v>
      </c>
      <c r="Q59" s="9">
        <f t="shared" si="10"/>
        <v>7</v>
      </c>
      <c r="R59" s="9">
        <f t="shared" si="11"/>
        <v>3</v>
      </c>
      <c r="S59" s="14" t="str" cm="1">
        <f t="array" ref="S59">INDEX('Results-ConceptMap-3'!$I$15:$N$122,Q59+1,R59)</f>
        <v>* group[=].element[=].target.code = #Observation.code.coding.display</v>
      </c>
    </row>
    <row r="60" spans="16:19" x14ac:dyDescent="0.75">
      <c r="P60" s="9">
        <v>46</v>
      </c>
      <c r="Q60" s="9">
        <f t="shared" ref="Q16:Q79" si="24">IF(MOD(P60,$Q$8)=0,P60/$Q$8-1,INT(P60/$Q$8))</f>
        <v>7</v>
      </c>
      <c r="R60" s="9">
        <f t="shared" ref="R16:R79" si="25">IF(MOD(P60,$Q$8)=0,$Q$8,MOD(P60,$Q$8))</f>
        <v>4</v>
      </c>
      <c r="S60" s="14" t="str" cm="1">
        <f t="array" ref="S60">INDEX('Results-ConceptMap-3'!$I$15:$N$122,Q60+1,R60)</f>
        <v>* group[=].element[=].target.display = ##34###34#</v>
      </c>
    </row>
    <row r="61" spans="16:19" x14ac:dyDescent="0.75">
      <c r="P61" s="9">
        <v>47</v>
      </c>
      <c r="Q61" s="9">
        <f t="shared" si="24"/>
        <v>7</v>
      </c>
      <c r="R61" s="9">
        <f t="shared" si="25"/>
        <v>5</v>
      </c>
      <c r="S61" s="14" t="str" cm="1">
        <f t="array" ref="S61">INDEX('Results-ConceptMap-3'!$I$15:$N$122,Q61+1,R61)</f>
        <v>* group[=].element[=].target.equivalence = #relatedto</v>
      </c>
    </row>
    <row r="62" spans="16:19" x14ac:dyDescent="0.75">
      <c r="P62" s="9">
        <v>48</v>
      </c>
      <c r="Q62" s="9">
        <f t="shared" si="24"/>
        <v>7</v>
      </c>
      <c r="R62" s="9">
        <f t="shared" si="25"/>
        <v>6</v>
      </c>
      <c r="S62" s="14" t="str" cm="1">
        <f t="array" ref="S62">INDEX('Results-ConceptMap-3'!$I$15:$N$122,Q62+1,R62)</f>
        <v>* group[=].element[=].target.comment = ##34#if the designation of the original code.
If the 'code' is in the Observation.code##34#</v>
      </c>
    </row>
    <row r="63" spans="16:19" x14ac:dyDescent="0.75">
      <c r="P63" s="9">
        <v>49</v>
      </c>
      <c r="Q63" s="9">
        <f t="shared" si="24"/>
        <v>8</v>
      </c>
      <c r="R63" s="9">
        <f t="shared" si="25"/>
        <v>1</v>
      </c>
      <c r="S63" s="14" t="str" cm="1">
        <f t="array" ref="S63">INDEX('Results-ConceptMap-3'!$I$15:$N$122,Q63+1,R63)</f>
        <v>* group[=].element[+].code = #Result.observation.code.originalName</v>
      </c>
    </row>
    <row r="64" spans="16:19" x14ac:dyDescent="0.75">
      <c r="P64" s="9">
        <v>50</v>
      </c>
      <c r="Q64" s="9">
        <f t="shared" si="24"/>
        <v>8</v>
      </c>
      <c r="R64" s="9">
        <f t="shared" si="25"/>
        <v>2</v>
      </c>
      <c r="S64" s="14" t="str" cm="1">
        <f t="array" ref="S64">INDEX('Results-ConceptMap-3'!$I$15:$N$122,Q64+1,R64)</f>
        <v>* group[=].element[=].display = ##34#A.5.2.3.2 Observation original name##34#</v>
      </c>
    </row>
    <row r="65" spans="16:19" x14ac:dyDescent="0.75">
      <c r="P65" s="9">
        <v>51</v>
      </c>
      <c r="Q65" s="9">
        <f t="shared" si="24"/>
        <v>8</v>
      </c>
      <c r="R65" s="9">
        <f t="shared" si="25"/>
        <v>3</v>
      </c>
      <c r="S65" s="14" t="str" cm="1">
        <f t="array" ref="S65">INDEX('Results-ConceptMap-3'!$I$15:$N$122,Q65+1,R65)</f>
        <v>* group[=].element[=].target.code = #Observation.code.text</v>
      </c>
    </row>
    <row r="66" spans="16:19" x14ac:dyDescent="0.75">
      <c r="P66" s="9">
        <v>52</v>
      </c>
      <c r="Q66" s="9">
        <f t="shared" si="24"/>
        <v>8</v>
      </c>
      <c r="R66" s="9">
        <f t="shared" si="25"/>
        <v>4</v>
      </c>
      <c r="S66" s="14" t="str" cm="1">
        <f t="array" ref="S66">INDEX('Results-ConceptMap-3'!$I$15:$N$122,Q66+1,R66)</f>
        <v>* group[=].element[=].target.display = ##34###34#</v>
      </c>
    </row>
    <row r="67" spans="16:19" x14ac:dyDescent="0.75">
      <c r="P67" s="9">
        <v>53</v>
      </c>
      <c r="Q67" s="9">
        <f t="shared" si="24"/>
        <v>8</v>
      </c>
      <c r="R67" s="9">
        <f t="shared" si="25"/>
        <v>5</v>
      </c>
      <c r="S67" s="14" t="str" cm="1">
        <f t="array" ref="S67">INDEX('Results-ConceptMap-3'!$I$15:$N$122,Q67+1,R67)</f>
        <v>* group[=].element[=].target.equivalence = #equivalent</v>
      </c>
    </row>
    <row r="68" spans="16:19" x14ac:dyDescent="0.75">
      <c r="P68" s="9">
        <v>54</v>
      </c>
      <c r="Q68" s="9">
        <f t="shared" si="24"/>
        <v>8</v>
      </c>
      <c r="R68" s="9">
        <f t="shared" si="25"/>
        <v>6</v>
      </c>
      <c r="S68" s="14" t="str" cm="1">
        <f t="array" ref="S68">INDEX('Results-ConceptMap-3'!$I$15:$N$122,Q68+1,R68)</f>
        <v>* group[=].element[=].target.comment = ##34#If the 'code' is in the Observation.code##34#</v>
      </c>
    </row>
    <row r="69" spans="16:19" x14ac:dyDescent="0.75">
      <c r="P69" s="9">
        <v>55</v>
      </c>
      <c r="Q69" s="9">
        <f t="shared" si="24"/>
        <v>9</v>
      </c>
      <c r="R69" s="9">
        <f t="shared" si="25"/>
        <v>1</v>
      </c>
      <c r="S69" s="14" t="str" cm="1">
        <f t="array" ref="S69">INDEX('Results-ConceptMap-3'!$I$15:$N$122,Q69+1,R69)</f>
        <v>* group[=].element[+].code = #Result.observation.code.displayName</v>
      </c>
    </row>
    <row r="70" spans="16:19" x14ac:dyDescent="0.75">
      <c r="P70" s="9">
        <v>56</v>
      </c>
      <c r="Q70" s="9">
        <f t="shared" si="24"/>
        <v>9</v>
      </c>
      <c r="R70" s="9">
        <f t="shared" si="25"/>
        <v>2</v>
      </c>
      <c r="S70" s="14" t="str" cm="1">
        <f t="array" ref="S70">INDEX('Results-ConceptMap-3'!$I$15:$N$122,Q70+1,R70)</f>
        <v>* group[=].element[=].display = ##34#A.5.2.3.3 Observation display name##34#</v>
      </c>
    </row>
    <row r="71" spans="16:19" x14ac:dyDescent="0.75">
      <c r="P71" s="9">
        <v>57</v>
      </c>
      <c r="Q71" s="9">
        <f t="shared" si="24"/>
        <v>9</v>
      </c>
      <c r="R71" s="9">
        <f t="shared" si="25"/>
        <v>3</v>
      </c>
      <c r="S71" s="14" t="str" cm="1">
        <f t="array" ref="S71">INDEX('Results-ConceptMap-3'!$I$15:$N$122,Q71+1,R71)</f>
        <v>* group[=].element[=].target.code = #Observation.code.coding.display</v>
      </c>
    </row>
    <row r="72" spans="16:19" x14ac:dyDescent="0.75">
      <c r="P72" s="9">
        <v>58</v>
      </c>
      <c r="Q72" s="9">
        <f t="shared" si="24"/>
        <v>9</v>
      </c>
      <c r="R72" s="9">
        <f t="shared" si="25"/>
        <v>4</v>
      </c>
      <c r="S72" s="14" t="str" cm="1">
        <f t="array" ref="S72">INDEX('Results-ConceptMap-3'!$I$15:$N$122,Q72+1,R72)</f>
        <v>* group[=].element[=].target.display = ##34###34#</v>
      </c>
    </row>
    <row r="73" spans="16:19" x14ac:dyDescent="0.75">
      <c r="P73" s="9">
        <v>59</v>
      </c>
      <c r="Q73" s="9">
        <f t="shared" si="24"/>
        <v>9</v>
      </c>
      <c r="R73" s="9">
        <f t="shared" si="25"/>
        <v>5</v>
      </c>
      <c r="S73" s="14" t="str" cm="1">
        <f t="array" ref="S73">INDEX('Results-ConceptMap-3'!$I$15:$N$122,Q73+1,R73)</f>
        <v>* group[=].element[=].target.equivalence = #equivalent</v>
      </c>
    </row>
    <row r="74" spans="16:19" x14ac:dyDescent="0.75">
      <c r="P74" s="9">
        <v>60</v>
      </c>
      <c r="Q74" s="9">
        <f t="shared" si="24"/>
        <v>9</v>
      </c>
      <c r="R74" s="9">
        <f t="shared" si="25"/>
        <v>6</v>
      </c>
      <c r="S74" s="14" t="str" cm="1">
        <f t="array" ref="S74">INDEX('Results-ConceptMap-3'!$I$15:$N$122,Q74+1,R74)</f>
        <v>* group[=].element[=].target.comment = ##34#If the 'code' is in the Observation.code##34#</v>
      </c>
    </row>
    <row r="75" spans="16:19" x14ac:dyDescent="0.75">
      <c r="P75" s="9">
        <v>61</v>
      </c>
      <c r="Q75" s="9">
        <f t="shared" si="24"/>
        <v>10</v>
      </c>
      <c r="R75" s="9">
        <f t="shared" si="25"/>
        <v>1</v>
      </c>
      <c r="S75" s="14" t="str" cm="1">
        <f t="array" ref="S75">INDEX('Results-ConceptMap-3'!$I$15:$N$122,Q75+1,R75)</f>
        <v>* group[=].element[+].code = #Result.observation.method</v>
      </c>
    </row>
    <row r="76" spans="16:19" x14ac:dyDescent="0.75">
      <c r="P76" s="9">
        <v>62</v>
      </c>
      <c r="Q76" s="9">
        <f t="shared" si="24"/>
        <v>10</v>
      </c>
      <c r="R76" s="9">
        <f t="shared" si="25"/>
        <v>2</v>
      </c>
      <c r="S76" s="14" t="str" cm="1">
        <f t="array" ref="S76">INDEX('Results-ConceptMap-3'!$I$15:$N$122,Q76+1,R76)</f>
        <v>* group[=].element[=].display = ##34#A.5.2.4 Observation method##34#</v>
      </c>
    </row>
    <row r="77" spans="16:19" x14ac:dyDescent="0.75">
      <c r="P77" s="9">
        <v>63</v>
      </c>
      <c r="Q77" s="9">
        <f t="shared" si="24"/>
        <v>10</v>
      </c>
      <c r="R77" s="9">
        <f t="shared" si="25"/>
        <v>3</v>
      </c>
      <c r="S77" s="14" t="str" cm="1">
        <f t="array" ref="S77">INDEX('Results-ConceptMap-3'!$I$15:$N$122,Q77+1,R77)</f>
        <v>* group[=].element[=].target.code = #Observation.method</v>
      </c>
    </row>
    <row r="78" spans="16:19" x14ac:dyDescent="0.75">
      <c r="P78" s="9">
        <v>64</v>
      </c>
      <c r="Q78" s="9">
        <f t="shared" si="24"/>
        <v>10</v>
      </c>
      <c r="R78" s="9">
        <f t="shared" si="25"/>
        <v>4</v>
      </c>
      <c r="S78" s="14" t="str" cm="1">
        <f t="array" ref="S78">INDEX('Results-ConceptMap-3'!$I$15:$N$122,Q78+1,R78)</f>
        <v>* group[=].element[=].target.display = ##34###34#</v>
      </c>
    </row>
    <row r="79" spans="16:19" x14ac:dyDescent="0.75">
      <c r="P79" s="9">
        <v>65</v>
      </c>
      <c r="Q79" s="9">
        <f t="shared" si="24"/>
        <v>10</v>
      </c>
      <c r="R79" s="9">
        <f t="shared" si="25"/>
        <v>5</v>
      </c>
      <c r="S79" s="14" t="str" cm="1">
        <f t="array" ref="S79">INDEX('Results-ConceptMap-3'!$I$15:$N$122,Q79+1,R79)</f>
        <v>* group[=].element[=].target.equivalence = #equivalent</v>
      </c>
    </row>
    <row r="80" spans="16:19" x14ac:dyDescent="0.75">
      <c r="P80" s="9">
        <v>66</v>
      </c>
      <c r="Q80" s="9">
        <f t="shared" ref="Q80:Q86" si="26">IF(MOD(P80,$Q$8)=0,P80/$Q$8-1,INT(P80/$Q$8))</f>
        <v>10</v>
      </c>
      <c r="R80" s="9">
        <f t="shared" ref="R80:R86" si="27">IF(MOD(P80,$Q$8)=0,$Q$8,MOD(P80,$Q$8))</f>
        <v>6</v>
      </c>
      <c r="S80" s="14" t="str" cm="1">
        <f t="array" ref="S80">INDEX('Results-ConceptMap-3'!$I$15:$N$122,Q80+1,R80)</f>
        <v/>
      </c>
    </row>
    <row r="81" spans="16:19" x14ac:dyDescent="0.75">
      <c r="P81" s="9">
        <v>67</v>
      </c>
      <c r="Q81" s="9">
        <f t="shared" si="26"/>
        <v>11</v>
      </c>
      <c r="R81" s="9">
        <f t="shared" si="27"/>
        <v>1</v>
      </c>
      <c r="S81" s="14" t="str" cm="1">
        <f t="array" ref="S81">INDEX('Results-ConceptMap-3'!$I$15:$N$122,Q81+1,R81)</f>
        <v>* group[=].element[+].code = #Result.observation.device</v>
      </c>
    </row>
    <row r="82" spans="16:19" x14ac:dyDescent="0.75">
      <c r="P82" s="9">
        <v>68</v>
      </c>
      <c r="Q82" s="9">
        <f t="shared" si="26"/>
        <v>11</v>
      </c>
      <c r="R82" s="9">
        <f t="shared" si="27"/>
        <v>2</v>
      </c>
      <c r="S82" s="14" t="str" cm="1">
        <f t="array" ref="S82">INDEX('Results-ConceptMap-3'!$I$15:$N$122,Q82+1,R82)</f>
        <v>* group[=].element[=].display = ##34#A.5.2.5 Observation device##34#</v>
      </c>
    </row>
    <row r="83" spans="16:19" x14ac:dyDescent="0.75">
      <c r="P83" s="9">
        <v>69</v>
      </c>
      <c r="Q83" s="9">
        <f t="shared" si="26"/>
        <v>11</v>
      </c>
      <c r="R83" s="9">
        <f t="shared" si="27"/>
        <v>3</v>
      </c>
      <c r="S83" s="14" t="str" cm="1">
        <f t="array" ref="S83">INDEX('Results-ConceptMap-3'!$I$15:$N$122,Q83+1,R83)</f>
        <v>* group[=].element[=].target.code = #Observation.device</v>
      </c>
    </row>
    <row r="84" spans="16:19" x14ac:dyDescent="0.75">
      <c r="P84" s="9">
        <v>70</v>
      </c>
      <c r="Q84" s="9">
        <f t="shared" si="26"/>
        <v>11</v>
      </c>
      <c r="R84" s="9">
        <f t="shared" si="27"/>
        <v>4</v>
      </c>
      <c r="S84" s="14" t="str" cm="1">
        <f t="array" ref="S84">INDEX('Results-ConceptMap-3'!$I$15:$N$122,Q84+1,R84)</f>
        <v>* group[=].element[=].target.display = ##34###34#</v>
      </c>
    </row>
    <row r="85" spans="16:19" x14ac:dyDescent="0.75">
      <c r="P85" s="9">
        <v>71</v>
      </c>
      <c r="Q85" s="9">
        <f t="shared" si="26"/>
        <v>11</v>
      </c>
      <c r="R85" s="9">
        <f t="shared" si="27"/>
        <v>5</v>
      </c>
      <c r="S85" s="14" t="str" cm="1">
        <f t="array" ref="S85">INDEX('Results-ConceptMap-3'!$I$15:$N$122,Q85+1,R85)</f>
        <v>* group[=].element[=].target.equivalence = #relatedto</v>
      </c>
    </row>
    <row r="86" spans="16:19" x14ac:dyDescent="0.75">
      <c r="P86" s="9">
        <v>72</v>
      </c>
      <c r="Q86" s="9">
        <f t="shared" si="26"/>
        <v>11</v>
      </c>
      <c r="R86" s="9">
        <f t="shared" si="27"/>
        <v>6</v>
      </c>
      <c r="S86" s="14" t="str" cm="1">
        <f t="array" ref="S86">INDEX('Results-ConceptMap-3'!$I$15:$N$122,Q86+1,R86)</f>
        <v>* group[=].element[=].target.comment = ##34#if the measuring device##34#</v>
      </c>
    </row>
    <row r="87" spans="16:19" x14ac:dyDescent="0.75">
      <c r="P87" s="9">
        <v>73</v>
      </c>
      <c r="Q87" s="9">
        <f>IF(MOD(P87,$Q$8)=0,P87/$Q$8-1,INT(P87/$Q$8))</f>
        <v>12</v>
      </c>
      <c r="R87" s="9">
        <f>IF(MOD(P87,$Q$8)=0,$Q$8,MOD(P87,$Q$8))</f>
        <v>1</v>
      </c>
      <c r="S87" s="14" t="str" cm="1">
        <f t="array" ref="S87">INDEX('Results-ConceptMap-3'!$I$15:$N$122,Q87+1,R87)</f>
        <v>* group[=].element[+].code = #Result.observation.order</v>
      </c>
    </row>
    <row r="88" spans="16:19" x14ac:dyDescent="0.75">
      <c r="P88" s="9">
        <v>74</v>
      </c>
      <c r="Q88" s="9">
        <f t="shared" ref="Q88:Q105" si="28">IF(MOD(P88,$Q$8)=0,P88/$Q$8-1,INT(P88/$Q$8))</f>
        <v>12</v>
      </c>
      <c r="R88" s="9">
        <f t="shared" ref="R88:R105" si="29">IF(MOD(P88,$Q$8)=0,$Q$8,MOD(P88,$Q$8))</f>
        <v>2</v>
      </c>
      <c r="S88" s="14" t="str" cm="1">
        <f t="array" ref="S88">INDEX('Results-ConceptMap-3'!$I$15:$N$122,Q88+1,R88)</f>
        <v>* group[=].element[=].display = ##34#A.5.2.8 Order##34#</v>
      </c>
    </row>
    <row r="89" spans="16:19" x14ac:dyDescent="0.75">
      <c r="P89" s="9">
        <v>75</v>
      </c>
      <c r="Q89" s="9">
        <f t="shared" si="28"/>
        <v>12</v>
      </c>
      <c r="R89" s="9">
        <f t="shared" si="29"/>
        <v>3</v>
      </c>
      <c r="S89" s="14" t="str" cm="1">
        <f t="array" ref="S89">INDEX('Results-ConceptMap-3'!$I$15:$N$122,Q89+1,R89)</f>
        <v>* group[=].element[=].target.code = #Observation.basedOn.resolve()</v>
      </c>
    </row>
    <row r="90" spans="16:19" x14ac:dyDescent="0.75">
      <c r="P90" s="9">
        <v>76</v>
      </c>
      <c r="Q90" s="9">
        <f t="shared" si="28"/>
        <v>12</v>
      </c>
      <c r="R90" s="9">
        <f t="shared" si="29"/>
        <v>4</v>
      </c>
      <c r="S90" s="14" t="str" cm="1">
        <f t="array" ref="S90">INDEX('Results-ConceptMap-3'!$I$15:$N$122,Q90+1,R90)</f>
        <v>* group[=].element[=].target.display = ##34###34#</v>
      </c>
    </row>
    <row r="91" spans="16:19" x14ac:dyDescent="0.75">
      <c r="P91" s="9">
        <v>77</v>
      </c>
      <c r="Q91" s="9">
        <f t="shared" si="28"/>
        <v>12</v>
      </c>
      <c r="R91" s="9">
        <f t="shared" si="29"/>
        <v>5</v>
      </c>
      <c r="S91" s="14" t="str" cm="1">
        <f t="array" ref="S91">INDEX('Results-ConceptMap-3'!$I$15:$N$122,Q91+1,R91)</f>
        <v>* group[=].element[=].target.equivalence = #equivalent</v>
      </c>
    </row>
    <row r="92" spans="16:19" x14ac:dyDescent="0.75">
      <c r="P92" s="9">
        <v>78</v>
      </c>
      <c r="Q92" s="9">
        <f t="shared" si="28"/>
        <v>12</v>
      </c>
      <c r="R92" s="9">
        <f t="shared" si="29"/>
        <v>6</v>
      </c>
      <c r="S92" s="14" t="str" cm="1">
        <f t="array" ref="S92">INDEX('Results-ConceptMap-3'!$I$15:$N$122,Q92+1,R92)</f>
        <v/>
      </c>
    </row>
    <row r="93" spans="16:19" x14ac:dyDescent="0.75">
      <c r="P93" s="9">
        <v>79</v>
      </c>
      <c r="Q93" s="9">
        <f t="shared" si="28"/>
        <v>13</v>
      </c>
      <c r="R93" s="9">
        <f t="shared" si="29"/>
        <v>1</v>
      </c>
      <c r="S93" s="14" t="str" cm="1">
        <f t="array" ref="S93">INDEX('Results-ConceptMap-3'!$I$15:$N$122,Q93+1,R93)</f>
        <v>* group[=].element[+].code = #Result.observation.performer</v>
      </c>
    </row>
    <row r="94" spans="16:19" x14ac:dyDescent="0.75">
      <c r="P94" s="9">
        <v>80</v>
      </c>
      <c r="Q94" s="9">
        <f t="shared" si="28"/>
        <v>13</v>
      </c>
      <c r="R94" s="9">
        <f t="shared" si="29"/>
        <v>2</v>
      </c>
      <c r="S94" s="14" t="str" cm="1">
        <f t="array" ref="S94">INDEX('Results-ConceptMap-3'!$I$15:$N$122,Q94+1,R94)</f>
        <v>* group[=].element[=].display = ##34#A.5.2.9 Performer##34#</v>
      </c>
    </row>
    <row r="95" spans="16:19" x14ac:dyDescent="0.75">
      <c r="P95" s="9">
        <v>81</v>
      </c>
      <c r="Q95" s="9">
        <f t="shared" si="28"/>
        <v>13</v>
      </c>
      <c r="R95" s="9">
        <f t="shared" si="29"/>
        <v>3</v>
      </c>
      <c r="S95" s="14" t="str" cm="1">
        <f t="array" ref="S95">INDEX('Results-ConceptMap-3'!$I$15:$N$122,Q95+1,R95)</f>
        <v>* group[=].element[=].target.code = #Observation.performer</v>
      </c>
    </row>
    <row r="96" spans="16:19" x14ac:dyDescent="0.75">
      <c r="P96" s="9">
        <v>82</v>
      </c>
      <c r="Q96" s="9">
        <f t="shared" si="28"/>
        <v>13</v>
      </c>
      <c r="R96" s="9">
        <f t="shared" si="29"/>
        <v>4</v>
      </c>
      <c r="S96" s="14" t="str" cm="1">
        <f t="array" ref="S96">INDEX('Results-ConceptMap-3'!$I$15:$N$122,Q96+1,R96)</f>
        <v>* group[=].element[=].target.display = ##34###34#</v>
      </c>
    </row>
    <row r="97" spans="16:19" x14ac:dyDescent="0.75">
      <c r="P97" s="9">
        <v>83</v>
      </c>
      <c r="Q97" s="9">
        <f t="shared" si="28"/>
        <v>13</v>
      </c>
      <c r="R97" s="9">
        <f t="shared" si="29"/>
        <v>5</v>
      </c>
      <c r="S97" s="14" t="str" cm="1">
        <f t="array" ref="S97">INDEX('Results-ConceptMap-3'!$I$15:$N$122,Q97+1,R97)</f>
        <v>* group[=].element[=].target.equivalence = #equivalent</v>
      </c>
    </row>
    <row r="98" spans="16:19" x14ac:dyDescent="0.75">
      <c r="P98" s="9">
        <v>84</v>
      </c>
      <c r="Q98" s="9">
        <f t="shared" si="28"/>
        <v>13</v>
      </c>
      <c r="R98" s="9">
        <f t="shared" si="29"/>
        <v>6</v>
      </c>
      <c r="S98" s="14" t="str" cm="1">
        <f t="array" ref="S98">INDEX('Results-ConceptMap-3'!$I$15:$N$122,Q98+1,R98)</f>
        <v/>
      </c>
    </row>
    <row r="99" spans="16:19" x14ac:dyDescent="0.75">
      <c r="P99" s="9">
        <v>85</v>
      </c>
      <c r="Q99" s="9">
        <f t="shared" si="28"/>
        <v>14</v>
      </c>
      <c r="R99" s="9">
        <f t="shared" si="29"/>
        <v>1</v>
      </c>
      <c r="S99" s="14" t="str" cm="1">
        <f t="array" ref="S99">INDEX('Results-ConceptMap-3'!$I$15:$N$122,Q99+1,R99)</f>
        <v>* group[=].element[+].code = #Result.observation.reporter</v>
      </c>
    </row>
    <row r="100" spans="16:19" ht="29.5" x14ac:dyDescent="0.75">
      <c r="P100" s="9">
        <v>86</v>
      </c>
      <c r="Q100" s="9">
        <f t="shared" si="28"/>
        <v>14</v>
      </c>
      <c r="R100" s="9">
        <f t="shared" si="29"/>
        <v>2</v>
      </c>
      <c r="S100" s="14" t="str" cm="1">
        <f t="array" ref="S100">INDEX('Results-ConceptMap-3'!$I$15:$N$122,Q100+1,R100)</f>
        <v>* group[=].element[=].display = ##34#A.5.2.10 Reporter##34#</v>
      </c>
    </row>
    <row r="101" spans="16:19" x14ac:dyDescent="0.75">
      <c r="P101" s="9">
        <v>87</v>
      </c>
      <c r="Q101" s="9">
        <f t="shared" si="28"/>
        <v>14</v>
      </c>
      <c r="R101" s="9">
        <f t="shared" si="29"/>
        <v>3</v>
      </c>
      <c r="S101" s="14" t="str" cm="1">
        <f t="array" ref="S101">INDEX('Results-ConceptMap-3'!$I$15:$N$122,Q101+1,R101)</f>
        <v>//-- unmatched</v>
      </c>
    </row>
    <row r="102" spans="16:19" x14ac:dyDescent="0.75">
      <c r="P102" s="9">
        <v>88</v>
      </c>
      <c r="Q102" s="9">
        <f t="shared" si="28"/>
        <v>14</v>
      </c>
      <c r="R102" s="9">
        <f t="shared" si="29"/>
        <v>4</v>
      </c>
      <c r="S102" s="14" t="str" cm="1">
        <f t="array" ref="S102">INDEX('Results-ConceptMap-3'!$I$15:$N$122,Q102+1,R102)</f>
        <v>//-- unmatched</v>
      </c>
    </row>
    <row r="103" spans="16:19" x14ac:dyDescent="0.75">
      <c r="P103" s="9">
        <v>89</v>
      </c>
      <c r="Q103" s="9">
        <f t="shared" si="28"/>
        <v>14</v>
      </c>
      <c r="R103" s="9">
        <f t="shared" si="29"/>
        <v>5</v>
      </c>
      <c r="S103" s="14" t="str" cm="1">
        <f t="array" ref="S103">INDEX('Results-ConceptMap-3'!$I$15:$N$122,Q103+1,R103)</f>
        <v>* group[=].element[=].target.equivalence = #unmatched</v>
      </c>
    </row>
    <row r="104" spans="16:19" x14ac:dyDescent="0.75">
      <c r="P104" s="9">
        <v>90</v>
      </c>
      <c r="Q104" s="9">
        <f t="shared" si="28"/>
        <v>14</v>
      </c>
      <c r="R104" s="9">
        <f t="shared" si="29"/>
        <v>6</v>
      </c>
      <c r="S104" s="14" t="str" cm="1">
        <f t="array" ref="S104">INDEX('Results-ConceptMap-3'!$I$15:$N$122,Q104+1,R104)</f>
        <v>* group[=].element[=].target.comment = ##34#interpreter or a person responsible for validation of this result. To be checked##34#</v>
      </c>
    </row>
    <row r="105" spans="16:19" x14ac:dyDescent="0.75">
      <c r="P105" s="9">
        <v>91</v>
      </c>
      <c r="Q105" s="9">
        <f t="shared" si="28"/>
        <v>15</v>
      </c>
      <c r="R105" s="9">
        <f t="shared" si="29"/>
        <v>1</v>
      </c>
      <c r="S105" s="14" t="str" cm="1">
        <f t="array" ref="S105">INDEX('Results-ConceptMap-3'!$I$15:$N$122,Q105+1,R105)</f>
        <v>* group[=].element[+].code = #Result.observation.result</v>
      </c>
    </row>
    <row r="106" spans="16:19" x14ac:dyDescent="0.75">
      <c r="P106" s="9">
        <v>92</v>
      </c>
      <c r="Q106" s="9">
        <f>IF(MOD(P106,$Q$8)=0,P106/$Q$8-1,INT(P106/$Q$8))</f>
        <v>15</v>
      </c>
      <c r="R106" s="9">
        <f>IF(MOD(P106,$Q$8)=0,$Q$8,MOD(P106,$Q$8))</f>
        <v>2</v>
      </c>
      <c r="S106" s="14" t="str" cm="1">
        <f t="array" ref="S106">INDEX('Results-ConceptMap-3'!$I$15:$N$122,Q106+1,R106)</f>
        <v>* group[=].element[=].display = ##34#A.5.2.11 Observation result##34#</v>
      </c>
    </row>
    <row r="107" spans="16:19" x14ac:dyDescent="0.75">
      <c r="P107" s="9">
        <v>93</v>
      </c>
      <c r="Q107" s="9">
        <f t="shared" ref="Q107:Q120" si="30">IF(MOD(P107,$Q$8)=0,P107/$Q$8-1,INT(P107/$Q$8))</f>
        <v>15</v>
      </c>
      <c r="R107" s="9">
        <f t="shared" ref="R107:R120" si="31">IF(MOD(P107,$Q$8)=0,$Q$8,MOD(P107,$Q$8))</f>
        <v>3</v>
      </c>
      <c r="S107" s="14" t="str" cm="1">
        <f t="array" ref="S107">INDEX('Results-ConceptMap-3'!$I$15:$N$122,Q107+1,R107)</f>
        <v>* group[=].element[=].target.code = #Observation.value[x]</v>
      </c>
    </row>
    <row r="108" spans="16:19" x14ac:dyDescent="0.75">
      <c r="P108" s="9">
        <v>94</v>
      </c>
      <c r="Q108" s="9">
        <f t="shared" si="30"/>
        <v>15</v>
      </c>
      <c r="R108" s="9">
        <f t="shared" si="31"/>
        <v>4</v>
      </c>
      <c r="S108" s="14" t="str" cm="1">
        <f t="array" ref="S108">INDEX('Results-ConceptMap-3'!$I$15:$N$122,Q108+1,R108)</f>
        <v>* group[=].element[=].target.display = ##34###34#</v>
      </c>
    </row>
    <row r="109" spans="16:19" x14ac:dyDescent="0.75">
      <c r="P109" s="9">
        <v>95</v>
      </c>
      <c r="Q109" s="9">
        <f t="shared" si="30"/>
        <v>15</v>
      </c>
      <c r="R109" s="9">
        <f t="shared" si="31"/>
        <v>5</v>
      </c>
      <c r="S109" s="14" t="str" cm="1">
        <f t="array" ref="S109">INDEX('Results-ConceptMap-3'!$I$15:$N$122,Q109+1,R109)</f>
        <v>* group[=].element[=].target.equivalence = #equivalent</v>
      </c>
    </row>
    <row r="110" spans="16:19" x14ac:dyDescent="0.75">
      <c r="P110" s="9">
        <v>96</v>
      </c>
      <c r="Q110" s="9">
        <f t="shared" si="30"/>
        <v>15</v>
      </c>
      <c r="R110" s="9">
        <f t="shared" si="31"/>
        <v>6</v>
      </c>
      <c r="S110" s="14" t="str" cm="1">
        <f t="array" ref="S110">INDEX('Results-ConceptMap-3'!$I$15:$N$122,Q110+1,R110)</f>
        <v>* group[=].element[=].target.comment = ##34#depends on the type of test##34#</v>
      </c>
    </row>
    <row r="111" spans="16:19" x14ac:dyDescent="0.75">
      <c r="P111" s="9">
        <v>97</v>
      </c>
      <c r="Q111" s="9">
        <f t="shared" si="30"/>
        <v>16</v>
      </c>
      <c r="R111" s="9">
        <f t="shared" si="31"/>
        <v>1</v>
      </c>
      <c r="S111" s="14" t="str" cm="1">
        <f t="array" ref="S111">INDEX('Results-ConceptMap-3'!$I$15:$N$122,Q111+1,R111)</f>
        <v>* group[=].element[+].code = #Result.observation.result</v>
      </c>
    </row>
    <row r="112" spans="16:19" x14ac:dyDescent="0.75">
      <c r="P112" s="9">
        <v>98</v>
      </c>
      <c r="Q112" s="9">
        <f t="shared" si="30"/>
        <v>16</v>
      </c>
      <c r="R112" s="9">
        <f t="shared" si="31"/>
        <v>2</v>
      </c>
      <c r="S112" s="14" t="str" cm="1">
        <f t="array" ref="S112">INDEX('Results-ConceptMap-3'!$I$15:$N$122,Q112+1,R112)</f>
        <v>* group[=].element[=].display = ##34#A.5.2.11 Observation result##34#</v>
      </c>
    </row>
    <row r="113" spans="16:19" x14ac:dyDescent="0.75">
      <c r="P113" s="9">
        <v>99</v>
      </c>
      <c r="Q113" s="9">
        <f t="shared" si="30"/>
        <v>16</v>
      </c>
      <c r="R113" s="9">
        <f t="shared" si="31"/>
        <v>3</v>
      </c>
      <c r="S113" s="14" t="str" cm="1">
        <f t="array" ref="S113">INDEX('Results-ConceptMap-3'!$I$15:$N$122,Q113+1,R113)</f>
        <v>* group[=].element[=].target.code = #Observation.component.value[x]</v>
      </c>
    </row>
    <row r="114" spans="16:19" x14ac:dyDescent="0.75">
      <c r="P114" s="9">
        <v>100</v>
      </c>
      <c r="Q114" s="9">
        <f t="shared" si="30"/>
        <v>16</v>
      </c>
      <c r="R114" s="9">
        <f t="shared" si="31"/>
        <v>4</v>
      </c>
      <c r="S114" s="14" t="str" cm="1">
        <f t="array" ref="S114">INDEX('Results-ConceptMap-3'!$I$15:$N$122,Q114+1,R114)</f>
        <v>* group[=].element[=].target.display = ##34###34#</v>
      </c>
    </row>
    <row r="115" spans="16:19" x14ac:dyDescent="0.75">
      <c r="P115" s="9">
        <v>101</v>
      </c>
      <c r="Q115" s="9">
        <f t="shared" si="30"/>
        <v>16</v>
      </c>
      <c r="R115" s="9">
        <f t="shared" si="31"/>
        <v>5</v>
      </c>
      <c r="S115" s="14" t="str" cm="1">
        <f t="array" ref="S115">INDEX('Results-ConceptMap-3'!$I$15:$N$122,Q115+1,R115)</f>
        <v>* group[=].element[=].target.equivalence = #equivalent</v>
      </c>
    </row>
    <row r="116" spans="16:19" x14ac:dyDescent="0.75">
      <c r="P116" s="9">
        <v>102</v>
      </c>
      <c r="Q116" s="9">
        <f t="shared" si="30"/>
        <v>16</v>
      </c>
      <c r="R116" s="9">
        <f t="shared" si="31"/>
        <v>6</v>
      </c>
      <c r="S116" s="14" t="str" cm="1">
        <f t="array" ref="S116">INDEX('Results-ConceptMap-3'!$I$15:$N$122,Q116+1,R116)</f>
        <v>* group[=].element[=].target.comment = ##34#depends on the type of test##34#</v>
      </c>
    </row>
    <row r="117" spans="16:19" x14ac:dyDescent="0.75">
      <c r="P117" s="9">
        <v>103</v>
      </c>
      <c r="Q117" s="9">
        <f t="shared" si="30"/>
        <v>17</v>
      </c>
      <c r="R117" s="9">
        <f t="shared" si="31"/>
        <v>1</v>
      </c>
      <c r="S117" s="14" t="str" cm="1">
        <f t="array" ref="S117">INDEX('Results-ConceptMap-3'!$I$15:$N$122,Q117+1,R117)</f>
        <v>* group[=].element[+].code = #Result.observation.interpretation</v>
      </c>
    </row>
    <row r="118" spans="16:19" x14ac:dyDescent="0.75">
      <c r="P118" s="9">
        <v>104</v>
      </c>
      <c r="Q118" s="9">
        <f t="shared" si="30"/>
        <v>17</v>
      </c>
      <c r="R118" s="9">
        <f t="shared" si="31"/>
        <v>2</v>
      </c>
      <c r="S118" s="14" t="str" cm="1">
        <f t="array" ref="S118">INDEX('Results-ConceptMap-3'!$I$15:$N$122,Q118+1,R118)</f>
        <v>* group[=].element[=].display = ##34#A.5.2.12 Observation interpretation##34#</v>
      </c>
    </row>
    <row r="119" spans="16:19" ht="29.5" x14ac:dyDescent="0.75">
      <c r="P119" s="9">
        <v>105</v>
      </c>
      <c r="Q119" s="9">
        <f t="shared" si="30"/>
        <v>17</v>
      </c>
      <c r="R119" s="9">
        <f t="shared" si="31"/>
        <v>3</v>
      </c>
      <c r="S119" s="14" t="str" cm="1">
        <f t="array" ref="S119">INDEX('Results-ConceptMap-3'!$I$15:$N$122,Q119+1,R119)</f>
        <v>* group[=].element[=].target.code = #Observation.interpretation</v>
      </c>
    </row>
    <row r="120" spans="16:19" x14ac:dyDescent="0.75">
      <c r="P120" s="9">
        <v>106</v>
      </c>
      <c r="Q120" s="9">
        <f t="shared" si="30"/>
        <v>17</v>
      </c>
      <c r="R120" s="9">
        <f t="shared" si="31"/>
        <v>4</v>
      </c>
      <c r="S120" s="14" t="str" cm="1">
        <f t="array" ref="S120">INDEX('Results-ConceptMap-3'!$I$15:$N$122,Q120+1,R120)</f>
        <v>* group[=].element[=].target.display = ##34###34#</v>
      </c>
    </row>
    <row r="121" spans="16:19" x14ac:dyDescent="0.75">
      <c r="P121" s="9">
        <v>107</v>
      </c>
      <c r="Q121" s="9">
        <f>IF(MOD(P121,$Q$8)=0,P121/$Q$8-1,INT(P121/$Q$8))</f>
        <v>17</v>
      </c>
      <c r="R121" s="9">
        <f>IF(MOD(P121,$Q$8)=0,$Q$8,MOD(P121,$Q$8))</f>
        <v>5</v>
      </c>
      <c r="S121" s="14" t="str" cm="1">
        <f t="array" ref="S121">INDEX('Results-ConceptMap-3'!$I$15:$N$122,Q121+1,R121)</f>
        <v>* group[=].element[=].target.equivalence = #equivalent</v>
      </c>
    </row>
    <row r="122" spans="16:19" x14ac:dyDescent="0.75">
      <c r="P122" s="9">
        <v>108</v>
      </c>
      <c r="Q122" s="9">
        <f t="shared" ref="Q122:Q136" si="32">IF(MOD(P122,$Q$8)=0,P122/$Q$8-1,INT(P122/$Q$8))</f>
        <v>17</v>
      </c>
      <c r="R122" s="9">
        <f t="shared" ref="R122:R136" si="33">IF(MOD(P122,$Q$8)=0,$Q$8,MOD(P122,$Q$8))</f>
        <v>6</v>
      </c>
      <c r="S122" s="14" t="str" cm="1">
        <f t="array" ref="S122">INDEX('Results-ConceptMap-3'!$I$15:$N$122,Q122+1,R122)</f>
        <v/>
      </c>
    </row>
    <row r="123" spans="16:19" x14ac:dyDescent="0.75">
      <c r="P123" s="9">
        <v>109</v>
      </c>
      <c r="Q123" s="9">
        <f t="shared" si="32"/>
        <v>18</v>
      </c>
      <c r="R123" s="9">
        <f t="shared" si="33"/>
        <v>1</v>
      </c>
      <c r="S123" s="14" t="str" cm="1">
        <f t="array" ref="S123">INDEX('Results-ConceptMap-3'!$I$15:$N$122,Q123+1,R123)</f>
        <v>* group[=].element[+].code = #Result.observation.interpretation</v>
      </c>
    </row>
    <row r="124" spans="16:19" x14ac:dyDescent="0.75">
      <c r="P124" s="9">
        <v>110</v>
      </c>
      <c r="Q124" s="9">
        <f t="shared" si="32"/>
        <v>18</v>
      </c>
      <c r="R124" s="9">
        <f t="shared" si="33"/>
        <v>2</v>
      </c>
      <c r="S124" s="14" t="str" cm="1">
        <f t="array" ref="S124">INDEX('Results-ConceptMap-3'!$I$15:$N$122,Q124+1,R124)</f>
        <v>* group[=].element[=].display = ##34#A.5.2.12 Observation interpretation##34#</v>
      </c>
    </row>
    <row r="125" spans="16:19" x14ac:dyDescent="0.75">
      <c r="P125" s="9">
        <v>111</v>
      </c>
      <c r="Q125" s="9">
        <f t="shared" si="32"/>
        <v>18</v>
      </c>
      <c r="R125" s="9">
        <f t="shared" si="33"/>
        <v>3</v>
      </c>
      <c r="S125" s="14" t="str" cm="1">
        <f t="array" ref="S125">INDEX('Results-ConceptMap-3'!$I$15:$N$122,Q125+1,R125)</f>
        <v>* group[=].element[=].target.code = #Observation.component.interpretation</v>
      </c>
    </row>
    <row r="126" spans="16:19" x14ac:dyDescent="0.75">
      <c r="P126" s="9">
        <v>112</v>
      </c>
      <c r="Q126" s="9">
        <f t="shared" si="32"/>
        <v>18</v>
      </c>
      <c r="R126" s="9">
        <f t="shared" si="33"/>
        <v>4</v>
      </c>
      <c r="S126" s="14" t="str" cm="1">
        <f t="array" ref="S126">INDEX('Results-ConceptMap-3'!$I$15:$N$122,Q126+1,R126)</f>
        <v>* group[=].element[=].target.display = ##34###34#</v>
      </c>
    </row>
    <row r="127" spans="16:19" x14ac:dyDescent="0.75">
      <c r="P127" s="9">
        <v>113</v>
      </c>
      <c r="Q127" s="9">
        <f t="shared" si="32"/>
        <v>18</v>
      </c>
      <c r="R127" s="9">
        <f t="shared" si="33"/>
        <v>5</v>
      </c>
      <c r="S127" s="14" t="str" cm="1">
        <f t="array" ref="S127">INDEX('Results-ConceptMap-3'!$I$15:$N$122,Q127+1,R127)</f>
        <v>* group[=].element[=].target.equivalence = #equivalent</v>
      </c>
    </row>
    <row r="128" spans="16:19" x14ac:dyDescent="0.75">
      <c r="P128" s="9">
        <v>114</v>
      </c>
      <c r="Q128" s="9">
        <f t="shared" si="32"/>
        <v>18</v>
      </c>
      <c r="R128" s="9">
        <f t="shared" si="33"/>
        <v>6</v>
      </c>
      <c r="S128" s="14" t="str" cm="1">
        <f t="array" ref="S128">INDEX('Results-ConceptMap-3'!$I$15:$N$122,Q128+1,R128)</f>
        <v/>
      </c>
    </row>
    <row r="129" spans="16:19" x14ac:dyDescent="0.75">
      <c r="P129" s="9">
        <v>115</v>
      </c>
      <c r="Q129" s="9">
        <f t="shared" si="32"/>
        <v>19</v>
      </c>
      <c r="R129" s="9">
        <f t="shared" si="33"/>
        <v>1</v>
      </c>
      <c r="S129" s="14" t="str" cm="1">
        <f t="array" ref="S129">INDEX('Results-ConceptMap-3'!$I$15:$N$122,Q129+1,R129)</f>
        <v>* group[=].element[+].code = #Result.observation.description</v>
      </c>
    </row>
    <row r="130" spans="16:19" x14ac:dyDescent="0.75">
      <c r="P130" s="9">
        <v>116</v>
      </c>
      <c r="Q130" s="9">
        <f t="shared" si="32"/>
        <v>19</v>
      </c>
      <c r="R130" s="9">
        <f t="shared" si="33"/>
        <v>2</v>
      </c>
      <c r="S130" s="14" t="str" cm="1">
        <f t="array" ref="S130">INDEX('Results-ConceptMap-3'!$I$15:$N$122,Q130+1,R130)</f>
        <v>* group[=].element[=].display = ##34#A.5.2.13 Result description##34#</v>
      </c>
    </row>
    <row r="131" spans="16:19" x14ac:dyDescent="0.75">
      <c r="P131" s="9">
        <v>117</v>
      </c>
      <c r="Q131" s="9">
        <f t="shared" si="32"/>
        <v>19</v>
      </c>
      <c r="R131" s="9">
        <f t="shared" si="33"/>
        <v>3</v>
      </c>
      <c r="S131" s="14" t="str" cm="1">
        <f t="array" ref="S131">INDEX('Results-ConceptMap-3'!$I$15:$N$122,Q131+1,R131)</f>
        <v>* group[=].element[=].target.code = #Observation.text</v>
      </c>
    </row>
    <row r="132" spans="16:19" x14ac:dyDescent="0.75">
      <c r="P132" s="9">
        <v>118</v>
      </c>
      <c r="Q132" s="9">
        <f t="shared" si="32"/>
        <v>19</v>
      </c>
      <c r="R132" s="9">
        <f t="shared" si="33"/>
        <v>4</v>
      </c>
      <c r="S132" s="14" t="str" cm="1">
        <f t="array" ref="S132">INDEX('Results-ConceptMap-3'!$I$15:$N$122,Q132+1,R132)</f>
        <v>* group[=].element[=].target.display = ##34###34#</v>
      </c>
    </row>
    <row r="133" spans="16:19" x14ac:dyDescent="0.75">
      <c r="P133" s="9">
        <v>119</v>
      </c>
      <c r="Q133" s="9">
        <f t="shared" si="32"/>
        <v>19</v>
      </c>
      <c r="R133" s="9">
        <f t="shared" si="33"/>
        <v>5</v>
      </c>
      <c r="S133" s="14" t="str" cm="1">
        <f t="array" ref="S133">INDEX('Results-ConceptMap-3'!$I$15:$N$122,Q133+1,R133)</f>
        <v>* group[=].element[=].target.equivalence = #relatedto</v>
      </c>
    </row>
    <row r="134" spans="16:19" ht="29.5" x14ac:dyDescent="0.75">
      <c r="P134" s="9">
        <v>120</v>
      </c>
      <c r="Q134" s="9">
        <f t="shared" si="32"/>
        <v>19</v>
      </c>
      <c r="R134" s="9">
        <f t="shared" si="33"/>
        <v>6</v>
      </c>
      <c r="S134" s="14" t="str" cm="1">
        <f t="array" ref="S134">INDEX('Results-ConceptMap-3'!$I$15:$N$122,Q134+1,R134)</f>
        <v>* group[=].element[=].target.comment = ##34#to be checked##34#</v>
      </c>
    </row>
    <row r="135" spans="16:19" x14ac:dyDescent="0.75">
      <c r="P135" s="9">
        <v>121</v>
      </c>
      <c r="Q135" s="9">
        <f t="shared" si="32"/>
        <v>20</v>
      </c>
      <c r="R135" s="9">
        <f t="shared" si="33"/>
        <v>1</v>
      </c>
      <c r="S135" s="14" t="str" cm="1">
        <f t="array" ref="S135">INDEX('Results-ConceptMap-3'!$I$15:$N$122,Q135+1,R135)</f>
        <v>* group[=].element[+].code = #Result.observation.accreditationStatus</v>
      </c>
    </row>
    <row r="136" spans="16:19" x14ac:dyDescent="0.75">
      <c r="P136" s="9">
        <v>122</v>
      </c>
      <c r="Q136" s="9">
        <f t="shared" si="32"/>
        <v>20</v>
      </c>
      <c r="R136" s="9">
        <f t="shared" si="33"/>
        <v>2</v>
      </c>
      <c r="S136" s="14" t="str" cm="1">
        <f t="array" ref="S136">INDEX('Results-ConceptMap-3'!$I$15:$N$122,Q136+1,R136)</f>
        <v>* group[=].element[=].display = ##34#A.5.2.14 Accreditation status##34#</v>
      </c>
    </row>
    <row r="137" spans="16:19" x14ac:dyDescent="0.75">
      <c r="P137" s="9">
        <v>123</v>
      </c>
      <c r="Q137" s="9">
        <f>IF(MOD(P137,$Q$8)=0,P137/$Q$8-1,INT(P137/$Q$8))</f>
        <v>20</v>
      </c>
      <c r="R137" s="9">
        <f>IF(MOD(P137,$Q$8)=0,$Q$8,MOD(P137,$Q$8))</f>
        <v>3</v>
      </c>
      <c r="S137" s="14" t="str" cm="1">
        <f t="array" ref="S137">INDEX('Results-ConceptMap-3'!$I$15:$N$122,Q137+1,R137)</f>
        <v>* group[=].element[=].target.code = #Observation.performer.resolve().ofType(organization).qualification</v>
      </c>
    </row>
    <row r="138" spans="16:19" x14ac:dyDescent="0.75">
      <c r="P138" s="9">
        <v>124</v>
      </c>
      <c r="Q138" s="9">
        <f t="shared" ref="Q138:Q142" si="34">IF(MOD(P138,$Q$8)=0,P138/$Q$8-1,INT(P138/$Q$8))</f>
        <v>20</v>
      </c>
      <c r="R138" s="9">
        <f t="shared" ref="R138:R142" si="35">IF(MOD(P138,$Q$8)=0,$Q$8,MOD(P138,$Q$8))</f>
        <v>4</v>
      </c>
      <c r="S138" s="14" t="str" cm="1">
        <f t="array" ref="S138">INDEX('Results-ConceptMap-3'!$I$15:$N$122,Q138+1,R138)</f>
        <v>* group[=].element[=].target.display = ##34###34#</v>
      </c>
    </row>
    <row r="139" spans="16:19" x14ac:dyDescent="0.75">
      <c r="P139" s="9">
        <v>125</v>
      </c>
      <c r="Q139" s="9">
        <f t="shared" si="34"/>
        <v>20</v>
      </c>
      <c r="R139" s="9">
        <f t="shared" si="35"/>
        <v>5</v>
      </c>
      <c r="S139" s="14" t="str" cm="1">
        <f t="array" ref="S139">INDEX('Results-ConceptMap-3'!$I$15:$N$122,Q139+1,R139)</f>
        <v>* group[=].element[=].target.equivalence = #relatedto</v>
      </c>
    </row>
    <row r="140" spans="16:19" x14ac:dyDescent="0.75">
      <c r="P140" s="9">
        <v>126</v>
      </c>
      <c r="Q140" s="9">
        <f t="shared" si="34"/>
        <v>20</v>
      </c>
      <c r="R140" s="9">
        <f t="shared" si="35"/>
        <v>6</v>
      </c>
      <c r="S140" s="14" t="str" cm="1">
        <f t="array" ref="S140">INDEX('Results-ConceptMap-3'!$I$15:$N$122,Q140+1,R140)</f>
        <v>* group[=].element[=].target.comment = ##34#to be checked##34#</v>
      </c>
    </row>
    <row r="141" spans="16:19" x14ac:dyDescent="0.75">
      <c r="P141" s="9">
        <v>127</v>
      </c>
      <c r="Q141" s="9">
        <f t="shared" si="34"/>
        <v>21</v>
      </c>
      <c r="R141" s="9">
        <f t="shared" si="35"/>
        <v>1</v>
      </c>
      <c r="S141" s="14" t="str" cm="1">
        <f t="array" ref="S141">INDEX('Results-ConceptMap-3'!$I$15:$N$122,Q141+1,R141)</f>
        <v>* group[=].element[+].code = #Result.observation.accreditationStatus</v>
      </c>
    </row>
    <row r="142" spans="16:19" x14ac:dyDescent="0.75">
      <c r="P142" s="9">
        <v>128</v>
      </c>
      <c r="Q142" s="9">
        <f t="shared" si="34"/>
        <v>21</v>
      </c>
      <c r="R142" s="9">
        <f t="shared" si="35"/>
        <v>2</v>
      </c>
      <c r="S142" s="14" t="str" cm="1">
        <f t="array" ref="S142">INDEX('Results-ConceptMap-3'!$I$15:$N$122,Q142+1,R142)</f>
        <v>* group[=].element[=].display = ##34#A.5.2.14 Accreditation status##34#</v>
      </c>
    </row>
    <row r="143" spans="16:19" x14ac:dyDescent="0.75">
      <c r="P143" s="9">
        <v>129</v>
      </c>
      <c r="Q143" s="9">
        <f>IF(MOD(P143,$Q$8)=0,P143/$Q$8-1,INT(P143/$Q$8))</f>
        <v>21</v>
      </c>
      <c r="R143" s="9">
        <f>IF(MOD(P143,$Q$8)=0,$Q$8,MOD(P143,$Q$8))</f>
        <v>3</v>
      </c>
      <c r="S143" s="14" t="str" cm="1">
        <f t="array" ref="S143">INDEX('Results-ConceptMap-3'!$I$15:$N$122,Q143+1,R143)</f>
        <v>* group[=].element[=].target.code = #Observation.performer.resolve().ofType(PractictionerRole).organization.resolve().qualification</v>
      </c>
    </row>
    <row r="144" spans="16:19" x14ac:dyDescent="0.75">
      <c r="P144" s="9">
        <v>130</v>
      </c>
      <c r="Q144" s="9">
        <f t="shared" ref="Q144:Q153" si="36">IF(MOD(P144,$Q$8)=0,P144/$Q$8-1,INT(P144/$Q$8))</f>
        <v>21</v>
      </c>
      <c r="R144" s="9">
        <f t="shared" ref="R144:R153" si="37">IF(MOD(P144,$Q$8)=0,$Q$8,MOD(P144,$Q$8))</f>
        <v>4</v>
      </c>
      <c r="S144" s="14" t="str" cm="1">
        <f t="array" ref="S144">INDEX('Results-ConceptMap-3'!$I$15:$N$122,Q144+1,R144)</f>
        <v>* group[=].element[=].target.display = ##34###34#</v>
      </c>
    </row>
    <row r="145" spans="16:19" x14ac:dyDescent="0.75">
      <c r="P145" s="9">
        <v>131</v>
      </c>
      <c r="Q145" s="9">
        <f t="shared" si="36"/>
        <v>21</v>
      </c>
      <c r="R145" s="9">
        <f t="shared" si="37"/>
        <v>5</v>
      </c>
      <c r="S145" s="14" t="str" cm="1">
        <f t="array" ref="S145">INDEX('Results-ConceptMap-3'!$I$15:$N$122,Q145+1,R145)</f>
        <v>* group[=].element[=].target.equivalence = #relatedto</v>
      </c>
    </row>
    <row r="146" spans="16:19" x14ac:dyDescent="0.75">
      <c r="P146" s="9">
        <v>132</v>
      </c>
      <c r="Q146" s="9">
        <f t="shared" si="36"/>
        <v>21</v>
      </c>
      <c r="R146" s="9">
        <f t="shared" si="37"/>
        <v>6</v>
      </c>
      <c r="S146" s="14" t="str" cm="1">
        <f t="array" ref="S146">INDEX('Results-ConceptMap-3'!$I$15:$N$122,Q146+1,R146)</f>
        <v>* group[=].element[=].target.comment = ##34#to be checked##34#</v>
      </c>
    </row>
    <row r="147" spans="16:19" x14ac:dyDescent="0.75">
      <c r="P147" s="9">
        <v>133</v>
      </c>
      <c r="Q147" s="9">
        <f t="shared" si="36"/>
        <v>22</v>
      </c>
      <c r="R147" s="9">
        <f t="shared" si="37"/>
        <v>1</v>
      </c>
      <c r="S147" s="14" cm="1">
        <f t="array" ref="S147">INDEX('Results-ConceptMap-3'!$I$15:$N$122,Q147+1,R147)</f>
        <v>0</v>
      </c>
    </row>
    <row r="148" spans="16:19" x14ac:dyDescent="0.75">
      <c r="P148" s="9">
        <v>134</v>
      </c>
      <c r="Q148" s="9">
        <f t="shared" si="36"/>
        <v>22</v>
      </c>
      <c r="R148" s="9">
        <f t="shared" si="37"/>
        <v>2</v>
      </c>
      <c r="S148" s="14" cm="1">
        <f t="array" ref="S148">INDEX('Results-ConceptMap-3'!$I$15:$N$122,Q148+1,R148)</f>
        <v>0</v>
      </c>
    </row>
    <row r="149" spans="16:19" x14ac:dyDescent="0.75">
      <c r="P149" s="9">
        <v>135</v>
      </c>
      <c r="Q149" s="9">
        <f t="shared" si="36"/>
        <v>22</v>
      </c>
      <c r="R149" s="9">
        <f t="shared" si="37"/>
        <v>3</v>
      </c>
      <c r="S149" s="14" cm="1">
        <f t="array" ref="S149">INDEX('Results-ConceptMap-3'!$I$15:$N$122,Q149+1,R149)</f>
        <v>0</v>
      </c>
    </row>
    <row r="150" spans="16:19" x14ac:dyDescent="0.75">
      <c r="P150" s="9">
        <v>136</v>
      </c>
      <c r="Q150" s="9">
        <f t="shared" si="36"/>
        <v>22</v>
      </c>
      <c r="R150" s="9">
        <f t="shared" si="37"/>
        <v>4</v>
      </c>
      <c r="S150" s="14" cm="1">
        <f t="array" ref="S150">INDEX('Results-ConceptMap-3'!$I$15:$N$122,Q150+1,R150)</f>
        <v>0</v>
      </c>
    </row>
    <row r="151" spans="16:19" x14ac:dyDescent="0.75">
      <c r="P151" s="9">
        <v>137</v>
      </c>
      <c r="Q151" s="9">
        <f t="shared" si="36"/>
        <v>22</v>
      </c>
      <c r="R151" s="9">
        <f t="shared" si="37"/>
        <v>5</v>
      </c>
      <c r="S151" s="14" cm="1">
        <f t="array" ref="S151">INDEX('Results-ConceptMap-3'!$I$15:$N$122,Q151+1,R151)</f>
        <v>0</v>
      </c>
    </row>
    <row r="152" spans="16:19" x14ac:dyDescent="0.75">
      <c r="P152" s="9">
        <v>138</v>
      </c>
      <c r="Q152" s="9">
        <f t="shared" si="36"/>
        <v>22</v>
      </c>
      <c r="R152" s="9">
        <f t="shared" si="37"/>
        <v>6</v>
      </c>
      <c r="S152" s="14" cm="1">
        <f t="array" ref="S152">INDEX('Results-ConceptMap-3'!$I$15:$N$122,Q152+1,R152)</f>
        <v>0</v>
      </c>
    </row>
    <row r="153" spans="16:19" x14ac:dyDescent="0.75">
      <c r="P153" s="9">
        <v>139</v>
      </c>
      <c r="Q153" s="9">
        <f t="shared" si="36"/>
        <v>23</v>
      </c>
      <c r="R153" s="9">
        <f t="shared" si="37"/>
        <v>1</v>
      </c>
      <c r="S153" s="14" cm="1">
        <f t="array" ref="S153">INDEX('Results-ConceptMap-3'!$I$15:$N$122,Q153+1,R153)</f>
        <v>0</v>
      </c>
    </row>
  </sheetData>
  <mergeCells count="2">
    <mergeCell ref="E6:G6"/>
    <mergeCell ref="E7:G7"/>
  </mergeCells>
  <hyperlinks>
    <hyperlink ref="E6" r:id="rId1" display="http://hl7.eu/fhir/laboratory/StructureDefinition/Author" xr:uid="{839C49E4-0B72-4B88-9906-8837DF8A1708}"/>
    <hyperlink ref="E7" r:id="rId2" xr:uid="{9EEA9774-80B8-4A0C-B1C0-8B36FCED142F}"/>
  </hyperlinks>
  <pageMargins left="0.7" right="0.7" top="0.75" bottom="0.75" header="0.3" footer="0.3"/>
</worksheet>
</file>

<file path=xl/worksheets/sheet5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2B1414-A8F3-4E39-B13C-4CBD10B98A1F}">
  <sheetPr codeName="Foglio63">
    <tabColor theme="0" tint="-0.34998626667073579"/>
  </sheetPr>
  <dimension ref="B1:G415"/>
  <sheetViews>
    <sheetView tabSelected="1" workbookViewId="0"/>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2" t="s">
        <v>37</v>
      </c>
    </row>
    <row r="2" spans="2:7" ht="16.75" thickBot="1" x14ac:dyDescent="0.9">
      <c r="B2" s="33" t="s">
        <v>661</v>
      </c>
      <c r="G2" s="56" t="s">
        <v>872</v>
      </c>
    </row>
    <row r="3" spans="2:7" x14ac:dyDescent="0.75">
      <c r="B3" s="33" t="s">
        <v>37</v>
      </c>
    </row>
    <row r="4" spans="2:7" x14ac:dyDescent="0.75">
      <c r="B4" s="77" t="str">
        <f>"Instance: "&amp;'Results-ConceptMap-1'!C4</f>
        <v>Instance: ConceptMap-eu-result2FHIR</v>
      </c>
    </row>
    <row r="5" spans="2:7" x14ac:dyDescent="0.75">
      <c r="B5" s="77" t="s">
        <v>662</v>
      </c>
    </row>
    <row r="6" spans="2:7" x14ac:dyDescent="0.75">
      <c r="B6" s="77" t="s">
        <v>663</v>
      </c>
    </row>
    <row r="7" spans="2:7" x14ac:dyDescent="0.75">
      <c r="B7" s="77" t="s">
        <v>677</v>
      </c>
    </row>
    <row r="8" spans="2:7" x14ac:dyDescent="0.75">
      <c r="B8" s="77" t="str">
        <f>"* name = ##34#"&amp;'Results-ConceptMap-1'!C3&amp;"##34#"</f>
        <v>* name = ##34#Result2Fhir##34#</v>
      </c>
    </row>
    <row r="9" spans="2:7" x14ac:dyDescent="0.75">
      <c r="B9" s="77" t="str">
        <f>"* title = ##34#"&amp;'Results-ConceptMap-1'!C5&amp;"##34#"</f>
        <v>* title = ##34#eHN Result to this guide Map##34#</v>
      </c>
    </row>
    <row r="10" spans="2:7" x14ac:dyDescent="0.75">
      <c r="B10" s="77" t="s">
        <v>664</v>
      </c>
    </row>
    <row r="11" spans="2:7" x14ac:dyDescent="0.75">
      <c r="B11" s="77" t="s">
        <v>665</v>
      </c>
    </row>
    <row r="12" spans="2:7" x14ac:dyDescent="0.75">
      <c r="B12" s="77" t="str">
        <f>"* description = ##34#"&amp;'Results-ConceptMap-1'!C8&amp;"##34#"</f>
        <v>* description = ##34#eHN Result Model to this guide Map##34#</v>
      </c>
    </row>
    <row r="13" spans="2:7" x14ac:dyDescent="0.75">
      <c r="B13" s="77" t="str">
        <f>"* purpose = ##34#"&amp;'Results-ConceptMap-1'!C9&amp;"##34#"</f>
        <v>* purpose = ##34#It shows how the Result data set defined by the EU eHN guidelines is mapped into this guide##34#</v>
      </c>
    </row>
    <row r="14" spans="2:7" x14ac:dyDescent="0.75">
      <c r="B14" s="78" t="str">
        <f>"* sourceUri = ##34#"&amp;'Results-ConceptMap-1'!E3&amp;"##34#"</f>
        <v>* sourceUri = ##34#http://hl7.eu/fhir/laboratory/StructureDefinition/Result##34#</v>
      </c>
    </row>
    <row r="15" spans="2:7" x14ac:dyDescent="0.75">
      <c r="B15" s="78" t="str">
        <f>"* targetUri = ##34#"&amp;'Results-ConceptMap-1'!E4&amp;"##34#"</f>
        <v>* targetUri = ##34#http://hl7.eu/fhir/laboratory/StructureDefinition/Bundle-eu-lab##34#</v>
      </c>
    </row>
    <row r="16" spans="2:7" x14ac:dyDescent="0.75">
      <c r="B16" s="77"/>
    </row>
    <row r="17" spans="2:2" x14ac:dyDescent="0.75">
      <c r="B17" s="77"/>
    </row>
    <row r="18" spans="2:2" x14ac:dyDescent="0.75">
      <c r="B18" s="79" t="str">
        <f>"* group[+].source = ##34#"&amp;'Results-ConceptMap-3'!E6&amp;"##34#"</f>
        <v>* group[+].source = ##34#http://hl7.eu/fhir/laboratory/StructureDefinition/Result##34#</v>
      </c>
    </row>
    <row r="19" spans="2:2" x14ac:dyDescent="0.75">
      <c r="B19" s="79" t="str">
        <f>"* group[=].target = ##34#"&amp;'Results-ConceptMap-3'!E7&amp;"##34#"</f>
        <v>* group[=].target = ##34#http://hl7.eu/fhir/laboratory/StructureDefinition/Observation-resultslab-eu-lab##34#</v>
      </c>
    </row>
    <row r="20" spans="2:2" x14ac:dyDescent="0.75">
      <c r="B20" s="81"/>
    </row>
    <row r="21" spans="2:2" x14ac:dyDescent="0.75">
      <c r="B21" s="14" t="str">
        <f>IF('Results-ConceptMap-3'!S15=0,"//---END",'Results-ConceptMap-3'!S15)</f>
        <v>* group[=].element[+].code = #Result.narrative</v>
      </c>
    </row>
    <row r="22" spans="2:2" x14ac:dyDescent="0.75">
      <c r="B22" s="14" t="str">
        <f>IF('Results-ConceptMap-3'!S16=0,"//---END",'Results-ConceptMap-3'!S16)</f>
        <v>* group[=].element[=].display = ##34#A.5.1 Laboratory report narrative##34#</v>
      </c>
    </row>
    <row r="23" spans="2:2" x14ac:dyDescent="0.75">
      <c r="B23" s="14" t="str">
        <f>IF('Results-ConceptMap-3'!S17=0,"//---END",'Results-ConceptMap-3'!S17)</f>
        <v>//-- unmatched</v>
      </c>
    </row>
    <row r="24" spans="2:2" x14ac:dyDescent="0.75">
      <c r="B24" s="14" t="str">
        <f>IF('Results-ConceptMap-3'!S18=0,"//---END",'Results-ConceptMap-3'!S18)</f>
        <v>//-- unmatched</v>
      </c>
    </row>
    <row r="25" spans="2:2" x14ac:dyDescent="0.75">
      <c r="B25" s="14" t="str">
        <f>IF('Results-ConceptMap-3'!S19=0,"//---END",'Results-ConceptMap-3'!S19)</f>
        <v>* group[=].element[=].target.equivalence = #unmatched</v>
      </c>
    </row>
    <row r="26" spans="2:2" x14ac:dyDescent="0.75">
      <c r="B26" s="14" t="str">
        <f>IF('Results-ConceptMap-3'!S20=0,"//---END",'Results-ConceptMap-3'!S20)</f>
        <v/>
      </c>
    </row>
    <row r="27" spans="2:2" x14ac:dyDescent="0.75">
      <c r="B27" s="14" t="str">
        <f>IF('Results-ConceptMap-3'!S21=0,"//---END",'Results-ConceptMap-3'!S21)</f>
        <v>* group[=].element[+].code = #Result.narrative.report</v>
      </c>
    </row>
    <row r="28" spans="2:2" x14ac:dyDescent="0.75">
      <c r="B28" s="14" t="str">
        <f>IF('Results-ConceptMap-3'!S22=0,"//---END",'Results-ConceptMap-3'!S22)</f>
        <v>* group[=].element[=].display = ##34#A.5.1.1 Narrative report##34#</v>
      </c>
    </row>
    <row r="29" spans="2:2" x14ac:dyDescent="0.75">
      <c r="B29" s="14" t="str">
        <f>IF('Results-ConceptMap-3'!S23=0,"//---END",'Results-ConceptMap-3'!S23)</f>
        <v>//-- unmatched</v>
      </c>
    </row>
    <row r="30" spans="2:2" x14ac:dyDescent="0.75">
      <c r="B30" s="14" t="str">
        <f>IF('Results-ConceptMap-3'!S24=0,"//---END",'Results-ConceptMap-3'!S24)</f>
        <v>//-- unmatched</v>
      </c>
    </row>
    <row r="31" spans="2:2" x14ac:dyDescent="0.75">
      <c r="B31" s="14" t="str">
        <f>IF('Results-ConceptMap-3'!S25=0,"//---END",'Results-ConceptMap-3'!S25)</f>
        <v>* group[=].element[=].target.equivalence = #unmatched</v>
      </c>
    </row>
    <row r="32" spans="2:2" x14ac:dyDescent="0.75">
      <c r="B32" s="14" t="str">
        <f>IF('Results-ConceptMap-3'!S26=0,"//---END",'Results-ConceptMap-3'!S26)</f>
        <v/>
      </c>
    </row>
    <row r="33" spans="2:2" x14ac:dyDescent="0.75">
      <c r="B33" s="14" t="str">
        <f>IF('Results-ConceptMap-3'!S27=0,"//---END",'Results-ConceptMap-3'!S27)</f>
        <v>* group[=].element[+].code = #Result.narrative.notes</v>
      </c>
    </row>
    <row r="34" spans="2:2" x14ac:dyDescent="0.75">
      <c r="B34" s="14" t="str">
        <f>IF('Results-ConceptMap-3'!S28=0,"//---END",'Results-ConceptMap-3'!S28)</f>
        <v>* group[=].element[=].display = ##34#A.5.1.2 Comments, interpretation and recommendations##34#</v>
      </c>
    </row>
    <row r="35" spans="2:2" x14ac:dyDescent="0.75">
      <c r="B35" s="14" t="str">
        <f>IF('Results-ConceptMap-3'!S29=0,"//---END",'Results-ConceptMap-3'!S29)</f>
        <v>//-- unmatched</v>
      </c>
    </row>
    <row r="36" spans="2:2" x14ac:dyDescent="0.75">
      <c r="B36" s="14" t="str">
        <f>IF('Results-ConceptMap-3'!S30=0,"//---END",'Results-ConceptMap-3'!S30)</f>
        <v>//-- unmatched</v>
      </c>
    </row>
    <row r="37" spans="2:2" x14ac:dyDescent="0.75">
      <c r="B37" s="14" t="str">
        <f>IF('Results-ConceptMap-3'!S31=0,"//---END",'Results-ConceptMap-3'!S31)</f>
        <v>* group[=].element[=].target.equivalence = #unmatched</v>
      </c>
    </row>
    <row r="38" spans="2:2" x14ac:dyDescent="0.75">
      <c r="B38" s="14" t="str">
        <f>IF('Results-ConceptMap-3'!S32=0,"//---END",'Results-ConceptMap-3'!S32)</f>
        <v/>
      </c>
    </row>
    <row r="39" spans="2:2" x14ac:dyDescent="0.75">
      <c r="B39" s="14" t="str">
        <f>IF('Results-ConceptMap-3'!S33=0,"//---END",'Results-ConceptMap-3'!S33)</f>
        <v>* group[=].element[+].code = #Result.observation</v>
      </c>
    </row>
    <row r="40" spans="2:2" x14ac:dyDescent="0.75">
      <c r="B40" s="14" t="str">
        <f>IF('Results-ConceptMap-3'!S34=0,"//---END",'Results-ConceptMap-3'!S34)</f>
        <v>* group[=].element[=].display = ##34#A.5.2 Observation details##34#</v>
      </c>
    </row>
    <row r="41" spans="2:2" x14ac:dyDescent="0.75">
      <c r="B41" s="14" t="str">
        <f>IF('Results-ConceptMap-3'!S35=0,"//---END",'Results-ConceptMap-3'!S35)</f>
        <v>* group[=].element[=].target.code = #Observation</v>
      </c>
    </row>
    <row r="42" spans="2:2" x14ac:dyDescent="0.75">
      <c r="B42" s="14" t="str">
        <f>IF('Results-ConceptMap-3'!S36=0,"//---END",'Results-ConceptMap-3'!S36)</f>
        <v>* group[=].element[=].target.display = ##34###34#</v>
      </c>
    </row>
    <row r="43" spans="2:2" x14ac:dyDescent="0.75">
      <c r="B43" s="14" t="str">
        <f>IF('Results-ConceptMap-3'!S37=0,"//---END",'Results-ConceptMap-3'!S37)</f>
        <v>* group[=].element[=].target.equivalence = #equivalent</v>
      </c>
    </row>
    <row r="44" spans="2:2" x14ac:dyDescent="0.75">
      <c r="B44" s="14" t="str">
        <f>IF('Results-ConceptMap-3'!S38=0,"//---END",'Results-ConceptMap-3'!S38)</f>
        <v/>
      </c>
    </row>
    <row r="45" spans="2:2" x14ac:dyDescent="0.75">
      <c r="B45" s="14" t="str">
        <f>IF('Results-ConceptMap-3'!S39=0,"//---END",'Results-ConceptMap-3'!S39)</f>
        <v>* group[=].element[+].code = #Result.observation.dateTime</v>
      </c>
    </row>
    <row r="46" spans="2:2" x14ac:dyDescent="0.75">
      <c r="B46" s="14" t="str">
        <f>IF('Results-ConceptMap-3'!S40=0,"//---END",'Results-ConceptMap-3'!S40)</f>
        <v>* group[=].element[=].display = ##34#A.5.2.1 Observation date##34#</v>
      </c>
    </row>
    <row r="47" spans="2:2" x14ac:dyDescent="0.75">
      <c r="B47" s="14" t="str">
        <f>IF('Results-ConceptMap-3'!S41=0,"//---END",'Results-ConceptMap-3'!S41)</f>
        <v>* group[=].element[=].target.code = #Observation.effective[x]</v>
      </c>
    </row>
    <row r="48" spans="2:2" x14ac:dyDescent="0.75">
      <c r="B48" s="14" t="str">
        <f>IF('Results-ConceptMap-3'!S42=0,"//---END",'Results-ConceptMap-3'!S42)</f>
        <v>* group[=].element[=].target.display = ##34###34#</v>
      </c>
    </row>
    <row r="49" spans="2:2" x14ac:dyDescent="0.75">
      <c r="B49" s="14" t="str">
        <f>IF('Results-ConceptMap-3'!S43=0,"//---END",'Results-ConceptMap-3'!S43)</f>
        <v>* group[=].element[=].target.equivalence = #equivalent</v>
      </c>
    </row>
    <row r="50" spans="2:2" x14ac:dyDescent="0.75">
      <c r="B50" s="14" t="str">
        <f>IF('Results-ConceptMap-3'!S44=0,"//---END",'Results-ConceptMap-3'!S44)</f>
        <v/>
      </c>
    </row>
    <row r="51" spans="2:2" x14ac:dyDescent="0.75">
      <c r="B51" s="14" t="str">
        <f>IF('Results-ConceptMap-3'!S45=0,"//---END",'Results-ConceptMap-3'!S45)</f>
        <v>* group[=].element[+].code = #Result.observation.code</v>
      </c>
    </row>
    <row r="52" spans="2:2" x14ac:dyDescent="0.75">
      <c r="B52" s="14" t="str">
        <f>IF('Results-ConceptMap-3'!S46=0,"//---END",'Results-ConceptMap-3'!S46)</f>
        <v>* group[=].element[=].display = ##34#A.5.2.3 Observation code##34#</v>
      </c>
    </row>
    <row r="53" spans="2:2" x14ac:dyDescent="0.75">
      <c r="B53" s="14" t="str">
        <f>IF('Results-ConceptMap-3'!S47=0,"//---END",'Results-ConceptMap-3'!S47)</f>
        <v>* group[=].element[=].target.code = #Observation.code.coding.code</v>
      </c>
    </row>
    <row r="54" spans="2:2" x14ac:dyDescent="0.75">
      <c r="B54" s="14" t="str">
        <f>IF('Results-ConceptMap-3'!S48=0,"//---END",'Results-ConceptMap-3'!S48)</f>
        <v>* group[=].element[=].target.display = ##34###34#</v>
      </c>
    </row>
    <row r="55" spans="2:2" x14ac:dyDescent="0.75">
      <c r="B55" s="14" t="str">
        <f>IF('Results-ConceptMap-3'!S49=0,"//---END",'Results-ConceptMap-3'!S49)</f>
        <v>* group[=].element[=].target.equivalence = #relatedto</v>
      </c>
    </row>
    <row r="56" spans="2:2" x14ac:dyDescent="0.75">
      <c r="B56" s="14" t="str">
        <f>IF('Results-ConceptMap-3'!S50=0,"//---END",'Results-ConceptMap-3'!S50)</f>
        <v>* group[=].element[=].target.comment = ##34#depends on the type of test##34#</v>
      </c>
    </row>
    <row r="57" spans="2:2" x14ac:dyDescent="0.75">
      <c r="B57" s="14" t="str">
        <f>IF('Results-ConceptMap-3'!S51=0,"//---END",'Results-ConceptMap-3'!S51)</f>
        <v>* group[=].element[+].code = #Result.observation.code</v>
      </c>
    </row>
    <row r="58" spans="2:2" x14ac:dyDescent="0.75">
      <c r="B58" s="14" t="str">
        <f>IF('Results-ConceptMap-3'!S52=0,"//---END",'Results-ConceptMap-3'!S52)</f>
        <v>* group[=].element[=].display = ##34#A.5.2.3 Observation code##34#</v>
      </c>
    </row>
    <row r="59" spans="2:2" x14ac:dyDescent="0.75">
      <c r="B59" s="14" t="str">
        <f>IF('Results-ConceptMap-3'!S53=0,"//---END",'Results-ConceptMap-3'!S53)</f>
        <v>* group[=].element[=].target.code = #Observation.component.code.coding.code</v>
      </c>
    </row>
    <row r="60" spans="2:2" x14ac:dyDescent="0.75">
      <c r="B60" s="14" t="str">
        <f>IF('Results-ConceptMap-3'!S54=0,"//---END",'Results-ConceptMap-3'!S54)</f>
        <v>* group[=].element[=].target.display = ##34###34#</v>
      </c>
    </row>
    <row r="61" spans="2:2" x14ac:dyDescent="0.75">
      <c r="B61" s="14" t="str">
        <f>IF('Results-ConceptMap-3'!S55=0,"//---END",'Results-ConceptMap-3'!S55)</f>
        <v>* group[=].element[=].target.equivalence = #relatedto</v>
      </c>
    </row>
    <row r="62" spans="2:2" x14ac:dyDescent="0.75">
      <c r="B62" s="14" t="str">
        <f>IF('Results-ConceptMap-3'!S56=0,"//---END",'Results-ConceptMap-3'!S56)</f>
        <v>* group[=].element[=].target.comment = ##34#depends on the type of test##34#</v>
      </c>
    </row>
    <row r="63" spans="2:2" x14ac:dyDescent="0.75">
      <c r="B63" s="14" t="str">
        <f>IF('Results-ConceptMap-3'!S57=0,"//---END",'Results-ConceptMap-3'!S57)</f>
        <v>* group[=].element[+].code = #Result.observation.code.name</v>
      </c>
    </row>
    <row r="64" spans="2:2" x14ac:dyDescent="0.75">
      <c r="B64" s="14" t="str">
        <f>IF('Results-ConceptMap-3'!S58=0,"//---END",'Results-ConceptMap-3'!S58)</f>
        <v>* group[=].element[=].display = ##34#A.5.2.3.1 Observation name##34#</v>
      </c>
    </row>
    <row r="65" spans="2:2" x14ac:dyDescent="0.75">
      <c r="B65" s="14" t="str">
        <f>IF('Results-ConceptMap-3'!S59=0,"//---END",'Results-ConceptMap-3'!S59)</f>
        <v>* group[=].element[=].target.code = #Observation.code.coding.display</v>
      </c>
    </row>
    <row r="66" spans="2:2" x14ac:dyDescent="0.75">
      <c r="B66" s="14" t="str">
        <f>IF('Results-ConceptMap-3'!S60=0,"//---END",'Results-ConceptMap-3'!S60)</f>
        <v>* group[=].element[=].target.display = ##34###34#</v>
      </c>
    </row>
    <row r="67" spans="2:2" x14ac:dyDescent="0.75">
      <c r="B67" s="14" t="str">
        <f>IF('Results-ConceptMap-3'!S61=0,"//---END",'Results-ConceptMap-3'!S61)</f>
        <v>* group[=].element[=].target.equivalence = #relatedto</v>
      </c>
    </row>
    <row r="68" spans="2:2" ht="29.5" x14ac:dyDescent="0.75">
      <c r="B68" s="14" t="str">
        <f>IF('Results-ConceptMap-3'!S62=0,"//---END",'Results-ConceptMap-3'!S62)</f>
        <v>* group[=].element[=].target.comment = ##34#if the designation of the original code.
If the 'code' is in the Observation.code##34#</v>
      </c>
    </row>
    <row r="69" spans="2:2" x14ac:dyDescent="0.75">
      <c r="B69" s="14" t="str">
        <f>IF('Results-ConceptMap-3'!S63=0,"//---END",'Results-ConceptMap-3'!S63)</f>
        <v>* group[=].element[+].code = #Result.observation.code.originalName</v>
      </c>
    </row>
    <row r="70" spans="2:2" x14ac:dyDescent="0.75">
      <c r="B70" s="14" t="str">
        <f>IF('Results-ConceptMap-3'!S64=0,"//---END",'Results-ConceptMap-3'!S64)</f>
        <v>* group[=].element[=].display = ##34#A.5.2.3.2 Observation original name##34#</v>
      </c>
    </row>
    <row r="71" spans="2:2" x14ac:dyDescent="0.75">
      <c r="B71" s="14" t="str">
        <f>IF('Results-ConceptMap-3'!S65=0,"//---END",'Results-ConceptMap-3'!S65)</f>
        <v>* group[=].element[=].target.code = #Observation.code.text</v>
      </c>
    </row>
    <row r="72" spans="2:2" x14ac:dyDescent="0.75">
      <c r="B72" s="14" t="str">
        <f>IF('Results-ConceptMap-3'!S66=0,"//---END",'Results-ConceptMap-3'!S66)</f>
        <v>* group[=].element[=].target.display = ##34###34#</v>
      </c>
    </row>
    <row r="73" spans="2:2" x14ac:dyDescent="0.75">
      <c r="B73" s="14" t="str">
        <f>IF('Results-ConceptMap-3'!S67=0,"//---END",'Results-ConceptMap-3'!S67)</f>
        <v>* group[=].element[=].target.equivalence = #equivalent</v>
      </c>
    </row>
    <row r="74" spans="2:2" x14ac:dyDescent="0.75">
      <c r="B74" s="14" t="str">
        <f>IF('Results-ConceptMap-3'!S68=0,"//---END",'Results-ConceptMap-3'!S68)</f>
        <v>* group[=].element[=].target.comment = ##34#If the 'code' is in the Observation.code##34#</v>
      </c>
    </row>
    <row r="75" spans="2:2" x14ac:dyDescent="0.75">
      <c r="B75" s="14" t="str">
        <f>IF('Results-ConceptMap-3'!S69=0,"//---END",'Results-ConceptMap-3'!S69)</f>
        <v>* group[=].element[+].code = #Result.observation.code.displayName</v>
      </c>
    </row>
    <row r="76" spans="2:2" x14ac:dyDescent="0.75">
      <c r="B76" s="14" t="str">
        <f>IF('Results-ConceptMap-3'!S70=0,"//---END",'Results-ConceptMap-3'!S70)</f>
        <v>* group[=].element[=].display = ##34#A.5.2.3.3 Observation display name##34#</v>
      </c>
    </row>
    <row r="77" spans="2:2" x14ac:dyDescent="0.75">
      <c r="B77" s="14" t="str">
        <f>IF('Results-ConceptMap-3'!S71=0,"//---END",'Results-ConceptMap-3'!S71)</f>
        <v>* group[=].element[=].target.code = #Observation.code.coding.display</v>
      </c>
    </row>
    <row r="78" spans="2:2" x14ac:dyDescent="0.75">
      <c r="B78" s="14" t="str">
        <f>IF('Results-ConceptMap-3'!S72=0,"//---END",'Results-ConceptMap-3'!S72)</f>
        <v>* group[=].element[=].target.display = ##34###34#</v>
      </c>
    </row>
    <row r="79" spans="2:2" x14ac:dyDescent="0.75">
      <c r="B79" s="14" t="str">
        <f>IF('Results-ConceptMap-3'!S73=0,"//---END",'Results-ConceptMap-3'!S73)</f>
        <v>* group[=].element[=].target.equivalence = #equivalent</v>
      </c>
    </row>
    <row r="80" spans="2:2" x14ac:dyDescent="0.75">
      <c r="B80" s="14" t="str">
        <f>IF('Results-ConceptMap-3'!S74=0,"//---END",'Results-ConceptMap-3'!S74)</f>
        <v>* group[=].element[=].target.comment = ##34#If the 'code' is in the Observation.code##34#</v>
      </c>
    </row>
    <row r="81" spans="2:2" x14ac:dyDescent="0.75">
      <c r="B81" s="14" t="str">
        <f>IF('Results-ConceptMap-3'!S75=0,"//---END",'Results-ConceptMap-3'!S75)</f>
        <v>* group[=].element[+].code = #Result.observation.method</v>
      </c>
    </row>
    <row r="82" spans="2:2" x14ac:dyDescent="0.75">
      <c r="B82" s="14" t="str">
        <f>IF('Results-ConceptMap-3'!S76=0,"//---END",'Results-ConceptMap-3'!S76)</f>
        <v>* group[=].element[=].display = ##34#A.5.2.4 Observation method##34#</v>
      </c>
    </row>
    <row r="83" spans="2:2" x14ac:dyDescent="0.75">
      <c r="B83" s="14" t="str">
        <f>IF('Results-ConceptMap-3'!S77=0,"//---END",'Results-ConceptMap-3'!S77)</f>
        <v>* group[=].element[=].target.code = #Observation.method</v>
      </c>
    </row>
    <row r="84" spans="2:2" x14ac:dyDescent="0.75">
      <c r="B84" s="14" t="str">
        <f>IF('Results-ConceptMap-3'!S78=0,"//---END",'Results-ConceptMap-3'!S78)</f>
        <v>* group[=].element[=].target.display = ##34###34#</v>
      </c>
    </row>
    <row r="85" spans="2:2" x14ac:dyDescent="0.75">
      <c r="B85" s="14" t="str">
        <f>IF('Results-ConceptMap-3'!S79=0,"//---END",'Results-ConceptMap-3'!S79)</f>
        <v>* group[=].element[=].target.equivalence = #equivalent</v>
      </c>
    </row>
    <row r="86" spans="2:2" x14ac:dyDescent="0.75">
      <c r="B86" s="14" t="str">
        <f>IF('Results-ConceptMap-3'!S80=0,"//---END",'Results-ConceptMap-3'!S80)</f>
        <v/>
      </c>
    </row>
    <row r="87" spans="2:2" x14ac:dyDescent="0.75">
      <c r="B87" s="14" t="str">
        <f>IF('Results-ConceptMap-3'!S81=0,"//---END",'Results-ConceptMap-3'!S81)</f>
        <v>* group[=].element[+].code = #Result.observation.device</v>
      </c>
    </row>
    <row r="88" spans="2:2" x14ac:dyDescent="0.75">
      <c r="B88" s="14" t="str">
        <f>IF('Results-ConceptMap-3'!S82=0,"//---END",'Results-ConceptMap-3'!S82)</f>
        <v>* group[=].element[=].display = ##34#A.5.2.5 Observation device##34#</v>
      </c>
    </row>
    <row r="89" spans="2:2" x14ac:dyDescent="0.75">
      <c r="B89" s="14" t="str">
        <f>IF('Results-ConceptMap-3'!S83=0,"//---END",'Results-ConceptMap-3'!S83)</f>
        <v>* group[=].element[=].target.code = #Observation.device</v>
      </c>
    </row>
    <row r="90" spans="2:2" x14ac:dyDescent="0.75">
      <c r="B90" s="14" t="str">
        <f>IF('Results-ConceptMap-3'!S84=0,"//---END",'Results-ConceptMap-3'!S84)</f>
        <v>* group[=].element[=].target.display = ##34###34#</v>
      </c>
    </row>
    <row r="91" spans="2:2" x14ac:dyDescent="0.75">
      <c r="B91" s="14" t="str">
        <f>IF('Results-ConceptMap-3'!S85=0,"//---END",'Results-ConceptMap-3'!S85)</f>
        <v>* group[=].element[=].target.equivalence = #relatedto</v>
      </c>
    </row>
    <row r="92" spans="2:2" x14ac:dyDescent="0.75">
      <c r="B92" s="14" t="str">
        <f>IF('Results-ConceptMap-3'!S86=0,"//---END",'Results-ConceptMap-3'!S86)</f>
        <v>* group[=].element[=].target.comment = ##34#if the measuring device##34#</v>
      </c>
    </row>
    <row r="93" spans="2:2" x14ac:dyDescent="0.75">
      <c r="B93" s="14" t="str">
        <f>IF('Results-ConceptMap-3'!S87=0,"//---END",'Results-ConceptMap-3'!S87)</f>
        <v>* group[=].element[+].code = #Result.observation.order</v>
      </c>
    </row>
    <row r="94" spans="2:2" x14ac:dyDescent="0.75">
      <c r="B94" s="14" t="str">
        <f>IF('Results-ConceptMap-3'!S88=0,"//---END",'Results-ConceptMap-3'!S88)</f>
        <v>* group[=].element[=].display = ##34#A.5.2.8 Order##34#</v>
      </c>
    </row>
    <row r="95" spans="2:2" x14ac:dyDescent="0.75">
      <c r="B95" s="14" t="str">
        <f>IF('Results-ConceptMap-3'!S89=0,"//---END",'Results-ConceptMap-3'!S89)</f>
        <v>* group[=].element[=].target.code = #Observation.basedOn.resolve()</v>
      </c>
    </row>
    <row r="96" spans="2:2" x14ac:dyDescent="0.75">
      <c r="B96" s="14" t="str">
        <f>IF('Results-ConceptMap-3'!S90=0,"//---END",'Results-ConceptMap-3'!S90)</f>
        <v>* group[=].element[=].target.display = ##34###34#</v>
      </c>
    </row>
    <row r="97" spans="2:2" x14ac:dyDescent="0.75">
      <c r="B97" s="14" t="str">
        <f>IF('Results-ConceptMap-3'!S91=0,"//---END",'Results-ConceptMap-3'!S91)</f>
        <v>* group[=].element[=].target.equivalence = #equivalent</v>
      </c>
    </row>
    <row r="98" spans="2:2" x14ac:dyDescent="0.75">
      <c r="B98" s="14" t="str">
        <f>IF('Results-ConceptMap-3'!S92=0,"//---END",'Results-ConceptMap-3'!S92)</f>
        <v/>
      </c>
    </row>
    <row r="99" spans="2:2" x14ac:dyDescent="0.75">
      <c r="B99" s="14" t="str">
        <f>IF('Results-ConceptMap-3'!S93=0,"//---END",'Results-ConceptMap-3'!S93)</f>
        <v>* group[=].element[+].code = #Result.observation.performer</v>
      </c>
    </row>
    <row r="100" spans="2:2" x14ac:dyDescent="0.75">
      <c r="B100" s="14" t="str">
        <f>IF('Results-ConceptMap-3'!S94=0,"//---END",'Results-ConceptMap-3'!S94)</f>
        <v>* group[=].element[=].display = ##34#A.5.2.9 Performer##34#</v>
      </c>
    </row>
    <row r="101" spans="2:2" x14ac:dyDescent="0.75">
      <c r="B101" s="14" t="str">
        <f>IF('Results-ConceptMap-3'!S95=0,"//---END",'Results-ConceptMap-3'!S95)</f>
        <v>* group[=].element[=].target.code = #Observation.performer</v>
      </c>
    </row>
    <row r="102" spans="2:2" x14ac:dyDescent="0.75">
      <c r="B102" s="14" t="str">
        <f>IF('Results-ConceptMap-3'!S96=0,"//---END",'Results-ConceptMap-3'!S96)</f>
        <v>* group[=].element[=].target.display = ##34###34#</v>
      </c>
    </row>
    <row r="103" spans="2:2" x14ac:dyDescent="0.75">
      <c r="B103" s="14" t="str">
        <f>IF('Results-ConceptMap-3'!S97=0,"//---END",'Results-ConceptMap-3'!S97)</f>
        <v>* group[=].element[=].target.equivalence = #equivalent</v>
      </c>
    </row>
    <row r="104" spans="2:2" x14ac:dyDescent="0.75">
      <c r="B104" s="14" t="str">
        <f>IF('Results-ConceptMap-3'!S98=0,"//---END",'Results-ConceptMap-3'!S98)</f>
        <v/>
      </c>
    </row>
    <row r="105" spans="2:2" x14ac:dyDescent="0.75">
      <c r="B105" s="14" t="str">
        <f>IF('Results-ConceptMap-3'!S99=0,"//---END",'Results-ConceptMap-3'!S99)</f>
        <v>* group[=].element[+].code = #Result.observation.reporter</v>
      </c>
    </row>
    <row r="106" spans="2:2" x14ac:dyDescent="0.75">
      <c r="B106" s="14" t="str">
        <f>IF('Results-ConceptMap-3'!S100=0,"//---END",'Results-ConceptMap-3'!S100)</f>
        <v>* group[=].element[=].display = ##34#A.5.2.10 Reporter##34#</v>
      </c>
    </row>
    <row r="107" spans="2:2" x14ac:dyDescent="0.75">
      <c r="B107" s="14" t="str">
        <f>IF('Results-ConceptMap-3'!S101=0,"//---END",'Results-ConceptMap-3'!S101)</f>
        <v>//-- unmatched</v>
      </c>
    </row>
    <row r="108" spans="2:2" x14ac:dyDescent="0.75">
      <c r="B108" s="14" t="str">
        <f>IF('Results-ConceptMap-3'!S102=0,"//---END",'Results-ConceptMap-3'!S102)</f>
        <v>//-- unmatched</v>
      </c>
    </row>
    <row r="109" spans="2:2" x14ac:dyDescent="0.75">
      <c r="B109" s="14" t="str">
        <f>IF('Results-ConceptMap-3'!S103=0,"//---END",'Results-ConceptMap-3'!S103)</f>
        <v>* group[=].element[=].target.equivalence = #unmatched</v>
      </c>
    </row>
    <row r="110" spans="2:2" x14ac:dyDescent="0.75">
      <c r="B110" s="14" t="str">
        <f>IF('Results-ConceptMap-3'!S104=0,"//---END",'Results-ConceptMap-3'!S104)</f>
        <v>* group[=].element[=].target.comment = ##34#interpreter or a person responsible for validation of this result. To be checked##34#</v>
      </c>
    </row>
    <row r="111" spans="2:2" x14ac:dyDescent="0.75">
      <c r="B111" s="14" t="str">
        <f>IF('Results-ConceptMap-3'!S105=0,"//---END",'Results-ConceptMap-3'!S105)</f>
        <v>* group[=].element[+].code = #Result.observation.result</v>
      </c>
    </row>
    <row r="112" spans="2:2" x14ac:dyDescent="0.75">
      <c r="B112" s="14" t="str">
        <f>IF('Results-ConceptMap-3'!S106=0,"//---END",'Results-ConceptMap-3'!S106)</f>
        <v>* group[=].element[=].display = ##34#A.5.2.11 Observation result##34#</v>
      </c>
    </row>
    <row r="113" spans="2:2" x14ac:dyDescent="0.75">
      <c r="B113" s="14" t="str">
        <f>IF('Results-ConceptMap-3'!S107=0,"//---END",'Results-ConceptMap-3'!S107)</f>
        <v>* group[=].element[=].target.code = #Observation.value[x]</v>
      </c>
    </row>
    <row r="114" spans="2:2" x14ac:dyDescent="0.75">
      <c r="B114" s="14" t="str">
        <f>IF('Results-ConceptMap-3'!S108=0,"//---END",'Results-ConceptMap-3'!S108)</f>
        <v>* group[=].element[=].target.display = ##34###34#</v>
      </c>
    </row>
    <row r="115" spans="2:2" x14ac:dyDescent="0.75">
      <c r="B115" s="14" t="str">
        <f>IF('Results-ConceptMap-3'!S109=0,"//---END",'Results-ConceptMap-3'!S109)</f>
        <v>* group[=].element[=].target.equivalence = #equivalent</v>
      </c>
    </row>
    <row r="116" spans="2:2" x14ac:dyDescent="0.75">
      <c r="B116" s="14" t="str">
        <f>IF('Results-ConceptMap-3'!S110=0,"//---END",'Results-ConceptMap-3'!S110)</f>
        <v>* group[=].element[=].target.comment = ##34#depends on the type of test##34#</v>
      </c>
    </row>
    <row r="117" spans="2:2" x14ac:dyDescent="0.75">
      <c r="B117" s="14" t="str">
        <f>IF('Results-ConceptMap-3'!S111=0,"//---END",'Results-ConceptMap-3'!S111)</f>
        <v>* group[=].element[+].code = #Result.observation.result</v>
      </c>
    </row>
    <row r="118" spans="2:2" x14ac:dyDescent="0.75">
      <c r="B118" s="14" t="str">
        <f>IF('Results-ConceptMap-3'!S112=0,"//---END",'Results-ConceptMap-3'!S112)</f>
        <v>* group[=].element[=].display = ##34#A.5.2.11 Observation result##34#</v>
      </c>
    </row>
    <row r="119" spans="2:2" x14ac:dyDescent="0.75">
      <c r="B119" s="14" t="str">
        <f>IF('Results-ConceptMap-3'!S113=0,"//---END",'Results-ConceptMap-3'!S113)</f>
        <v>* group[=].element[=].target.code = #Observation.component.value[x]</v>
      </c>
    </row>
    <row r="120" spans="2:2" x14ac:dyDescent="0.75">
      <c r="B120" s="14" t="str">
        <f>IF('Results-ConceptMap-3'!S114=0,"//---END",'Results-ConceptMap-3'!S114)</f>
        <v>* group[=].element[=].target.display = ##34###34#</v>
      </c>
    </row>
    <row r="121" spans="2:2" x14ac:dyDescent="0.75">
      <c r="B121" s="14" t="str">
        <f>IF('Results-ConceptMap-3'!S115=0,"//---END",'Results-ConceptMap-3'!S115)</f>
        <v>* group[=].element[=].target.equivalence = #equivalent</v>
      </c>
    </row>
    <row r="122" spans="2:2" x14ac:dyDescent="0.75">
      <c r="B122" s="14" t="str">
        <f>IF('Results-ConceptMap-3'!S116=0,"//---END",'Results-ConceptMap-3'!S116)</f>
        <v>* group[=].element[=].target.comment = ##34#depends on the type of test##34#</v>
      </c>
    </row>
    <row r="123" spans="2:2" x14ac:dyDescent="0.75">
      <c r="B123" s="14" t="str">
        <f>IF('Results-ConceptMap-3'!S117=0,"//---END",'Results-ConceptMap-3'!S117)</f>
        <v>* group[=].element[+].code = #Result.observation.interpretation</v>
      </c>
    </row>
    <row r="124" spans="2:2" x14ac:dyDescent="0.75">
      <c r="B124" s="14" t="str">
        <f>IF('Results-ConceptMap-3'!S118=0,"//---END",'Results-ConceptMap-3'!S118)</f>
        <v>* group[=].element[=].display = ##34#A.5.2.12 Observation interpretation##34#</v>
      </c>
    </row>
    <row r="125" spans="2:2" x14ac:dyDescent="0.75">
      <c r="B125" s="14" t="str">
        <f>IF('Results-ConceptMap-3'!S119=0,"//---END",'Results-ConceptMap-3'!S119)</f>
        <v>* group[=].element[=].target.code = #Observation.interpretation</v>
      </c>
    </row>
    <row r="126" spans="2:2" x14ac:dyDescent="0.75">
      <c r="B126" s="14" t="str">
        <f>IF('Results-ConceptMap-3'!S120=0,"//---END",'Results-ConceptMap-3'!S120)</f>
        <v>* group[=].element[=].target.display = ##34###34#</v>
      </c>
    </row>
    <row r="127" spans="2:2" x14ac:dyDescent="0.75">
      <c r="B127" s="14" t="str">
        <f>IF('Results-ConceptMap-3'!S121=0,"//---END",'Results-ConceptMap-3'!S121)</f>
        <v>* group[=].element[=].target.equivalence = #equivalent</v>
      </c>
    </row>
    <row r="128" spans="2:2" x14ac:dyDescent="0.75">
      <c r="B128" s="14" t="str">
        <f>IF('Results-ConceptMap-3'!S122=0,"//---END",'Results-ConceptMap-3'!S122)</f>
        <v/>
      </c>
    </row>
    <row r="129" spans="2:2" x14ac:dyDescent="0.75">
      <c r="B129" s="14" t="str">
        <f>IF('Results-ConceptMap-3'!S123=0,"//---END",'Results-ConceptMap-3'!S123)</f>
        <v>* group[=].element[+].code = #Result.observation.interpretation</v>
      </c>
    </row>
    <row r="130" spans="2:2" x14ac:dyDescent="0.75">
      <c r="B130" s="14" t="str">
        <f>IF('Results-ConceptMap-3'!S124=0,"//---END",'Results-ConceptMap-3'!S124)</f>
        <v>* group[=].element[=].display = ##34#A.5.2.12 Observation interpretation##34#</v>
      </c>
    </row>
    <row r="131" spans="2:2" x14ac:dyDescent="0.75">
      <c r="B131" s="14" t="str">
        <f>IF('Results-ConceptMap-3'!S125=0,"//---END",'Results-ConceptMap-3'!S125)</f>
        <v>* group[=].element[=].target.code = #Observation.component.interpretation</v>
      </c>
    </row>
    <row r="132" spans="2:2" x14ac:dyDescent="0.75">
      <c r="B132" s="14" t="str">
        <f>IF('Results-ConceptMap-3'!S126=0,"//---END",'Results-ConceptMap-3'!S126)</f>
        <v>* group[=].element[=].target.display = ##34###34#</v>
      </c>
    </row>
    <row r="133" spans="2:2" x14ac:dyDescent="0.75">
      <c r="B133" s="14" t="str">
        <f>IF('Results-ConceptMap-3'!S127=0,"//---END",'Results-ConceptMap-3'!S127)</f>
        <v>* group[=].element[=].target.equivalence = #equivalent</v>
      </c>
    </row>
    <row r="134" spans="2:2" x14ac:dyDescent="0.75">
      <c r="B134" s="14" t="str">
        <f>IF('Results-ConceptMap-3'!S128=0,"//---END",'Results-ConceptMap-3'!S128)</f>
        <v/>
      </c>
    </row>
    <row r="135" spans="2:2" x14ac:dyDescent="0.75">
      <c r="B135" s="14" t="str">
        <f>IF('Results-ConceptMap-3'!S129=0,"//---END",'Results-ConceptMap-3'!S129)</f>
        <v>* group[=].element[+].code = #Result.observation.description</v>
      </c>
    </row>
    <row r="136" spans="2:2" x14ac:dyDescent="0.75">
      <c r="B136" s="14" t="str">
        <f>IF('Results-ConceptMap-3'!S130=0,"//---END",'Results-ConceptMap-3'!S130)</f>
        <v>* group[=].element[=].display = ##34#A.5.2.13 Result description##34#</v>
      </c>
    </row>
    <row r="137" spans="2:2" x14ac:dyDescent="0.75">
      <c r="B137" s="14" t="str">
        <f>IF('Results-ConceptMap-3'!S131=0,"//---END",'Results-ConceptMap-3'!S131)</f>
        <v>* group[=].element[=].target.code = #Observation.text</v>
      </c>
    </row>
    <row r="138" spans="2:2" x14ac:dyDescent="0.75">
      <c r="B138" s="14" t="str">
        <f>IF('Results-ConceptMap-3'!S132=0,"//---END",'Results-ConceptMap-3'!S132)</f>
        <v>* group[=].element[=].target.display = ##34###34#</v>
      </c>
    </row>
    <row r="139" spans="2:2" x14ac:dyDescent="0.75">
      <c r="B139" s="14" t="str">
        <f>IF('Results-ConceptMap-3'!S133=0,"//---END",'Results-ConceptMap-3'!S133)</f>
        <v>* group[=].element[=].target.equivalence = #relatedto</v>
      </c>
    </row>
    <row r="140" spans="2:2" x14ac:dyDescent="0.75">
      <c r="B140" s="14" t="str">
        <f>IF('Results-ConceptMap-3'!S134=0,"//---END",'Results-ConceptMap-3'!S134)</f>
        <v>* group[=].element[=].target.comment = ##34#to be checked##34#</v>
      </c>
    </row>
    <row r="141" spans="2:2" x14ac:dyDescent="0.75">
      <c r="B141" s="14" t="str">
        <f>IF('Results-ConceptMap-3'!S135=0,"//---END",'Results-ConceptMap-3'!S135)</f>
        <v>* group[=].element[+].code = #Result.observation.accreditationStatus</v>
      </c>
    </row>
    <row r="142" spans="2:2" x14ac:dyDescent="0.75">
      <c r="B142" s="14" t="str">
        <f>IF('Results-ConceptMap-3'!S136=0,"//---END",'Results-ConceptMap-3'!S136)</f>
        <v>* group[=].element[=].display = ##34#A.5.2.14 Accreditation status##34#</v>
      </c>
    </row>
    <row r="143" spans="2:2" x14ac:dyDescent="0.75">
      <c r="B143" s="14" t="str">
        <f>IF('Results-ConceptMap-3'!S137=0,"//---END",'Results-ConceptMap-3'!S137)</f>
        <v>* group[=].element[=].target.code = #Observation.performer.resolve().ofType(organization).qualification</v>
      </c>
    </row>
    <row r="144" spans="2:2" x14ac:dyDescent="0.75">
      <c r="B144" s="14" t="str">
        <f>IF('Results-ConceptMap-3'!S138=0,"//---END",'Results-ConceptMap-3'!S138)</f>
        <v>* group[=].element[=].target.display = ##34###34#</v>
      </c>
    </row>
    <row r="145" spans="2:2" x14ac:dyDescent="0.75">
      <c r="B145" s="14" t="str">
        <f>IF('Results-ConceptMap-3'!S139=0,"//---END",'Results-ConceptMap-3'!S139)</f>
        <v>* group[=].element[=].target.equivalence = #relatedto</v>
      </c>
    </row>
    <row r="146" spans="2:2" x14ac:dyDescent="0.75">
      <c r="B146" s="14" t="str">
        <f>IF('Results-ConceptMap-3'!S140=0,"//---END",'Results-ConceptMap-3'!S140)</f>
        <v>* group[=].element[=].target.comment = ##34#to be checked##34#</v>
      </c>
    </row>
    <row r="147" spans="2:2" x14ac:dyDescent="0.75">
      <c r="B147" s="14" t="str">
        <f>IF('Results-ConceptMap-3'!S141=0,"//---END",'Results-ConceptMap-3'!S141)</f>
        <v>* group[=].element[+].code = #Result.observation.accreditationStatus</v>
      </c>
    </row>
    <row r="148" spans="2:2" x14ac:dyDescent="0.75">
      <c r="B148" s="14" t="str">
        <f>IF('Results-ConceptMap-3'!S142=0,"//---END",'Results-ConceptMap-3'!S142)</f>
        <v>* group[=].element[=].display = ##34#A.5.2.14 Accreditation status##34#</v>
      </c>
    </row>
    <row r="149" spans="2:2" x14ac:dyDescent="0.75">
      <c r="B149" s="14" t="str">
        <f>IF('Results-ConceptMap-3'!S143=0,"//---END",'Results-ConceptMap-3'!S143)</f>
        <v>* group[=].element[=].target.code = #Observation.performer.resolve().ofType(PractictionerRole).organization.resolve().qualification</v>
      </c>
    </row>
    <row r="150" spans="2:2" x14ac:dyDescent="0.75">
      <c r="B150" s="14" t="str">
        <f>IF('Results-ConceptMap-3'!S144=0,"//---END",'Results-ConceptMap-3'!S144)</f>
        <v>* group[=].element[=].target.display = ##34###34#</v>
      </c>
    </row>
    <row r="151" spans="2:2" x14ac:dyDescent="0.75">
      <c r="B151" s="14" t="str">
        <f>IF('Results-ConceptMap-3'!S145=0,"//---END",'Results-ConceptMap-3'!S145)</f>
        <v>* group[=].element[=].target.equivalence = #relatedto</v>
      </c>
    </row>
    <row r="152" spans="2:2" x14ac:dyDescent="0.75">
      <c r="B152" s="14" t="str">
        <f>IF('Results-ConceptMap-3'!S146=0,"//---END",'Results-ConceptMap-3'!S146)</f>
        <v>* group[=].element[=].target.comment = ##34#to be checked##34#</v>
      </c>
    </row>
    <row r="153" spans="2:2" x14ac:dyDescent="0.75">
      <c r="B153" s="14" t="str">
        <f>IF('Results-ConceptMap-3'!S147=0,"//---END",'Results-ConceptMap-3'!S147)</f>
        <v>//---END</v>
      </c>
    </row>
    <row r="154" spans="2:2" x14ac:dyDescent="0.75">
      <c r="B154" s="14" t="str">
        <f>IF('Results-ConceptMap-3'!S148=0,"//---END",'Results-ConceptMap-3'!S148)</f>
        <v>//---END</v>
      </c>
    </row>
    <row r="155" spans="2:2" x14ac:dyDescent="0.75">
      <c r="B155" s="14" t="str">
        <f>IF('Results-ConceptMap-3'!S149=0,"//---END",'Results-ConceptMap-3'!S149)</f>
        <v>//---END</v>
      </c>
    </row>
    <row r="156" spans="2:2" x14ac:dyDescent="0.75">
      <c r="B156" s="14" t="str">
        <f>IF('Results-ConceptMap-3'!S150=0,"//---END",'Results-ConceptMap-3'!S150)</f>
        <v>//---END</v>
      </c>
    </row>
    <row r="157" spans="2:2" x14ac:dyDescent="0.75">
      <c r="B157" s="1"/>
    </row>
    <row r="158" spans="2:2" x14ac:dyDescent="0.75">
      <c r="B158" s="79" t="str">
        <f>"* group[+].source = ##34#"&amp;'Results-ConceptMap-1'!E6&amp;"##34#"</f>
        <v>* group[+].source = ##34#http://hl7.eu/fhir/laboratory/StructureDefinition/Result##34#</v>
      </c>
    </row>
    <row r="159" spans="2:2" x14ac:dyDescent="0.75">
      <c r="B159" s="79" t="str">
        <f>"* group[=].target = ##34#"&amp;'Results-ConceptMap-1'!E7&amp;"##34#"</f>
        <v>* group[=].target = ##34#http://hl7.eu/fhir/laboratory/StructureDefinition/DiagnosticReport-eu-lab##34#</v>
      </c>
    </row>
    <row r="160" spans="2:2" x14ac:dyDescent="0.75">
      <c r="B160" s="81"/>
    </row>
    <row r="161" spans="2:7" x14ac:dyDescent="0.75">
      <c r="B161" s="14" t="str">
        <f>IF('Results-ConceptMap-1'!S15=0,"//---END",'Results-ConceptMap-1'!S15)</f>
        <v>* group[=].element[+].code = #Result.narrative</v>
      </c>
    </row>
    <row r="162" spans="2:7" x14ac:dyDescent="0.75">
      <c r="B162" s="14" t="str">
        <f>IF('Results-ConceptMap-1'!S16=0,"//---END",'Results-ConceptMap-1'!S16)</f>
        <v>* group[=].element[=].display = ##34#A.5.1 Laboratory report narrative##34#</v>
      </c>
    </row>
    <row r="163" spans="2:7" x14ac:dyDescent="0.75">
      <c r="B163" s="14" t="str">
        <f>IF('Results-ConceptMap-1'!S17=0,"//---END",'Results-ConceptMap-1'!S17)</f>
        <v>* group[=].element[=].target.code = #DiagnosticReport</v>
      </c>
    </row>
    <row r="164" spans="2:7" x14ac:dyDescent="0.75">
      <c r="B164" s="14" t="str">
        <f>IF('Results-ConceptMap-1'!S18=0,"//---END",'Results-ConceptMap-1'!S18)</f>
        <v>* group[=].element[=].target.display = ##34###34#</v>
      </c>
    </row>
    <row r="165" spans="2:7" x14ac:dyDescent="0.75">
      <c r="B165" s="14" t="str">
        <f>IF('Results-ConceptMap-1'!S19=0,"//---END",'Results-ConceptMap-1'!S19)</f>
        <v>* group[=].element[=].target.equivalence = #relatedto</v>
      </c>
    </row>
    <row r="166" spans="2:7" x14ac:dyDescent="0.75">
      <c r="B166" s="14" t="str">
        <f>IF('Results-ConceptMap-1'!S20=0,"//---END",'Results-ConceptMap-1'!S20)</f>
        <v/>
      </c>
      <c r="G166" s="10"/>
    </row>
    <row r="167" spans="2:7" x14ac:dyDescent="0.75">
      <c r="B167" s="14" t="str">
        <f>IF('Results-ConceptMap-1'!S21=0,"//---END",'Results-ConceptMap-1'!S21)</f>
        <v>* group[=].element[+].code = #Result.narrative.report</v>
      </c>
    </row>
    <row r="168" spans="2:7" x14ac:dyDescent="0.75">
      <c r="B168" s="14" t="str">
        <f>IF('Results-ConceptMap-1'!S22=0,"//---END",'Results-ConceptMap-1'!S22)</f>
        <v>* group[=].element[=].display = ##34#A.5.1.1 Narrative report##34#</v>
      </c>
    </row>
    <row r="169" spans="2:7" x14ac:dyDescent="0.75">
      <c r="B169" s="14" t="str">
        <f>IF('Results-ConceptMap-1'!S23=0,"//---END",'Results-ConceptMap-1'!S23)</f>
        <v>* group[=].element[=].target.code = #DiagnosticReport.text</v>
      </c>
    </row>
    <row r="170" spans="2:7" x14ac:dyDescent="0.75">
      <c r="B170" s="14" t="str">
        <f>IF('Results-ConceptMap-1'!S24=0,"//---END",'Results-ConceptMap-1'!S24)</f>
        <v>* group[=].element[=].target.display = ##34###34#</v>
      </c>
    </row>
    <row r="171" spans="2:7" x14ac:dyDescent="0.75">
      <c r="B171" s="14" t="str">
        <f>IF('Results-ConceptMap-1'!S25=0,"//---END",'Results-ConceptMap-1'!S25)</f>
        <v>* group[=].element[=].target.equivalence = #relatedto</v>
      </c>
    </row>
    <row r="172" spans="2:7" x14ac:dyDescent="0.75">
      <c r="B172" s="14" t="str">
        <f>IF('Results-ConceptMap-1'!S26=0,"//---END",'Results-ConceptMap-1'!S26)</f>
        <v/>
      </c>
    </row>
    <row r="173" spans="2:7" x14ac:dyDescent="0.75">
      <c r="B173" s="14" t="str">
        <f>IF('Results-ConceptMap-1'!S27=0,"//---END",'Results-ConceptMap-1'!S27)</f>
        <v>* group[=].element[+].code = #Result.narrative.notes</v>
      </c>
    </row>
    <row r="174" spans="2:7" x14ac:dyDescent="0.75">
      <c r="B174" s="14" t="str">
        <f>IF('Results-ConceptMap-1'!S28=0,"//---END",'Results-ConceptMap-1'!S28)</f>
        <v>* group[=].element[=].display = ##34#A.5.1.2 Comments, interpretation and recommendations##34#</v>
      </c>
    </row>
    <row r="175" spans="2:7" x14ac:dyDescent="0.75">
      <c r="B175" s="14" t="str">
        <f>IF('Results-ConceptMap-1'!S29=0,"//---END",'Results-ConceptMap-1'!S29)</f>
        <v>* group[=].element[=].target.code = #DiagnosticReport.conclusion</v>
      </c>
    </row>
    <row r="176" spans="2:7" x14ac:dyDescent="0.75">
      <c r="B176" s="14" t="str">
        <f>IF('Results-ConceptMap-1'!S30=0,"//---END",'Results-ConceptMap-1'!S30)</f>
        <v>* group[=].element[=].target.display = ##34###34#</v>
      </c>
    </row>
    <row r="177" spans="2:2" x14ac:dyDescent="0.75">
      <c r="B177" s="14" t="str">
        <f>IF('Results-ConceptMap-1'!S31=0,"//---END",'Results-ConceptMap-1'!S31)</f>
        <v>* group[=].element[=].target.equivalence = #relatedto</v>
      </c>
    </row>
    <row r="178" spans="2:2" x14ac:dyDescent="0.75">
      <c r="B178" s="14" t="str">
        <f>IF('Results-ConceptMap-1'!S32=0,"//---END",'Results-ConceptMap-1'!S32)</f>
        <v>* group[=].element[=].target.comment = ##34#if related to the overall report conclusions##34#</v>
      </c>
    </row>
    <row r="179" spans="2:2" x14ac:dyDescent="0.75">
      <c r="B179" s="14" t="str">
        <f>IF('Results-ConceptMap-1'!S33=0,"//---END",'Results-ConceptMap-1'!S33)</f>
        <v>* group[=].element[+].code = #Result.observation</v>
      </c>
    </row>
    <row r="180" spans="2:2" x14ac:dyDescent="0.75">
      <c r="B180" s="14" t="str">
        <f>IF('Results-ConceptMap-1'!S34=0,"//---END",'Results-ConceptMap-1'!S34)</f>
        <v>* group[=].element[=].display = ##34#A.5.2 Observation details##34#</v>
      </c>
    </row>
    <row r="181" spans="2:2" x14ac:dyDescent="0.75">
      <c r="B181" s="14" t="str">
        <f>IF('Results-ConceptMap-1'!S35=0,"//---END",'Results-ConceptMap-1'!S35)</f>
        <v>* group[=].element[=].target.code = #DiagnosticReport.result.resolve()</v>
      </c>
    </row>
    <row r="182" spans="2:2" x14ac:dyDescent="0.75">
      <c r="B182" s="14" t="str">
        <f>IF('Results-ConceptMap-1'!S36=0,"//---END",'Results-ConceptMap-1'!S36)</f>
        <v>* group[=].element[=].target.display = ##34###34#</v>
      </c>
    </row>
    <row r="183" spans="2:2" x14ac:dyDescent="0.75">
      <c r="B183" s="14" t="str">
        <f>IF('Results-ConceptMap-1'!S37=0,"//---END",'Results-ConceptMap-1'!S37)</f>
        <v>* group[=].element[=].target.equivalence = #relatedto</v>
      </c>
    </row>
    <row r="184" spans="2:2" x14ac:dyDescent="0.75">
      <c r="B184" s="14" t="str">
        <f>IF('Results-ConceptMap-1'!S38=0,"//---END",'Results-ConceptMap-1'!S38)</f>
        <v>* group[=].element[=].target.comment = ##34#see details in the Observation group##34#</v>
      </c>
    </row>
    <row r="185" spans="2:2" x14ac:dyDescent="0.75">
      <c r="B185" s="14" t="str">
        <f>IF('Results-ConceptMap-1'!S39=0,"//---END",'Results-ConceptMap-1'!S39)</f>
        <v>* group[=].element[+].code = #Result.observation.dateTime</v>
      </c>
    </row>
    <row r="186" spans="2:2" x14ac:dyDescent="0.75">
      <c r="B186" s="14" t="str">
        <f>IF('Results-ConceptMap-1'!S40=0,"//---END",'Results-ConceptMap-1'!S40)</f>
        <v>* group[=].element[=].display = ##34#A.5.2.1 Observation date##34#</v>
      </c>
    </row>
    <row r="187" spans="2:2" x14ac:dyDescent="0.75">
      <c r="B187" s="14" t="str">
        <f>IF('Results-ConceptMap-1'!S41=0,"//---END",'Results-ConceptMap-1'!S41)</f>
        <v>* group[=].element[=].target.code = #DiagnosticReport.result.resolve()</v>
      </c>
    </row>
    <row r="188" spans="2:2" x14ac:dyDescent="0.75">
      <c r="B188" s="14" t="str">
        <f>IF('Results-ConceptMap-1'!S42=0,"//---END",'Results-ConceptMap-1'!S42)</f>
        <v>* group[=].element[=].target.display = ##34###34#</v>
      </c>
    </row>
    <row r="189" spans="2:2" x14ac:dyDescent="0.75">
      <c r="B189" s="14" t="str">
        <f>IF('Results-ConceptMap-1'!S43=0,"//---END",'Results-ConceptMap-1'!S43)</f>
        <v>* group[=].element[=].target.equivalence = #relatedto</v>
      </c>
    </row>
    <row r="190" spans="2:2" x14ac:dyDescent="0.75">
      <c r="B190" s="14" t="str">
        <f>IF('Results-ConceptMap-1'!S44=0,"//---END",'Results-ConceptMap-1'!S44)</f>
        <v>* group[=].element[=].target.comment = ##34#see details in the Observation group##34#</v>
      </c>
    </row>
    <row r="191" spans="2:2" x14ac:dyDescent="0.75">
      <c r="B191" s="14" t="str">
        <f>IF('Results-ConceptMap-1'!S45=0,"//---END",'Results-ConceptMap-1'!S45)</f>
        <v>* group[=].element[+].code = #Result.observation.code</v>
      </c>
    </row>
    <row r="192" spans="2:2" x14ac:dyDescent="0.75">
      <c r="B192" s="14" t="str">
        <f>IF('Results-ConceptMap-1'!S46=0,"//---END",'Results-ConceptMap-1'!S46)</f>
        <v>* group[=].element[=].display = ##34#A.5.2.3 Observation code##34#</v>
      </c>
    </row>
    <row r="193" spans="2:2" x14ac:dyDescent="0.75">
      <c r="B193" s="14" t="str">
        <f>IF('Results-ConceptMap-1'!S47=0,"//---END",'Results-ConceptMap-1'!S47)</f>
        <v>* group[=].element[=].target.code = #DiagnosticReport.result.resolve()</v>
      </c>
    </row>
    <row r="194" spans="2:2" x14ac:dyDescent="0.75">
      <c r="B194" s="14" t="str">
        <f>IF('Results-ConceptMap-1'!S48=0,"//---END",'Results-ConceptMap-1'!S48)</f>
        <v>* group[=].element[=].target.display = ##34###34#</v>
      </c>
    </row>
    <row r="195" spans="2:2" x14ac:dyDescent="0.75">
      <c r="B195" s="14" t="str">
        <f>IF('Results-ConceptMap-1'!S49=0,"//---END",'Results-ConceptMap-1'!S49)</f>
        <v>* group[=].element[=].target.equivalence = #relatedto</v>
      </c>
    </row>
    <row r="196" spans="2:2" x14ac:dyDescent="0.75">
      <c r="B196" s="14" t="str">
        <f>IF('Results-ConceptMap-1'!S50=0,"//---END",'Results-ConceptMap-1'!S50)</f>
        <v>* group[=].element[=].target.comment = ##34#see details in the Observation group##34#</v>
      </c>
    </row>
    <row r="197" spans="2:2" x14ac:dyDescent="0.75">
      <c r="B197" s="14" t="str">
        <f>IF('Results-ConceptMap-1'!S51=0,"//---END",'Results-ConceptMap-1'!S51)</f>
        <v>* group[=].element[+].code = #Result.observation.code.name</v>
      </c>
    </row>
    <row r="198" spans="2:2" x14ac:dyDescent="0.75">
      <c r="B198" s="14" t="str">
        <f>IF('Results-ConceptMap-1'!S52=0,"//---END",'Results-ConceptMap-1'!S52)</f>
        <v>* group[=].element[=].display = ##34#A.5.2.3.1 Observation name##34#</v>
      </c>
    </row>
    <row r="199" spans="2:2" x14ac:dyDescent="0.75">
      <c r="B199" s="14" t="str">
        <f>IF('Results-ConceptMap-1'!S53=0,"//---END",'Results-ConceptMap-1'!S53)</f>
        <v>* group[=].element[=].target.code = #DiagnosticReport.result.resolve()</v>
      </c>
    </row>
    <row r="200" spans="2:2" x14ac:dyDescent="0.75">
      <c r="B200" s="14" t="str">
        <f>IF('Results-ConceptMap-1'!S54=0,"//---END",'Results-ConceptMap-1'!S54)</f>
        <v>* group[=].element[=].target.display = ##34###34#</v>
      </c>
    </row>
    <row r="201" spans="2:2" x14ac:dyDescent="0.75">
      <c r="B201" s="14" t="str">
        <f>IF('Results-ConceptMap-1'!S55=0,"//---END",'Results-ConceptMap-1'!S55)</f>
        <v>* group[=].element[=].target.equivalence = #relatedto</v>
      </c>
    </row>
    <row r="202" spans="2:2" x14ac:dyDescent="0.75">
      <c r="B202" s="14" t="str">
        <f>IF('Results-ConceptMap-1'!S56=0,"//---END",'Results-ConceptMap-1'!S56)</f>
        <v>* group[=].element[=].target.comment = ##34#see details in the Observation group##34#</v>
      </c>
    </row>
    <row r="203" spans="2:2" x14ac:dyDescent="0.75">
      <c r="B203" s="14" t="str">
        <f>IF('Results-ConceptMap-1'!S57=0,"//---END",'Results-ConceptMap-1'!S57)</f>
        <v>* group[=].element[+].code = #Result.observation.code.originalName</v>
      </c>
    </row>
    <row r="204" spans="2:2" x14ac:dyDescent="0.75">
      <c r="B204" s="14" t="str">
        <f>IF('Results-ConceptMap-1'!S58=0,"//---END",'Results-ConceptMap-1'!S58)</f>
        <v>* group[=].element[=].display = ##34#A.5.2.3.2 Observation original name##34#</v>
      </c>
    </row>
    <row r="205" spans="2:2" x14ac:dyDescent="0.75">
      <c r="B205" s="14" t="str">
        <f>IF('Results-ConceptMap-1'!S59=0,"//---END",'Results-ConceptMap-1'!S59)</f>
        <v>* group[=].element[=].target.code = #DiagnosticReport.result.resolve()</v>
      </c>
    </row>
    <row r="206" spans="2:2" x14ac:dyDescent="0.75">
      <c r="B206" s="14" t="str">
        <f>IF('Results-ConceptMap-1'!S60=0,"//---END",'Results-ConceptMap-1'!S60)</f>
        <v>* group[=].element[=].target.display = ##34###34#</v>
      </c>
    </row>
    <row r="207" spans="2:2" x14ac:dyDescent="0.75">
      <c r="B207" s="14" t="str">
        <f>IF('Results-ConceptMap-1'!S61=0,"//---END",'Results-ConceptMap-1'!S61)</f>
        <v>* group[=].element[=].target.equivalence = #relatedto</v>
      </c>
    </row>
    <row r="208" spans="2:2" x14ac:dyDescent="0.75">
      <c r="B208" s="14" t="str">
        <f>IF('Results-ConceptMap-1'!S62=0,"//---END",'Results-ConceptMap-1'!S62)</f>
        <v>* group[=].element[=].target.comment = ##34#see details in the Observation group##34#</v>
      </c>
    </row>
    <row r="209" spans="2:2" x14ac:dyDescent="0.75">
      <c r="B209" s="14" t="str">
        <f>IF('Results-ConceptMap-1'!S63=0,"//---END",'Results-ConceptMap-1'!S63)</f>
        <v>* group[=].element[+].code = #Result.observation.code.displayName</v>
      </c>
    </row>
    <row r="210" spans="2:2" x14ac:dyDescent="0.75">
      <c r="B210" s="14" t="str">
        <f>IF('Results-ConceptMap-1'!S64=0,"//---END",'Results-ConceptMap-1'!S64)</f>
        <v>* group[=].element[=].display = ##34#A.5.2.3.3 Observation display name##34#</v>
      </c>
    </row>
    <row r="211" spans="2:2" x14ac:dyDescent="0.75">
      <c r="B211" s="14" t="str">
        <f>IF('Results-ConceptMap-1'!S65=0,"//---END",'Results-ConceptMap-1'!S65)</f>
        <v>* group[=].element[=].target.code = #DiagnosticReport.result.resolve()</v>
      </c>
    </row>
    <row r="212" spans="2:2" x14ac:dyDescent="0.75">
      <c r="B212" s="14" t="str">
        <f>IF('Results-ConceptMap-1'!S66=0,"//---END",'Results-ConceptMap-1'!S66)</f>
        <v>* group[=].element[=].target.display = ##34###34#</v>
      </c>
    </row>
    <row r="213" spans="2:2" x14ac:dyDescent="0.75">
      <c r="B213" s="14" t="str">
        <f>IF('Results-ConceptMap-1'!S67=0,"//---END",'Results-ConceptMap-1'!S67)</f>
        <v>* group[=].element[=].target.equivalence = #relatedto</v>
      </c>
    </row>
    <row r="214" spans="2:2" x14ac:dyDescent="0.75">
      <c r="B214" s="14" t="str">
        <f>IF('Results-ConceptMap-1'!S68=0,"//---END",'Results-ConceptMap-1'!S68)</f>
        <v>* group[=].element[=].target.comment = ##34#see details in the Observation group##34#</v>
      </c>
    </row>
    <row r="215" spans="2:2" x14ac:dyDescent="0.75">
      <c r="B215" s="14" t="str">
        <f>IF('Results-ConceptMap-1'!S69=0,"//---END",'Results-ConceptMap-1'!S69)</f>
        <v>* group[=].element[+].code = #Result.observation.method</v>
      </c>
    </row>
    <row r="216" spans="2:2" x14ac:dyDescent="0.75">
      <c r="B216" s="14" t="str">
        <f>IF('Results-ConceptMap-1'!S70=0,"//---END",'Results-ConceptMap-1'!S70)</f>
        <v>* group[=].element[=].display = ##34#A.5.2.4 Observation method##34#</v>
      </c>
    </row>
    <row r="217" spans="2:2" x14ac:dyDescent="0.75">
      <c r="B217" s="14" t="str">
        <f>IF('Results-ConceptMap-1'!S71=0,"//---END",'Results-ConceptMap-1'!S71)</f>
        <v>* group[=].element[=].target.code = #DiagnosticReport.result.resolve()</v>
      </c>
    </row>
    <row r="218" spans="2:2" x14ac:dyDescent="0.75">
      <c r="B218" s="14" t="str">
        <f>IF('Results-ConceptMap-1'!S72=0,"//---END",'Results-ConceptMap-1'!S72)</f>
        <v>* group[=].element[=].target.display = ##34###34#</v>
      </c>
    </row>
    <row r="219" spans="2:2" x14ac:dyDescent="0.75">
      <c r="B219" s="14" t="str">
        <f>IF('Results-ConceptMap-1'!S73=0,"//---END",'Results-ConceptMap-1'!S73)</f>
        <v>* group[=].element[=].target.equivalence = #relatedto</v>
      </c>
    </row>
    <row r="220" spans="2:2" x14ac:dyDescent="0.75">
      <c r="B220" s="14" t="str">
        <f>IF('Results-ConceptMap-1'!S74=0,"//---END",'Results-ConceptMap-1'!S74)</f>
        <v>* group[=].element[=].target.comment = ##34#see details in the Observation group##34#</v>
      </c>
    </row>
    <row r="221" spans="2:2" x14ac:dyDescent="0.75">
      <c r="B221" s="14" t="str">
        <f>IF('Results-ConceptMap-1'!S75=0,"//---END",'Results-ConceptMap-1'!S75)</f>
        <v>* group[=].element[+].code = #Result.observation.device</v>
      </c>
    </row>
    <row r="222" spans="2:2" x14ac:dyDescent="0.75">
      <c r="B222" s="14" t="str">
        <f>IF('Results-ConceptMap-1'!S76=0,"//---END",'Results-ConceptMap-1'!S76)</f>
        <v>* group[=].element[=].display = ##34#A.5.2.5 Observation device##34#</v>
      </c>
    </row>
    <row r="223" spans="2:2" x14ac:dyDescent="0.75">
      <c r="B223" s="14" t="str">
        <f>IF('Results-ConceptMap-1'!S77=0,"//---END",'Results-ConceptMap-1'!S77)</f>
        <v>* group[=].element[=].target.code = #DiagnosticReport.result.resolve()</v>
      </c>
    </row>
    <row r="224" spans="2:2" x14ac:dyDescent="0.75">
      <c r="B224" s="14" t="str">
        <f>IF('Results-ConceptMap-1'!S78=0,"//---END",'Results-ConceptMap-1'!S78)</f>
        <v>* group[=].element[=].target.display = ##34###34#</v>
      </c>
    </row>
    <row r="225" spans="2:2" x14ac:dyDescent="0.75">
      <c r="B225" s="14" t="str">
        <f>IF('Results-ConceptMap-1'!S79=0,"//---END",'Results-ConceptMap-1'!S79)</f>
        <v>* group[=].element[=].target.equivalence = #relatedto</v>
      </c>
    </row>
    <row r="226" spans="2:2" x14ac:dyDescent="0.75">
      <c r="B226" s="14" t="str">
        <f>IF('Results-ConceptMap-1'!S80=0,"//---END",'Results-ConceptMap-1'!S80)</f>
        <v>* group[=].element[=].target.comment = ##34#see details in the Observation group##34#</v>
      </c>
    </row>
    <row r="227" spans="2:2" x14ac:dyDescent="0.75">
      <c r="B227" s="14" t="str">
        <f>IF('Results-ConceptMap-1'!S81=0,"//---END",'Results-ConceptMap-1'!S81)</f>
        <v>* group[=].element[+].code = #Result.observation.order</v>
      </c>
    </row>
    <row r="228" spans="2:2" x14ac:dyDescent="0.75">
      <c r="B228" s="14" t="str">
        <f>IF('Results-ConceptMap-1'!S82=0,"//---END",'Results-ConceptMap-1'!S82)</f>
        <v>* group[=].element[=].display = ##34#A.5.2.8 Order##34#</v>
      </c>
    </row>
    <row r="229" spans="2:2" x14ac:dyDescent="0.75">
      <c r="B229" s="14" t="str">
        <f>IF('Results-ConceptMap-1'!S83=0,"//---END",'Results-ConceptMap-1'!S83)</f>
        <v>* group[=].element[=].target.code = #DiagnosticReport.result.resolve()</v>
      </c>
    </row>
    <row r="230" spans="2:2" x14ac:dyDescent="0.75">
      <c r="B230" s="14" t="str">
        <f>IF('Results-ConceptMap-1'!S84=0,"//---END",'Results-ConceptMap-1'!S84)</f>
        <v>* group[=].element[=].target.display = ##34###34#</v>
      </c>
    </row>
    <row r="231" spans="2:2" x14ac:dyDescent="0.75">
      <c r="B231" s="14" t="str">
        <f>IF('Results-ConceptMap-1'!S85=0,"//---END",'Results-ConceptMap-1'!S85)</f>
        <v>* group[=].element[=].target.equivalence = #relatedto</v>
      </c>
    </row>
    <row r="232" spans="2:2" x14ac:dyDescent="0.75">
      <c r="B232" s="14" t="str">
        <f>IF('Results-ConceptMap-1'!S86=0,"//---END",'Results-ConceptMap-1'!S86)</f>
        <v>* group[=].element[=].target.comment = ##34#see details in the Observation group##34#</v>
      </c>
    </row>
    <row r="233" spans="2:2" x14ac:dyDescent="0.75">
      <c r="B233" s="14" t="str">
        <f>IF('Results-ConceptMap-1'!S87=0,"//---END",'Results-ConceptMap-1'!S87)</f>
        <v>* group[=].element[+].code = #Result.observation.performer</v>
      </c>
    </row>
    <row r="234" spans="2:2" x14ac:dyDescent="0.75">
      <c r="B234" s="14" t="str">
        <f>IF('Results-ConceptMap-1'!S88=0,"//---END",'Results-ConceptMap-1'!S88)</f>
        <v>* group[=].element[=].display = ##34#A.5.2.9 Performer##34#</v>
      </c>
    </row>
    <row r="235" spans="2:2" x14ac:dyDescent="0.75">
      <c r="B235" s="14" t="str">
        <f>IF('Results-ConceptMap-1'!S89=0,"//---END",'Results-ConceptMap-1'!S89)</f>
        <v>* group[=].element[=].target.code = #DiagnosticReport.result.resolve()</v>
      </c>
    </row>
    <row r="236" spans="2:2" x14ac:dyDescent="0.75">
      <c r="B236" s="14" t="str">
        <f>IF('Results-ConceptMap-1'!S90=0,"//---END",'Results-ConceptMap-1'!S90)</f>
        <v>* group[=].element[=].target.display = ##34###34#</v>
      </c>
    </row>
    <row r="237" spans="2:2" x14ac:dyDescent="0.75">
      <c r="B237" s="14" t="str">
        <f>IF('Results-ConceptMap-1'!S91=0,"//---END",'Results-ConceptMap-1'!S91)</f>
        <v>* group[=].element[=].target.equivalence = #relatedto</v>
      </c>
    </row>
    <row r="238" spans="2:2" x14ac:dyDescent="0.75">
      <c r="B238" s="14" t="str">
        <f>IF('Results-ConceptMap-1'!S92=0,"//---END",'Results-ConceptMap-1'!S92)</f>
        <v>* group[=].element[=].target.comment = ##34#see details in the Observation group##34#</v>
      </c>
    </row>
    <row r="239" spans="2:2" x14ac:dyDescent="0.75">
      <c r="B239" s="14" t="str">
        <f>IF('Results-ConceptMap-1'!S93=0,"//---END",'Results-ConceptMap-1'!S93)</f>
        <v>* group[=].element[+].code = #Result.observation.reporter</v>
      </c>
    </row>
    <row r="240" spans="2:2" x14ac:dyDescent="0.75">
      <c r="B240" s="14" t="str">
        <f>IF('Results-ConceptMap-1'!S94=0,"//---END",'Results-ConceptMap-1'!S94)</f>
        <v>* group[=].element[=].display = ##34#A.5.2.10 Reporter##34#</v>
      </c>
    </row>
    <row r="241" spans="2:2" x14ac:dyDescent="0.75">
      <c r="B241" s="14" t="str">
        <f>IF('Results-ConceptMap-1'!S95=0,"//---END",'Results-ConceptMap-1'!S95)</f>
        <v>* group[=].element[=].target.code = #DiagnosticReport.result.resolve()</v>
      </c>
    </row>
    <row r="242" spans="2:2" x14ac:dyDescent="0.75">
      <c r="B242" s="14" t="str">
        <f>IF('Results-ConceptMap-1'!S96=0,"//---END",'Results-ConceptMap-1'!S96)</f>
        <v>* group[=].element[=].target.display = ##34###34#</v>
      </c>
    </row>
    <row r="243" spans="2:2" x14ac:dyDescent="0.75">
      <c r="B243" s="14" t="str">
        <f>IF('Results-ConceptMap-1'!S97=0,"//---END",'Results-ConceptMap-1'!S97)</f>
        <v>* group[=].element[=].target.equivalence = #relatedto</v>
      </c>
    </row>
    <row r="244" spans="2:2" x14ac:dyDescent="0.75">
      <c r="B244" s="14" t="str">
        <f>IF('Results-ConceptMap-1'!S98=0,"//---END",'Results-ConceptMap-1'!S98)</f>
        <v>* group[=].element[=].target.comment = ##34#see details in the Observation group##34#</v>
      </c>
    </row>
    <row r="245" spans="2:2" x14ac:dyDescent="0.75">
      <c r="B245" s="14" t="str">
        <f>IF('Results-ConceptMap-1'!S99=0,"//---END",'Results-ConceptMap-1'!S99)</f>
        <v>* group[=].element[+].code = #Result.observation.result</v>
      </c>
    </row>
    <row r="246" spans="2:2" x14ac:dyDescent="0.75">
      <c r="B246" s="14" t="str">
        <f>IF('Results-ConceptMap-1'!S100=0,"//---END",'Results-ConceptMap-1'!S100)</f>
        <v>* group[=].element[=].display = ##34#A.5.2.11 Observation result##34#</v>
      </c>
    </row>
    <row r="247" spans="2:2" x14ac:dyDescent="0.75">
      <c r="B247" s="14" t="str">
        <f>IF('Results-ConceptMap-1'!S101=0,"//---END",'Results-ConceptMap-1'!S101)</f>
        <v>* group[=].element[=].target.code = #DiagnosticReport.result.resolve()</v>
      </c>
    </row>
    <row r="248" spans="2:2" x14ac:dyDescent="0.75">
      <c r="B248" s="14" t="str">
        <f>IF('Results-ConceptMap-1'!S102=0,"//---END",'Results-ConceptMap-1'!S102)</f>
        <v>* group[=].element[=].target.display = ##34###34#</v>
      </c>
    </row>
    <row r="249" spans="2:2" x14ac:dyDescent="0.75">
      <c r="B249" s="14" t="str">
        <f>IF('Results-ConceptMap-1'!S103=0,"//---END",'Results-ConceptMap-1'!S103)</f>
        <v>* group[=].element[=].target.equivalence = #relatedto</v>
      </c>
    </row>
    <row r="250" spans="2:2" x14ac:dyDescent="0.75">
      <c r="B250" s="14" t="str">
        <f>IF('Results-ConceptMap-1'!S104=0,"//---END",'Results-ConceptMap-1'!S104)</f>
        <v>* group[=].element[=].target.comment = ##34#see details in the Observation group##34#</v>
      </c>
    </row>
    <row r="251" spans="2:2" x14ac:dyDescent="0.75">
      <c r="B251" s="14" t="str">
        <f>IF('Results-ConceptMap-1'!S105=0,"//---END",'Results-ConceptMap-1'!S105)</f>
        <v>* group[=].element[+].code = #Result.observation.interpretation</v>
      </c>
    </row>
    <row r="252" spans="2:2" x14ac:dyDescent="0.75">
      <c r="B252" s="14" t="str">
        <f>IF('Results-ConceptMap-1'!S106=0,"//---END",'Results-ConceptMap-1'!S106)</f>
        <v>* group[=].element[=].display = ##34#A.5.2.12 Observation interpretation##34#</v>
      </c>
    </row>
    <row r="253" spans="2:2" x14ac:dyDescent="0.75">
      <c r="B253" s="14" t="str">
        <f>IF('Results-ConceptMap-1'!S107=0,"//---END",'Results-ConceptMap-1'!S107)</f>
        <v>* group[=].element[=].target.code = #DiagnosticReport.result.resolve()</v>
      </c>
    </row>
    <row r="254" spans="2:2" x14ac:dyDescent="0.75">
      <c r="B254" s="14" t="str">
        <f>IF('Results-ConceptMap-1'!S108=0,"//---END",'Results-ConceptMap-1'!S108)</f>
        <v>* group[=].element[=].target.display = ##34###34#</v>
      </c>
    </row>
    <row r="255" spans="2:2" x14ac:dyDescent="0.75">
      <c r="B255" s="14" t="str">
        <f>IF('Results-ConceptMap-1'!S109=0,"//---END",'Results-ConceptMap-1'!S109)</f>
        <v>* group[=].element[=].target.equivalence = #relatedto</v>
      </c>
    </row>
    <row r="256" spans="2:2" x14ac:dyDescent="0.75">
      <c r="B256" s="14" t="str">
        <f>IF('Results-ConceptMap-1'!S110=0,"//---END",'Results-ConceptMap-1'!S110)</f>
        <v>* group[=].element[=].target.comment = ##34#see details in the Observation group##34#</v>
      </c>
    </row>
    <row r="257" spans="2:2" x14ac:dyDescent="0.75">
      <c r="B257" s="14" t="str">
        <f>IF('Results-ConceptMap-1'!S111=0,"//---END",'Results-ConceptMap-1'!S111)</f>
        <v>* group[=].element[+].code = #Result.observation.description</v>
      </c>
    </row>
    <row r="258" spans="2:2" x14ac:dyDescent="0.75">
      <c r="B258" s="14" t="str">
        <f>IF('Results-ConceptMap-1'!S112=0,"//---END",'Results-ConceptMap-1'!S112)</f>
        <v>* group[=].element[=].display = ##34#A.5.2.13 Result description##34#</v>
      </c>
    </row>
    <row r="259" spans="2:2" x14ac:dyDescent="0.75">
      <c r="B259" s="14" t="str">
        <f>IF('Results-ConceptMap-1'!S113=0,"//---END",'Results-ConceptMap-1'!S113)</f>
        <v>* group[=].element[=].target.code = #DiagnosticReport.result.resolve()</v>
      </c>
    </row>
    <row r="260" spans="2:2" x14ac:dyDescent="0.75">
      <c r="B260" s="14" t="str">
        <f>IF('Results-ConceptMap-1'!S114=0,"//---END",'Results-ConceptMap-1'!S114)</f>
        <v>* group[=].element[=].target.display = ##34###34#</v>
      </c>
    </row>
    <row r="261" spans="2:2" x14ac:dyDescent="0.75">
      <c r="B261" s="14" t="str">
        <f>IF('Results-ConceptMap-1'!S115=0,"//---END",'Results-ConceptMap-1'!S115)</f>
        <v>* group[=].element[=].target.equivalence = #relatedto</v>
      </c>
    </row>
    <row r="262" spans="2:2" x14ac:dyDescent="0.75">
      <c r="B262" s="14" t="str">
        <f>IF('Results-ConceptMap-1'!S116=0,"//---END",'Results-ConceptMap-1'!S116)</f>
        <v>* group[=].element[=].target.comment = ##34#see details in the Observation group##34#</v>
      </c>
    </row>
    <row r="263" spans="2:2" x14ac:dyDescent="0.75">
      <c r="B263" s="14" t="str">
        <f>IF('Results-ConceptMap-1'!S117=0,"//---END",'Results-ConceptMap-1'!S117)</f>
        <v>* group[=].element[+].code = #Result.observation.accreditationStatus</v>
      </c>
    </row>
    <row r="264" spans="2:2" x14ac:dyDescent="0.75">
      <c r="B264" s="14" t="str">
        <f>IF('Results-ConceptMap-1'!S118=0,"//---END",'Results-ConceptMap-1'!S118)</f>
        <v>* group[=].element[=].display = ##34#A.5.2.14 Accreditation status##34#</v>
      </c>
    </row>
    <row r="265" spans="2:2" x14ac:dyDescent="0.75">
      <c r="B265" s="14" t="str">
        <f>IF('Results-ConceptMap-1'!S119=0,"//---END",'Results-ConceptMap-1'!S119)</f>
        <v>* group[=].element[=].target.code = #DiagnosticReport.result.resolve()</v>
      </c>
    </row>
    <row r="266" spans="2:2" x14ac:dyDescent="0.75">
      <c r="B266" s="14" t="str">
        <f>IF('Results-ConceptMap-1'!S120=0,"//---END",'Results-ConceptMap-1'!S120)</f>
        <v>* group[=].element[=].target.display = ##34###34#</v>
      </c>
    </row>
    <row r="267" spans="2:2" x14ac:dyDescent="0.75">
      <c r="B267" s="14" t="str">
        <f>IF('Results-ConceptMap-1'!S121=0,"//---END",'Results-ConceptMap-1'!S121)</f>
        <v>* group[=].element[=].target.equivalence = #relatedto</v>
      </c>
    </row>
    <row r="268" spans="2:2" x14ac:dyDescent="0.75">
      <c r="B268" s="14" t="str">
        <f>IF('Results-ConceptMap-1'!S122=0,"//---END",'Results-ConceptMap-1'!S122)</f>
        <v>* group[=].element[=].target.comment = ##34#see details in the Observation group##34#</v>
      </c>
    </row>
    <row r="269" spans="2:2" x14ac:dyDescent="0.75">
      <c r="B269" s="14" t="str">
        <f>IF('Results-ConceptMap-1'!S123=0,"//---END",'Results-ConceptMap-1'!S123)</f>
        <v>//---END</v>
      </c>
    </row>
    <row r="270" spans="2:2" x14ac:dyDescent="0.75">
      <c r="B270" s="14" t="str">
        <f>IF('Results-ConceptMap-1'!S124=0,"//---END",'Results-ConceptMap-1'!S124)</f>
        <v>//---END</v>
      </c>
    </row>
    <row r="271" spans="2:2" x14ac:dyDescent="0.75">
      <c r="B271" s="14" t="str">
        <f>IF('Results-ConceptMap-1'!S125=0,"//---END",'Results-ConceptMap-1'!S125)</f>
        <v>//---END</v>
      </c>
    </row>
    <row r="272" spans="2:2" x14ac:dyDescent="0.75">
      <c r="B272" s="14" t="str">
        <f>IF('Results-ConceptMap-1'!S126=0,"//---END",'Results-ConceptMap-1'!S126)</f>
        <v>//---END</v>
      </c>
    </row>
    <row r="275" spans="2:2" x14ac:dyDescent="0.75">
      <c r="B275" s="77"/>
    </row>
    <row r="276" spans="2:2" x14ac:dyDescent="0.75">
      <c r="B276" s="79" t="str">
        <f>"* group[+].source = ##34#"&amp;'Results-ConceptMap-2'!E6&amp;"##34#"</f>
        <v>* group[+].source = ##34#http://hl7.eu/fhir/laboratory/StructureDefinition/Result##34#</v>
      </c>
    </row>
    <row r="277" spans="2:2" x14ac:dyDescent="0.75">
      <c r="B277" s="79" t="str">
        <f>"* group[=].target = ##34#"&amp;'Results-ConceptMap-2'!E7&amp;"##34#"</f>
        <v>* group[=].target = ##34#http://hl7.eu/fhir/laboratory/StructureDefinition/Composition-eu-lab##34#</v>
      </c>
    </row>
    <row r="278" spans="2:2" x14ac:dyDescent="0.75">
      <c r="B278" s="81"/>
    </row>
    <row r="279" spans="2:2" x14ac:dyDescent="0.75">
      <c r="B279" s="14" t="str">
        <f>IF('Results-ConceptMap-2'!S15=0,"//---END",'Results-ConceptMap-2'!S15)</f>
        <v>* group[=].element[+].code = #Result.narrative</v>
      </c>
    </row>
    <row r="280" spans="2:2" x14ac:dyDescent="0.75">
      <c r="B280" s="14" t="str">
        <f>IF('Results-ConceptMap-2'!S16=0,"//---END",'Results-ConceptMap-2'!S16)</f>
        <v>* group[=].element[=].display = ##34#A.5.1 Laboratory report narrative##34#</v>
      </c>
    </row>
    <row r="281" spans="2:2" x14ac:dyDescent="0.75">
      <c r="B281" s="14" t="str">
        <f>IF('Results-ConceptMap-2'!S17=0,"//---END",'Results-ConceptMap-2'!S17)</f>
        <v>* group[=].element[=].target.code = #Composition</v>
      </c>
    </row>
    <row r="282" spans="2:2" x14ac:dyDescent="0.75">
      <c r="B282" s="14" t="str">
        <f>IF('Results-ConceptMap-2'!S18=0,"//---END",'Results-ConceptMap-2'!S18)</f>
        <v>* group[=].element[=].target.display = ##34###34#</v>
      </c>
    </row>
    <row r="283" spans="2:2" x14ac:dyDescent="0.75">
      <c r="B283" s="14" t="str">
        <f>IF('Results-ConceptMap-2'!S19=0,"//---END",'Results-ConceptMap-2'!S19)</f>
        <v>* group[=].element[=].target.equivalence = #relatedto</v>
      </c>
    </row>
    <row r="284" spans="2:2" x14ac:dyDescent="0.75">
      <c r="B284" s="14" t="str">
        <f>IF('Results-ConceptMap-2'!S20=0,"//---END",'Results-ConceptMap-2'!S20)</f>
        <v/>
      </c>
    </row>
    <row r="285" spans="2:2" x14ac:dyDescent="0.75">
      <c r="B285" s="14" t="str">
        <f>IF('Results-ConceptMap-2'!S21=0,"//---END",'Results-ConceptMap-2'!S21)</f>
        <v>* group[=].element[+].code = #Result.narrative.report</v>
      </c>
    </row>
    <row r="286" spans="2:2" x14ac:dyDescent="0.75">
      <c r="B286" s="14" t="str">
        <f>IF('Results-ConceptMap-2'!S22=0,"//---END",'Results-ConceptMap-2'!S22)</f>
        <v>* group[=].element[=].display = ##34#A.5.1.1 Narrative report##34#</v>
      </c>
    </row>
    <row r="287" spans="2:2" x14ac:dyDescent="0.75">
      <c r="B287" s="14" t="str">
        <f>IF('Results-ConceptMap-2'!S23=0,"//---END",'Results-ConceptMap-2'!S23)</f>
        <v>* group[=].element[=].target.code = #Composition.text</v>
      </c>
    </row>
    <row r="288" spans="2:2" x14ac:dyDescent="0.75">
      <c r="B288" s="14" t="str">
        <f>IF('Results-ConceptMap-2'!S24=0,"//---END",'Results-ConceptMap-2'!S24)</f>
        <v>* group[=].element[=].target.display = ##34###34#</v>
      </c>
    </row>
    <row r="289" spans="2:2" x14ac:dyDescent="0.75">
      <c r="B289" s="14" t="str">
        <f>IF('Results-ConceptMap-2'!S25=0,"//---END",'Results-ConceptMap-2'!S25)</f>
        <v>* group[=].element[=].target.equivalence = #relatedto</v>
      </c>
    </row>
    <row r="290" spans="2:2" x14ac:dyDescent="0.75">
      <c r="B290" s="14" t="str">
        <f>IF('Results-ConceptMap-2'!S26=0,"//---END",'Results-ConceptMap-2'!S26)</f>
        <v/>
      </c>
    </row>
    <row r="291" spans="2:2" x14ac:dyDescent="0.75">
      <c r="B291" s="14" t="str">
        <f>IF('Results-ConceptMap-2'!S27=0,"//---END",'Results-ConceptMap-2'!S27)</f>
        <v>* group[=].element[+].code = #Result.narrative.report</v>
      </c>
    </row>
    <row r="292" spans="2:2" x14ac:dyDescent="0.75">
      <c r="B292" s="14" t="str">
        <f>IF('Results-ConceptMap-2'!S28=0,"//---END",'Results-ConceptMap-2'!S28)</f>
        <v>* group[=].element[=].display = ##34#A.5.1.1 Narrative report##34#</v>
      </c>
    </row>
    <row r="293" spans="2:2" x14ac:dyDescent="0.75">
      <c r="B293" s="14" t="str">
        <f>IF('Results-ConceptMap-2'!S29=0,"//---END",'Results-ConceptMap-2'!S29)</f>
        <v>* group[=].element[=].target.code = #Composition.section:lab-no-subsections.text</v>
      </c>
    </row>
    <row r="294" spans="2:2" x14ac:dyDescent="0.75">
      <c r="B294" s="14" t="str">
        <f>IF('Results-ConceptMap-2'!S30=0,"//---END",'Results-ConceptMap-2'!S30)</f>
        <v>* group[=].element[=].target.display = ##34###34#</v>
      </c>
    </row>
    <row r="295" spans="2:2" x14ac:dyDescent="0.75">
      <c r="B295" s="14" t="str">
        <f>IF('Results-ConceptMap-2'!S31=0,"//---END",'Results-ConceptMap-2'!S31)</f>
        <v>* group[=].element[=].target.equivalence = #relatedto</v>
      </c>
    </row>
    <row r="296" spans="2:2" x14ac:dyDescent="0.75">
      <c r="B296" s="14" t="str">
        <f>IF('Results-ConceptMap-2'!S32=0,"//---END",'Results-ConceptMap-2'!S32)</f>
        <v>* group[=].element[=].target.comment = ##34#if single section##34#</v>
      </c>
    </row>
    <row r="297" spans="2:2" x14ac:dyDescent="0.75">
      <c r="B297" s="14" t="str">
        <f>IF('Results-ConceptMap-2'!S33=0,"//---END",'Results-ConceptMap-2'!S33)</f>
        <v>* group[=].element[+].code = #Result.narrative.report</v>
      </c>
    </row>
    <row r="298" spans="2:2" x14ac:dyDescent="0.75">
      <c r="B298" s="14" t="str">
        <f>IF('Results-ConceptMap-2'!S34=0,"//---END",'Results-ConceptMap-2'!S34)</f>
        <v>* group[=].element[=].display = ##34#A.5.1.1 Narrative report##34#</v>
      </c>
    </row>
    <row r="299" spans="2:2" x14ac:dyDescent="0.75">
      <c r="B299" s="14" t="str">
        <f>IF('Results-ConceptMap-2'!S35=0,"//---END",'Results-ConceptMap-2'!S35)</f>
        <v>* group[=].element[=].target.code = #Composition.section:lab-subsections.section.text</v>
      </c>
    </row>
    <row r="300" spans="2:2" x14ac:dyDescent="0.75">
      <c r="B300" s="14" t="str">
        <f>IF('Results-ConceptMap-2'!S36=0,"//---END",'Results-ConceptMap-2'!S36)</f>
        <v>* group[=].element[=].target.display = ##34###34#</v>
      </c>
    </row>
    <row r="301" spans="2:2" x14ac:dyDescent="0.75">
      <c r="B301" s="14" t="str">
        <f>IF('Results-ConceptMap-2'!S37=0,"//---END",'Results-ConceptMap-2'!S37)</f>
        <v>* group[=].element[=].target.equivalence = #relatedto</v>
      </c>
    </row>
    <row r="302" spans="2:2" x14ac:dyDescent="0.75">
      <c r="B302" s="14" t="str">
        <f>IF('Results-ConceptMap-2'!S38=0,"//---END",'Results-ConceptMap-2'!S38)</f>
        <v>* group[=].element[=].target.comment = ##34#if multiple sections##34#</v>
      </c>
    </row>
    <row r="303" spans="2:2" x14ac:dyDescent="0.75">
      <c r="B303" s="14" t="str">
        <f>IF('Results-ConceptMap-2'!S39=0,"//---END",'Results-ConceptMap-2'!S39)</f>
        <v>* group[=].element[+].code = #Result.narrative.notes</v>
      </c>
    </row>
    <row r="304" spans="2:2" x14ac:dyDescent="0.75">
      <c r="B304" s="14" t="str">
        <f>IF('Results-ConceptMap-2'!S40=0,"//---END",'Results-ConceptMap-2'!S40)</f>
        <v>* group[=].element[=].display = ##34#A.5.1.2 Comments, interpretation and recommendations##34#</v>
      </c>
    </row>
    <row r="305" spans="2:2" x14ac:dyDescent="0.75">
      <c r="B305" s="14" t="str">
        <f>IF('Results-ConceptMap-2'!S41=0,"//---END",'Results-ConceptMap-2'!S41)</f>
        <v>* group[=].element[=].target.code = #Composition.section:lab-no-subsections.text</v>
      </c>
    </row>
    <row r="306" spans="2:2" x14ac:dyDescent="0.75">
      <c r="B306" s="14" t="str">
        <f>IF('Results-ConceptMap-2'!S42=0,"//---END",'Results-ConceptMap-2'!S42)</f>
        <v>* group[=].element[=].target.display = ##34###34#</v>
      </c>
    </row>
    <row r="307" spans="2:2" x14ac:dyDescent="0.75">
      <c r="B307" s="14" t="str">
        <f>IF('Results-ConceptMap-2'!S43=0,"//---END",'Results-ConceptMap-2'!S43)</f>
        <v>* group[=].element[=].target.equivalence = #relatedto</v>
      </c>
    </row>
    <row r="308" spans="2:2" x14ac:dyDescent="0.75">
      <c r="B308" s="14" t="str">
        <f>IF('Results-ConceptMap-2'!S44=0,"//---END",'Results-ConceptMap-2'!S44)</f>
        <v>* group[=].element[=].target.comment = ##34#if single section##34#</v>
      </c>
    </row>
    <row r="309" spans="2:2" x14ac:dyDescent="0.75">
      <c r="B309" s="14" t="str">
        <f>IF('Results-ConceptMap-2'!S45=0,"//---END",'Results-ConceptMap-2'!S45)</f>
        <v>* group[=].element[+].code = #Result.narrative.notes</v>
      </c>
    </row>
    <row r="310" spans="2:2" x14ac:dyDescent="0.75">
      <c r="B310" s="14" t="str">
        <f>IF('Results-ConceptMap-2'!S46=0,"//---END",'Results-ConceptMap-2'!S46)</f>
        <v>* group[=].element[=].display = ##34#A.5.1.2 Comments, interpretation and recommendations##34#</v>
      </c>
    </row>
    <row r="311" spans="2:2" x14ac:dyDescent="0.75">
      <c r="B311" s="14" t="str">
        <f>IF('Results-ConceptMap-2'!S47=0,"//---END",'Results-ConceptMap-2'!S47)</f>
        <v>* group[=].element[=].target.code = #Composition.section:lab-subsections.section.text</v>
      </c>
    </row>
    <row r="312" spans="2:2" x14ac:dyDescent="0.75">
      <c r="B312" s="14" t="str">
        <f>IF('Results-ConceptMap-2'!S48=0,"//---END",'Results-ConceptMap-2'!S48)</f>
        <v>* group[=].element[=].target.display = ##34###34#</v>
      </c>
    </row>
    <row r="313" spans="2:2" x14ac:dyDescent="0.75">
      <c r="B313" s="14" t="str">
        <f>IF('Results-ConceptMap-2'!S49=0,"//---END",'Results-ConceptMap-2'!S49)</f>
        <v>* group[=].element[=].target.equivalence = #relatedto</v>
      </c>
    </row>
    <row r="314" spans="2:2" x14ac:dyDescent="0.75">
      <c r="B314" s="14" t="str">
        <f>IF('Results-ConceptMap-2'!S50=0,"//---END",'Results-ConceptMap-2'!S50)</f>
        <v>* group[=].element[=].target.comment = ##34#if multiple sections##34#</v>
      </c>
    </row>
    <row r="315" spans="2:2" x14ac:dyDescent="0.75">
      <c r="B315" s="14" t="str">
        <f>IF('Results-ConceptMap-2'!S51=0,"//---END",'Results-ConceptMap-2'!S51)</f>
        <v>* group[=].element[+].code = #Result.observation</v>
      </c>
    </row>
    <row r="316" spans="2:2" x14ac:dyDescent="0.75">
      <c r="B316" s="14" t="str">
        <f>IF('Results-ConceptMap-2'!S52=0,"//---END",'Results-ConceptMap-2'!S52)</f>
        <v>* group[=].element[=].display = ##34#A.5.2 Observation details##34#</v>
      </c>
    </row>
    <row r="317" spans="2:2" x14ac:dyDescent="0.75">
      <c r="B317" s="14" t="str">
        <f>IF('Results-ConceptMap-2'!S53=0,"//---END",'Results-ConceptMap-2'!S53)</f>
        <v>* group[=].element[=].target.code = #Composition.section:lab-no-subsections.entry.resolve()</v>
      </c>
    </row>
    <row r="318" spans="2:2" x14ac:dyDescent="0.75">
      <c r="B318" s="14" t="str">
        <f>IF('Results-ConceptMap-2'!S54=0,"//---END",'Results-ConceptMap-2'!S54)</f>
        <v>* group[=].element[=].target.display = ##34###34#</v>
      </c>
    </row>
    <row r="319" spans="2:2" x14ac:dyDescent="0.75">
      <c r="B319" s="14" t="str">
        <f>IF('Results-ConceptMap-2'!S55=0,"//---END",'Results-ConceptMap-2'!S55)</f>
        <v>* group[=].element[=].target.equivalence = #relatedto</v>
      </c>
    </row>
    <row r="320" spans="2:2" x14ac:dyDescent="0.75">
      <c r="B320" s="14" t="str">
        <f>IF('Results-ConceptMap-2'!S56=0,"//---END",'Results-ConceptMap-2'!S56)</f>
        <v>* group[=].element[=].target.comment = ##34#if single section##34#</v>
      </c>
    </row>
    <row r="321" spans="2:2" x14ac:dyDescent="0.75">
      <c r="B321" s="14" t="str">
        <f>IF('Results-ConceptMap-2'!S57=0,"//---END",'Results-ConceptMap-2'!S57)</f>
        <v>* group[=].element[+].code = #Result.observation</v>
      </c>
    </row>
    <row r="322" spans="2:2" x14ac:dyDescent="0.75">
      <c r="B322" s="14" t="str">
        <f>IF('Results-ConceptMap-2'!S58=0,"//---END",'Results-ConceptMap-2'!S58)</f>
        <v>* group[=].element[=].display = ##34#A.5.2 Observation details##34#</v>
      </c>
    </row>
    <row r="323" spans="2:2" x14ac:dyDescent="0.75">
      <c r="B323" s="14" t="str">
        <f>IF('Results-ConceptMap-2'!S59=0,"//---END",'Results-ConceptMap-2'!S59)</f>
        <v>* group[=].element[=].target.code = #Composition.section:lab-subsections.section.entry.resolve()</v>
      </c>
    </row>
    <row r="324" spans="2:2" x14ac:dyDescent="0.75">
      <c r="B324" s="14" t="str">
        <f>IF('Results-ConceptMap-2'!S60=0,"//---END",'Results-ConceptMap-2'!S60)</f>
        <v>* group[=].element[=].target.display = ##34###34#</v>
      </c>
    </row>
    <row r="325" spans="2:2" x14ac:dyDescent="0.75">
      <c r="B325" s="14" t="str">
        <f>IF('Results-ConceptMap-2'!S61=0,"//---END",'Results-ConceptMap-2'!S61)</f>
        <v>* group[=].element[=].target.equivalence = #relatedto</v>
      </c>
    </row>
    <row r="326" spans="2:2" x14ac:dyDescent="0.75">
      <c r="B326" s="14" t="str">
        <f>IF('Results-ConceptMap-2'!S62=0,"//---END",'Results-ConceptMap-2'!S62)</f>
        <v>* group[=].element[=].target.comment = ##34#if multiple sections##34#</v>
      </c>
    </row>
    <row r="327" spans="2:2" x14ac:dyDescent="0.75">
      <c r="B327" s="14" t="str">
        <f>IF('Results-ConceptMap-2'!S63=0,"//---END",'Results-ConceptMap-2'!S63)</f>
        <v>* group[=].element[+].code = #Result.observation.dateTime</v>
      </c>
    </row>
    <row r="328" spans="2:2" x14ac:dyDescent="0.75">
      <c r="B328" s="14" t="str">
        <f>IF('Results-ConceptMap-2'!S64=0,"//---END",'Results-ConceptMap-2'!S64)</f>
        <v>* group[=].element[=].display = ##34#A.5.2.1 Observation date##34#</v>
      </c>
    </row>
    <row r="329" spans="2:2" x14ac:dyDescent="0.75">
      <c r="B329" s="14" t="str">
        <f>IF('Results-ConceptMap-2'!S65=0,"//---END",'Results-ConceptMap-2'!S65)</f>
        <v>* group[=].element[=].target.code = #Composition.section:lab-no-subsections.entry.resolve()</v>
      </c>
    </row>
    <row r="330" spans="2:2" x14ac:dyDescent="0.75">
      <c r="B330" s="14" t="str">
        <f>IF('Results-ConceptMap-2'!S66=0,"//---END",'Results-ConceptMap-2'!S66)</f>
        <v>* group[=].element[=].target.display = ##34###34#</v>
      </c>
    </row>
    <row r="331" spans="2:2" x14ac:dyDescent="0.75">
      <c r="B331" s="14" t="str">
        <f>IF('Results-ConceptMap-2'!S67=0,"//---END",'Results-ConceptMap-2'!S67)</f>
        <v>* group[=].element[=].target.equivalence = #relatedto</v>
      </c>
    </row>
    <row r="332" spans="2:2" x14ac:dyDescent="0.75">
      <c r="B332" s="14" t="str">
        <f>IF('Results-ConceptMap-2'!S68=0,"//---END",'Results-ConceptMap-2'!S68)</f>
        <v>* group[=].element[=].target.comment = ##34#see details in the Observation group##34#</v>
      </c>
    </row>
    <row r="333" spans="2:2" x14ac:dyDescent="0.75">
      <c r="B333" s="14" t="str">
        <f>IF('Results-ConceptMap-2'!S69=0,"//---END",'Results-ConceptMap-2'!S69)</f>
        <v>* group[=].element[+].code = #Result.observation.code</v>
      </c>
    </row>
    <row r="334" spans="2:2" x14ac:dyDescent="0.75">
      <c r="B334" s="14" t="str">
        <f>IF('Results-ConceptMap-2'!S70=0,"//---END",'Results-ConceptMap-2'!S70)</f>
        <v>* group[=].element[=].display = ##34#A.5.2.3 Observation code##34#</v>
      </c>
    </row>
    <row r="335" spans="2:2" x14ac:dyDescent="0.75">
      <c r="B335" s="14" t="str">
        <f>IF('Results-ConceptMap-2'!S71=0,"//---END",'Results-ConceptMap-2'!S71)</f>
        <v>* group[=].element[=].target.code = #Composition.section:lab-no-subsections.entry.resolve()</v>
      </c>
    </row>
    <row r="336" spans="2:2" x14ac:dyDescent="0.75">
      <c r="B336" s="14" t="str">
        <f>IF('Results-ConceptMap-2'!S72=0,"//---END",'Results-ConceptMap-2'!S72)</f>
        <v>* group[=].element[=].target.display = ##34###34#</v>
      </c>
    </row>
    <row r="337" spans="2:2" x14ac:dyDescent="0.75">
      <c r="B337" s="14" t="str">
        <f>IF('Results-ConceptMap-2'!S73=0,"//---END",'Results-ConceptMap-2'!S73)</f>
        <v>* group[=].element[=].target.equivalence = #relatedto</v>
      </c>
    </row>
    <row r="338" spans="2:2" x14ac:dyDescent="0.75">
      <c r="B338" s="14" t="str">
        <f>IF('Results-ConceptMap-2'!S74=0,"//---END",'Results-ConceptMap-2'!S74)</f>
        <v>* group[=].element[=].target.comment = ##34#see details in the Observation group##34#</v>
      </c>
    </row>
    <row r="339" spans="2:2" x14ac:dyDescent="0.75">
      <c r="B339" s="14" t="str">
        <f>IF('Results-ConceptMap-2'!S75=0,"//---END",'Results-ConceptMap-2'!S75)</f>
        <v>* group[=].element[+].code = #Result.observation.code.name</v>
      </c>
    </row>
    <row r="340" spans="2:2" x14ac:dyDescent="0.75">
      <c r="B340" s="14" t="str">
        <f>IF('Results-ConceptMap-2'!S76=0,"//---END",'Results-ConceptMap-2'!S76)</f>
        <v>* group[=].element[=].display = ##34#A.5.2.3.1 Observation name##34#</v>
      </c>
    </row>
    <row r="341" spans="2:2" x14ac:dyDescent="0.75">
      <c r="B341" s="14" t="str">
        <f>IF('Results-ConceptMap-2'!S77=0,"//---END",'Results-ConceptMap-2'!S77)</f>
        <v>* group[=].element[=].target.code = #Composition.section:lab-no-subsections.entry.resolve()</v>
      </c>
    </row>
    <row r="342" spans="2:2" x14ac:dyDescent="0.75">
      <c r="B342" s="14" t="str">
        <f>IF('Results-ConceptMap-2'!S78=0,"//---END",'Results-ConceptMap-2'!S78)</f>
        <v>* group[=].element[=].target.display = ##34###34#</v>
      </c>
    </row>
    <row r="343" spans="2:2" x14ac:dyDescent="0.75">
      <c r="B343" s="14" t="str">
        <f>IF('Results-ConceptMap-2'!S79=0,"//---END",'Results-ConceptMap-2'!S79)</f>
        <v>* group[=].element[=].target.equivalence = #relatedto</v>
      </c>
    </row>
    <row r="344" spans="2:2" x14ac:dyDescent="0.75">
      <c r="B344" s="14" t="str">
        <f>IF('Results-ConceptMap-2'!S80=0,"//---END",'Results-ConceptMap-2'!S80)</f>
        <v>* group[=].element[=].target.comment = ##34#see details in the Observation group##34#</v>
      </c>
    </row>
    <row r="345" spans="2:2" x14ac:dyDescent="0.75">
      <c r="B345" s="14" t="str">
        <f>IF('Results-ConceptMap-2'!S81=0,"//---END",'Results-ConceptMap-2'!S81)</f>
        <v>* group[=].element[+].code = #Result.observation.code.originalName</v>
      </c>
    </row>
    <row r="346" spans="2:2" x14ac:dyDescent="0.75">
      <c r="B346" s="14" t="str">
        <f>IF('Results-ConceptMap-2'!S82=0,"//---END",'Results-ConceptMap-2'!S82)</f>
        <v>* group[=].element[=].display = ##34#A.5.2.3.2 Observation original name##34#</v>
      </c>
    </row>
    <row r="347" spans="2:2" x14ac:dyDescent="0.75">
      <c r="B347" s="14" t="str">
        <f>IF('Results-ConceptMap-2'!S83=0,"//---END",'Results-ConceptMap-2'!S83)</f>
        <v>* group[=].element[=].target.code = #Composition.section:lab-no-subsections.entry.resolve()</v>
      </c>
    </row>
    <row r="348" spans="2:2" x14ac:dyDescent="0.75">
      <c r="B348" s="14" t="str">
        <f>IF('Results-ConceptMap-2'!S84=0,"//---END",'Results-ConceptMap-2'!S84)</f>
        <v>* group[=].element[=].target.display = ##34###34#</v>
      </c>
    </row>
    <row r="349" spans="2:2" x14ac:dyDescent="0.75">
      <c r="B349" s="14" t="str">
        <f>IF('Results-ConceptMap-2'!S85=0,"//---END",'Results-ConceptMap-2'!S85)</f>
        <v>* group[=].element[=].target.equivalence = #relatedto</v>
      </c>
    </row>
    <row r="350" spans="2:2" x14ac:dyDescent="0.75">
      <c r="B350" s="14" t="str">
        <f>IF('Results-ConceptMap-2'!S86=0,"//---END",'Results-ConceptMap-2'!S86)</f>
        <v>* group[=].element[=].target.comment = ##34#see details in the Observation group##34#</v>
      </c>
    </row>
    <row r="351" spans="2:2" x14ac:dyDescent="0.75">
      <c r="B351" s="14" t="str">
        <f>IF('Results-ConceptMap-2'!S87=0,"//---END",'Results-ConceptMap-2'!S87)</f>
        <v>* group[=].element[+].code = #Result.observation.code.displayName</v>
      </c>
    </row>
    <row r="352" spans="2:2" x14ac:dyDescent="0.75">
      <c r="B352" s="14" t="str">
        <f>IF('Results-ConceptMap-2'!S88=0,"//---END",'Results-ConceptMap-2'!S88)</f>
        <v>* group[=].element[=].display = ##34#A.5.2.3.3 Observation display name##34#</v>
      </c>
    </row>
    <row r="353" spans="2:2" x14ac:dyDescent="0.75">
      <c r="B353" s="14" t="str">
        <f>IF('Results-ConceptMap-2'!S89=0,"//---END",'Results-ConceptMap-2'!S89)</f>
        <v>* group[=].element[=].target.code = #Composition.section:lab-no-subsections.entry.resolve()</v>
      </c>
    </row>
    <row r="354" spans="2:2" x14ac:dyDescent="0.75">
      <c r="B354" s="14" t="str">
        <f>IF('Results-ConceptMap-2'!S90=0,"//---END",'Results-ConceptMap-2'!S90)</f>
        <v>* group[=].element[=].target.display = ##34###34#</v>
      </c>
    </row>
    <row r="355" spans="2:2" x14ac:dyDescent="0.75">
      <c r="B355" s="14" t="str">
        <f>IF('Results-ConceptMap-2'!S91=0,"//---END",'Results-ConceptMap-2'!S91)</f>
        <v>* group[=].element[=].target.equivalence = #relatedto</v>
      </c>
    </row>
    <row r="356" spans="2:2" x14ac:dyDescent="0.75">
      <c r="B356" s="14" t="str">
        <f>IF('Results-ConceptMap-2'!S92=0,"//---END",'Results-ConceptMap-2'!S92)</f>
        <v>* group[=].element[=].target.comment = ##34#see details in the Observation group##34#</v>
      </c>
    </row>
    <row r="357" spans="2:2" x14ac:dyDescent="0.75">
      <c r="B357" s="14" t="str">
        <f>IF('Results-ConceptMap-2'!S93=0,"//---END",'Results-ConceptMap-2'!S93)</f>
        <v>* group[=].element[+].code = #Result.observation.method</v>
      </c>
    </row>
    <row r="358" spans="2:2" x14ac:dyDescent="0.75">
      <c r="B358" s="14" t="str">
        <f>IF('Results-ConceptMap-2'!S94=0,"//---END",'Results-ConceptMap-2'!S94)</f>
        <v>* group[=].element[=].display = ##34#A.5.2.4 Observation method##34#</v>
      </c>
    </row>
    <row r="359" spans="2:2" x14ac:dyDescent="0.75">
      <c r="B359" s="14" t="str">
        <f>IF('Results-ConceptMap-2'!S95=0,"//---END",'Results-ConceptMap-2'!S95)</f>
        <v>* group[=].element[=].target.code = #Composition.section:lab-no-subsections.entry.resolve()</v>
      </c>
    </row>
    <row r="360" spans="2:2" x14ac:dyDescent="0.75">
      <c r="B360" s="14" t="str">
        <f>IF('Results-ConceptMap-2'!S96=0,"//---END",'Results-ConceptMap-2'!S96)</f>
        <v>* group[=].element[=].target.display = ##34###34#</v>
      </c>
    </row>
    <row r="361" spans="2:2" x14ac:dyDescent="0.75">
      <c r="B361" s="14" t="str">
        <f>IF('Results-ConceptMap-2'!S97=0,"//---END",'Results-ConceptMap-2'!S97)</f>
        <v>* group[=].element[=].target.equivalence = #relatedto</v>
      </c>
    </row>
    <row r="362" spans="2:2" x14ac:dyDescent="0.75">
      <c r="B362" s="14" t="str">
        <f>IF('Results-ConceptMap-2'!S98=0,"//---END",'Results-ConceptMap-2'!S98)</f>
        <v>* group[=].element[=].target.comment = ##34#see details in the Observation group##34#</v>
      </c>
    </row>
    <row r="363" spans="2:2" x14ac:dyDescent="0.75">
      <c r="B363" s="14" t="str">
        <f>IF('Results-ConceptMap-2'!S99=0,"//---END",'Results-ConceptMap-2'!S99)</f>
        <v>* group[=].element[+].code = #Result.observation.device</v>
      </c>
    </row>
    <row r="364" spans="2:2" x14ac:dyDescent="0.75">
      <c r="B364" s="14" t="str">
        <f>IF('Results-ConceptMap-2'!S100=0,"//---END",'Results-ConceptMap-2'!S100)</f>
        <v>* group[=].element[=].display = ##34#A.5.2.5 Observation device##34#</v>
      </c>
    </row>
    <row r="365" spans="2:2" x14ac:dyDescent="0.75">
      <c r="B365" s="14" t="str">
        <f>IF('Results-ConceptMap-2'!S101=0,"//---END",'Results-ConceptMap-2'!S101)</f>
        <v>* group[=].element[=].target.code = #Composition.section:lab-no-subsections.entry.resolve()</v>
      </c>
    </row>
    <row r="366" spans="2:2" x14ac:dyDescent="0.75">
      <c r="B366" s="14" t="str">
        <f>IF('Results-ConceptMap-2'!S102=0,"//---END",'Results-ConceptMap-2'!S102)</f>
        <v>* group[=].element[=].target.display = ##34###34#</v>
      </c>
    </row>
    <row r="367" spans="2:2" x14ac:dyDescent="0.75">
      <c r="B367" s="14" t="str">
        <f>IF('Results-ConceptMap-2'!S103=0,"//---END",'Results-ConceptMap-2'!S103)</f>
        <v>* group[=].element[=].target.equivalence = #relatedto</v>
      </c>
    </row>
    <row r="368" spans="2:2" x14ac:dyDescent="0.75">
      <c r="B368" s="14" t="str">
        <f>IF('Results-ConceptMap-2'!S104=0,"//---END",'Results-ConceptMap-2'!S104)</f>
        <v>* group[=].element[=].target.comment = ##34#see details in the Observation group##34#</v>
      </c>
    </row>
    <row r="369" spans="2:2" x14ac:dyDescent="0.75">
      <c r="B369" s="14" t="str">
        <f>IF('Results-ConceptMap-2'!S105=0,"//---END",'Results-ConceptMap-2'!S105)</f>
        <v>* group[=].element[+].code = #Result.observation.order</v>
      </c>
    </row>
    <row r="370" spans="2:2" x14ac:dyDescent="0.75">
      <c r="B370" s="14" t="str">
        <f>IF('Results-ConceptMap-2'!S106=0,"//---END",'Results-ConceptMap-2'!S106)</f>
        <v>* group[=].element[=].display = ##34#A.5.2.8 Order##34#</v>
      </c>
    </row>
    <row r="371" spans="2:2" x14ac:dyDescent="0.75">
      <c r="B371" s="14" t="str">
        <f>IF('Results-ConceptMap-2'!S107=0,"//---END",'Results-ConceptMap-2'!S107)</f>
        <v>* group[=].element[=].target.code = #Composition.section:lab-no-subsections.entry.resolve()</v>
      </c>
    </row>
    <row r="372" spans="2:2" x14ac:dyDescent="0.75">
      <c r="B372" s="14" t="str">
        <f>IF('Results-ConceptMap-2'!S108=0,"//---END",'Results-ConceptMap-2'!S108)</f>
        <v>* group[=].element[=].target.display = ##34###34#</v>
      </c>
    </row>
    <row r="373" spans="2:2" x14ac:dyDescent="0.75">
      <c r="B373" s="14" t="str">
        <f>IF('Results-ConceptMap-2'!S109=0,"//---END",'Results-ConceptMap-2'!S109)</f>
        <v>* group[=].element[=].target.equivalence = #relatedto</v>
      </c>
    </row>
    <row r="374" spans="2:2" x14ac:dyDescent="0.75">
      <c r="B374" s="14" t="str">
        <f>IF('Results-ConceptMap-2'!S110=0,"//---END",'Results-ConceptMap-2'!S110)</f>
        <v>* group[=].element[=].target.comment = ##34#see details in the Observation group##34#</v>
      </c>
    </row>
    <row r="375" spans="2:2" x14ac:dyDescent="0.75">
      <c r="B375" s="14" t="str">
        <f>IF('Results-ConceptMap-2'!S111=0,"//---END",'Results-ConceptMap-2'!S111)</f>
        <v>* group[=].element[+].code = #Result.observation.performer</v>
      </c>
    </row>
    <row r="376" spans="2:2" x14ac:dyDescent="0.75">
      <c r="B376" s="14" t="str">
        <f>IF('Results-ConceptMap-2'!S112=0,"//---END",'Results-ConceptMap-2'!S112)</f>
        <v>* group[=].element[=].display = ##34#A.5.2.9 Performer##34#</v>
      </c>
    </row>
    <row r="377" spans="2:2" x14ac:dyDescent="0.75">
      <c r="B377" s="14" t="str">
        <f>IF('Results-ConceptMap-2'!S113=0,"//---END",'Results-ConceptMap-2'!S113)</f>
        <v>* group[=].element[=].target.code = #Composition.section:lab-no-subsections.entry.resolve()</v>
      </c>
    </row>
    <row r="378" spans="2:2" x14ac:dyDescent="0.75">
      <c r="B378" s="14" t="str">
        <f>IF('Results-ConceptMap-2'!S114=0,"//---END",'Results-ConceptMap-2'!S114)</f>
        <v>* group[=].element[=].target.display = ##34###34#</v>
      </c>
    </row>
    <row r="379" spans="2:2" x14ac:dyDescent="0.75">
      <c r="B379" s="14" t="str">
        <f>IF('Results-ConceptMap-2'!S115=0,"//---END",'Results-ConceptMap-2'!S115)</f>
        <v>* group[=].element[=].target.equivalence = #relatedto</v>
      </c>
    </row>
    <row r="380" spans="2:2" x14ac:dyDescent="0.75">
      <c r="B380" s="14" t="str">
        <f>IF('Results-ConceptMap-2'!S116=0,"//---END",'Results-ConceptMap-2'!S116)</f>
        <v>* group[=].element[=].target.comment = ##34#see details in the Observation group##34#</v>
      </c>
    </row>
    <row r="381" spans="2:2" x14ac:dyDescent="0.75">
      <c r="B381" s="14" t="str">
        <f>IF('Results-ConceptMap-2'!S117=0,"//---END",'Results-ConceptMap-2'!S117)</f>
        <v>* group[=].element[+].code = #Result.observation.reporter</v>
      </c>
    </row>
    <row r="382" spans="2:2" x14ac:dyDescent="0.75">
      <c r="B382" s="14" t="str">
        <f>IF('Results-ConceptMap-2'!S118=0,"//---END",'Results-ConceptMap-2'!S118)</f>
        <v>* group[=].element[=].display = ##34#A.5.2.10 Reporter##34#</v>
      </c>
    </row>
    <row r="383" spans="2:2" x14ac:dyDescent="0.75">
      <c r="B383" s="14" t="str">
        <f>IF('Results-ConceptMap-2'!S119=0,"//---END",'Results-ConceptMap-2'!S119)</f>
        <v>* group[=].element[=].target.code = #Composition.section:lab-no-subsections.entry.resolve()</v>
      </c>
    </row>
    <row r="384" spans="2:2" x14ac:dyDescent="0.75">
      <c r="B384" s="14" t="str">
        <f>IF('Results-ConceptMap-2'!S120=0,"//---END",'Results-ConceptMap-2'!S120)</f>
        <v>* group[=].element[=].target.display = ##34###34#</v>
      </c>
    </row>
    <row r="385" spans="2:2" x14ac:dyDescent="0.75">
      <c r="B385" s="14" t="str">
        <f>IF('Results-ConceptMap-2'!S121=0,"//---END",'Results-ConceptMap-2'!S121)</f>
        <v>* group[=].element[=].target.equivalence = #relatedto</v>
      </c>
    </row>
    <row r="386" spans="2:2" x14ac:dyDescent="0.75">
      <c r="B386" s="14" t="str">
        <f>IF('Results-ConceptMap-2'!S122=0,"//---END",'Results-ConceptMap-2'!S122)</f>
        <v>* group[=].element[=].target.comment = ##34#see details in the Observation group##34#</v>
      </c>
    </row>
    <row r="387" spans="2:2" x14ac:dyDescent="0.75">
      <c r="B387" s="14" t="str">
        <f>IF('Results-ConceptMap-2'!S123=0,"//---END",'Results-ConceptMap-2'!S123)</f>
        <v>* group[=].element[+].code = #Result.observation.result</v>
      </c>
    </row>
    <row r="388" spans="2:2" x14ac:dyDescent="0.75">
      <c r="B388" s="14" t="str">
        <f>IF('Results-ConceptMap-2'!S124=0,"//---END",'Results-ConceptMap-2'!S124)</f>
        <v>* group[=].element[=].display = ##34#A.5.2.11 Observation result##34#</v>
      </c>
    </row>
    <row r="389" spans="2:2" x14ac:dyDescent="0.75">
      <c r="B389" s="14" t="str">
        <f>IF('Results-ConceptMap-2'!S125=0,"//---END",'Results-ConceptMap-2'!S125)</f>
        <v>* group[=].element[=].target.code = #Composition.section:lab-no-subsections.entry.resolve()</v>
      </c>
    </row>
    <row r="390" spans="2:2" x14ac:dyDescent="0.75">
      <c r="B390" s="14" t="str">
        <f>IF('Results-ConceptMap-2'!S126=0,"//---END",'Results-ConceptMap-2'!S126)</f>
        <v>* group[=].element[=].target.display = ##34###34#</v>
      </c>
    </row>
    <row r="391" spans="2:2" x14ac:dyDescent="0.75">
      <c r="B391" s="14" t="str">
        <f>IF('Results-ConceptMap-2'!S127=0,"//---END",'Results-ConceptMap-2'!S127)</f>
        <v>* group[=].element[=].target.equivalence = #relatedto</v>
      </c>
    </row>
    <row r="392" spans="2:2" x14ac:dyDescent="0.75">
      <c r="B392" s="14" t="str">
        <f>IF('Results-ConceptMap-2'!S128=0,"//---END",'Results-ConceptMap-2'!S128)</f>
        <v>* group[=].element[=].target.comment = ##34#see details in the Observation group##34#</v>
      </c>
    </row>
    <row r="393" spans="2:2" x14ac:dyDescent="0.75">
      <c r="B393" s="14" t="str">
        <f>IF('Results-ConceptMap-2'!S129=0,"//---END",'Results-ConceptMap-2'!S129)</f>
        <v>* group[=].element[+].code = #Result.observation.interpretation</v>
      </c>
    </row>
    <row r="394" spans="2:2" x14ac:dyDescent="0.75">
      <c r="B394" s="14" t="str">
        <f>IF('Results-ConceptMap-2'!S130=0,"//---END",'Results-ConceptMap-2'!S130)</f>
        <v>* group[=].element[=].display = ##34#A.5.2.12 Observation interpretation##34#</v>
      </c>
    </row>
    <row r="395" spans="2:2" x14ac:dyDescent="0.75">
      <c r="B395" s="14" t="str">
        <f>IF('Results-ConceptMap-2'!S131=0,"//---END",'Results-ConceptMap-2'!S131)</f>
        <v>* group[=].element[=].target.code = #Composition.section:lab-no-subsections.entry.resolve()</v>
      </c>
    </row>
    <row r="396" spans="2:2" x14ac:dyDescent="0.75">
      <c r="B396" s="14" t="str">
        <f>IF('Results-ConceptMap-2'!S132=0,"//---END",'Results-ConceptMap-2'!S132)</f>
        <v>* group[=].element[=].target.display = ##34###34#</v>
      </c>
    </row>
    <row r="397" spans="2:2" x14ac:dyDescent="0.75">
      <c r="B397" s="14" t="str">
        <f>IF('Results-ConceptMap-2'!S133=0,"//---END",'Results-ConceptMap-2'!S133)</f>
        <v>* group[=].element[=].target.equivalence = #relatedto</v>
      </c>
    </row>
    <row r="398" spans="2:2" x14ac:dyDescent="0.75">
      <c r="B398" s="14" t="str">
        <f>IF('Results-ConceptMap-2'!S134=0,"//---END",'Results-ConceptMap-2'!S134)</f>
        <v>* group[=].element[=].target.comment = ##34#see details in the Observation group##34#</v>
      </c>
    </row>
    <row r="399" spans="2:2" x14ac:dyDescent="0.75">
      <c r="B399" s="14" t="str">
        <f>IF('Results-ConceptMap-2'!S135=0,"//---END",'Results-ConceptMap-2'!S135)</f>
        <v>* group[=].element[+].code = #Result.observation.description</v>
      </c>
    </row>
    <row r="400" spans="2:2" x14ac:dyDescent="0.75">
      <c r="B400" s="14" t="str">
        <f>IF('Results-ConceptMap-2'!S136=0,"//---END",'Results-ConceptMap-2'!S136)</f>
        <v>* group[=].element[=].display = ##34#A.5.2.13 Result description##34#</v>
      </c>
    </row>
    <row r="401" spans="2:2" x14ac:dyDescent="0.75">
      <c r="B401" s="14" t="str">
        <f>IF('Results-ConceptMap-2'!S137=0,"//---END",'Results-ConceptMap-2'!S137)</f>
        <v>* group[=].element[=].target.code = #Composition.section:lab-no-subsections.entry.resolve()</v>
      </c>
    </row>
    <row r="402" spans="2:2" x14ac:dyDescent="0.75">
      <c r="B402" s="14" t="str">
        <f>IF('Results-ConceptMap-2'!S138=0,"//---END",'Results-ConceptMap-2'!S138)</f>
        <v>* group[=].element[=].target.display = ##34###34#</v>
      </c>
    </row>
    <row r="403" spans="2:2" x14ac:dyDescent="0.75">
      <c r="B403" s="14" t="str">
        <f>IF('Results-ConceptMap-2'!S139=0,"//---END",'Results-ConceptMap-2'!S139)</f>
        <v>* group[=].element[=].target.equivalence = #relatedto</v>
      </c>
    </row>
    <row r="404" spans="2:2" x14ac:dyDescent="0.75">
      <c r="B404" s="14" t="str">
        <f>IF('Results-ConceptMap-2'!S140=0,"//---END",'Results-ConceptMap-2'!S140)</f>
        <v>* group[=].element[=].target.comment = ##34#see details in the Observation group##34#</v>
      </c>
    </row>
    <row r="405" spans="2:2" x14ac:dyDescent="0.75">
      <c r="B405" s="14" t="str">
        <f>IF('Results-ConceptMap-2'!S141=0,"//---END",'Results-ConceptMap-2'!S141)</f>
        <v>* group[=].element[+].code = #Result.observation.accreditationStatus</v>
      </c>
    </row>
    <row r="406" spans="2:2" x14ac:dyDescent="0.75">
      <c r="B406" s="14" t="str">
        <f>IF('Results-ConceptMap-2'!S142=0,"//---END",'Results-ConceptMap-2'!S142)</f>
        <v>* group[=].element[=].display = ##34#A.5.2.14 Accreditation status##34#</v>
      </c>
    </row>
    <row r="407" spans="2:2" x14ac:dyDescent="0.75">
      <c r="B407" s="14" t="str">
        <f>IF('Results-ConceptMap-2'!S143=0,"//---END",'Results-ConceptMap-2'!S143)</f>
        <v>* group[=].element[=].target.code = #Composition.section:lab-no-subsections.entry.resolve()</v>
      </c>
    </row>
    <row r="408" spans="2:2" x14ac:dyDescent="0.75">
      <c r="B408" s="14" t="str">
        <f>IF('Results-ConceptMap-2'!S144=0,"//---END",'Results-ConceptMap-2'!S144)</f>
        <v>* group[=].element[=].target.display = ##34###34#</v>
      </c>
    </row>
    <row r="409" spans="2:2" x14ac:dyDescent="0.75">
      <c r="B409" s="14" t="str">
        <f>IF('Results-ConceptMap-2'!S145=0,"//---END",'Results-ConceptMap-2'!S145)</f>
        <v>* group[=].element[=].target.equivalence = #relatedto</v>
      </c>
    </row>
    <row r="410" spans="2:2" x14ac:dyDescent="0.75">
      <c r="B410" s="14" t="str">
        <f>IF('Results-ConceptMap-2'!S146=0,"//---END",'Results-ConceptMap-2'!S146)</f>
        <v>* group[=].element[=].target.comment = ##34#see details in the Observation group##34#</v>
      </c>
    </row>
    <row r="411" spans="2:2" x14ac:dyDescent="0.75">
      <c r="B411" s="14" t="str">
        <f>IF('Results-ConceptMap-2'!S147=0,"//---END",'Results-ConceptMap-2'!S147)</f>
        <v>//---END</v>
      </c>
    </row>
    <row r="412" spans="2:2" x14ac:dyDescent="0.75">
      <c r="B412" s="14" t="str">
        <f>IF('Results-ConceptMap-2'!S148=0,"//---END",'Results-ConceptMap-2'!S148)</f>
        <v>//---END</v>
      </c>
    </row>
    <row r="413" spans="2:2" x14ac:dyDescent="0.75">
      <c r="B413" s="14" t="str">
        <f>IF('Results-ConceptMap-2'!S149=0,"//---END",'Results-ConceptMap-2'!S149)</f>
        <v>//---END</v>
      </c>
    </row>
    <row r="414" spans="2:2" x14ac:dyDescent="0.75">
      <c r="B414" s="14" t="str">
        <f>IF('Results-ConceptMap-2'!S150=0,"//---END",'Results-ConceptMap-2'!S150)</f>
        <v>//---END</v>
      </c>
    </row>
    <row r="415" spans="2:2" x14ac:dyDescent="0.75">
      <c r="B415" s="14" t="str">
        <f>IF('Results-ConceptMap-2'!S151=0,"//---END",'Results-ConceptMap-2'!S151)</f>
        <v>//---END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74433"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C0F66314-B36A-44A2-85B7-EE33EB643B5C}">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Fogli di lavoro</vt:lpstr>
      </vt:variant>
      <vt:variant>
        <vt:i4>58</vt:i4>
      </vt:variant>
    </vt:vector>
  </HeadingPairs>
  <TitlesOfParts>
    <vt:vector size="58" baseType="lpstr">
      <vt:lpstr>Header</vt:lpstr>
      <vt:lpstr>Body</vt:lpstr>
      <vt:lpstr>Common</vt:lpstr>
      <vt:lpstr>Report</vt:lpstr>
      <vt:lpstr>Report-Map-1</vt:lpstr>
      <vt:lpstr>Report-fsh</vt:lpstr>
      <vt:lpstr>Report-ConceptMap-1</vt:lpstr>
      <vt:lpstr>Report-ConceptMap-2</vt:lpstr>
      <vt:lpstr>Report-CM-fsh</vt:lpstr>
      <vt:lpstr>Subj</vt:lpstr>
      <vt:lpstr>Subj-Map-1</vt:lpstr>
      <vt:lpstr>Subj-fsh</vt:lpstr>
      <vt:lpstr>Subj-ConceptMap-1</vt:lpstr>
      <vt:lpstr>Subj-CM-fsh</vt:lpstr>
      <vt:lpstr>A1.3 Payer</vt:lpstr>
      <vt:lpstr>Payer-Map-1</vt:lpstr>
      <vt:lpstr>Payer-fsh</vt:lpstr>
      <vt:lpstr>Payer-ConceptMap-1</vt:lpstr>
      <vt:lpstr>Payer-CM-fsh</vt:lpstr>
      <vt:lpstr>A1.4 Recipient</vt:lpstr>
      <vt:lpstr>Recipient-Map-1</vt:lpstr>
      <vt:lpstr>Recipient-fsh</vt:lpstr>
      <vt:lpstr>Recipient-ConceptMap-1</vt:lpstr>
      <vt:lpstr>Recipient-CM-fsh</vt:lpstr>
      <vt:lpstr>A1.5 Author</vt:lpstr>
      <vt:lpstr>Author-Map-1</vt:lpstr>
      <vt:lpstr>Author-fsh</vt:lpstr>
      <vt:lpstr>Author-ConceptMap-1</vt:lpstr>
      <vt:lpstr>Author-ConceptMap-2</vt:lpstr>
      <vt:lpstr>Author-ConceptMap-3</vt:lpstr>
      <vt:lpstr>Author-CM-fsh</vt:lpstr>
      <vt:lpstr>A1.6 LegalAuth</vt:lpstr>
      <vt:lpstr>LegalAuth-Map-1</vt:lpstr>
      <vt:lpstr>LegalAuth-fsh</vt:lpstr>
      <vt:lpstr>LegalAuth-ConceptMap-1</vt:lpstr>
      <vt:lpstr>LegalAuth-CM-fsh</vt:lpstr>
      <vt:lpstr>A1.7 Validator</vt:lpstr>
      <vt:lpstr>Validator-Map-1</vt:lpstr>
      <vt:lpstr>Validator-fsh</vt:lpstr>
      <vt:lpstr>Validator-ConceptMap-1</vt:lpstr>
      <vt:lpstr>Validator-CM-fsh</vt:lpstr>
      <vt:lpstr>A2 Order</vt:lpstr>
      <vt:lpstr>Order-Map-1</vt:lpstr>
      <vt:lpstr>Order-fsh</vt:lpstr>
      <vt:lpstr>Order-ConceptMap-1</vt:lpstr>
      <vt:lpstr>Order-CM-fsh</vt:lpstr>
      <vt:lpstr>A.4 Specimen</vt:lpstr>
      <vt:lpstr>Specimen-Map-1</vt:lpstr>
      <vt:lpstr>Specimen-fsh</vt:lpstr>
      <vt:lpstr>Specimen-ConceptMap-1</vt:lpstr>
      <vt:lpstr>Specimen-CM-fsh</vt:lpstr>
      <vt:lpstr>A.5 Results</vt:lpstr>
      <vt:lpstr>Results-Map-1</vt:lpstr>
      <vt:lpstr>Results-fsh</vt:lpstr>
      <vt:lpstr>Results-ConceptMap-1</vt:lpstr>
      <vt:lpstr>Results-ConceptMap-2</vt:lpstr>
      <vt:lpstr>Results-ConceptMap-3</vt:lpstr>
      <vt:lpstr>Results-CM-fsh</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Knight , Beverly</dc:creator>
  <cp:lastModifiedBy>Giorgio Cangioli</cp:lastModifiedBy>
  <dcterms:created xsi:type="dcterms:W3CDTF">2020-03-16T21:04:00Z</dcterms:created>
  <dcterms:modified xsi:type="dcterms:W3CDTF">2023-06-21T14:02:56Z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2015_ms_pID_725343">
    <vt:lpwstr>(2)0nrWG37wKCqBhcuiEBc7AsUhe6w7pKUL4EEBtIfEnSAJ5XEwN62anltvfV1IbXG/J5ACcFB6
HfCGv8oyHsvSEpL2BAHcO5nZH4piubAsgi+duIP0fd/cojEDfXysgk1B32LFYelqAlDQFMs/
v7ew/Fga9sQGBt4Wo8PvdFAgJePdrsYolIogndeac2Zpjrme7NMHSve7/gnAzQsOJD06F9fV
sk5sIiO74HoO/YPlYh</vt:lpwstr>
  </property>
  <property fmtid="{D5CDD505-2E9C-101B-9397-08002B2CF9AE}" pid="3" name="_2015_ms_pID_7253431">
    <vt:lpwstr>Kol6CAjnB9NSa9pTZQVWGA4x0axh5Q4bwIz86w4EBp2y7CPI461WXg
Ny2gzPZk7PBumWweQa0ASDe4DNmo2ofCltEfDFahn/sRCeXcGBHkEoCy4jucXs+DwIE3RCes
46zlPp1d4BPgdZWHPWiN862Fy6OYH3qCvl+ZO5bgxY6BHv8MSd2axrdNX25Rk3l6y8i7FAZ+
HyUwg9YXY3Py9hm1</vt:lpwstr>
  </property>
</Properties>
</file>