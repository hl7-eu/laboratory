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A4422498-B8F6-4BF1-AD8A-C7A466D96281}" xr6:coauthVersionLast="47" xr6:coauthVersionMax="47" xr10:uidLastSave="{00000000-0000-0000-0000-000000000000}"/>
  <bookViews>
    <workbookView xWindow="-90" yWindow="-21710" windowWidth="38620" windowHeight="21100" activeTab="8"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1" i="165" l="1"/>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S16" i="140" s="1" a="1"/>
  <c r="S16" i="140" s="1"/>
  <c r="B176" i="138" s="1"/>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S22" i="140" s="1" a="1"/>
  <c r="S22" i="140" s="1"/>
  <c r="B182" i="138" s="1"/>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S27" i="140" s="1" a="1"/>
  <c r="S27" i="140" s="1"/>
  <c r="B187" i="138" s="1"/>
  <c r="Q28" i="140"/>
  <c r="S28" i="140" s="1" a="1"/>
  <c r="S28" i="140" s="1"/>
  <c r="B188" i="138" s="1"/>
  <c r="R28" i="140"/>
  <c r="Q29" i="140"/>
  <c r="R29" i="140"/>
  <c r="S29" i="140" s="1" a="1"/>
  <c r="S29" i="140" s="1"/>
  <c r="B189" i="138" s="1"/>
  <c r="Q30" i="140"/>
  <c r="S30" i="140" s="1" a="1"/>
  <c r="S30" i="140" s="1"/>
  <c r="B190" i="138" s="1"/>
  <c r="R30" i="140"/>
  <c r="Q31" i="140"/>
  <c r="R31" i="140"/>
  <c r="S31" i="140" a="1"/>
  <c r="S31" i="140"/>
  <c r="B191" i="138" s="1"/>
  <c r="Q32" i="140"/>
  <c r="S32" i="140" s="1" a="1"/>
  <c r="S32" i="140" s="1"/>
  <c r="B192" i="138" s="1"/>
  <c r="R32" i="140"/>
  <c r="Q33" i="140"/>
  <c r="R33" i="140"/>
  <c r="S33" i="140" a="1"/>
  <c r="S33" i="140" s="1"/>
  <c r="B193" i="138" s="1"/>
  <c r="Q34" i="140"/>
  <c r="S34" i="140" s="1" a="1"/>
  <c r="S34" i="140" s="1"/>
  <c r="B194" i="138" s="1"/>
  <c r="R34" i="140"/>
  <c r="Q35" i="140"/>
  <c r="R35" i="140"/>
  <c r="Q36" i="140"/>
  <c r="R36" i="140"/>
  <c r="Q37" i="140"/>
  <c r="R37" i="140"/>
  <c r="Q38" i="140"/>
  <c r="S38" i="140" s="1" a="1"/>
  <c r="S38" i="140" s="1"/>
  <c r="B198" i="138" s="1"/>
  <c r="R38" i="140"/>
  <c r="Q39" i="140"/>
  <c r="R39" i="140"/>
  <c r="S39" i="140" a="1"/>
  <c r="S39" i="140" s="1"/>
  <c r="B199" i="138" s="1"/>
  <c r="Q40" i="140"/>
  <c r="S40" i="140" s="1" a="1"/>
  <c r="S40" i="140" s="1"/>
  <c r="B200" i="138" s="1"/>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S45" i="140" s="1" a="1"/>
  <c r="S45" i="140" s="1"/>
  <c r="B205" i="138" s="1"/>
  <c r="Q46" i="140"/>
  <c r="S46" i="140" s="1" a="1"/>
  <c r="S46" i="140" s="1"/>
  <c r="B206" i="138" s="1"/>
  <c r="R46" i="140"/>
  <c r="Q47" i="140"/>
  <c r="R47" i="140"/>
  <c r="S47" i="140" a="1"/>
  <c r="S47" i="140"/>
  <c r="B207" i="138" s="1"/>
  <c r="Q48" i="140"/>
  <c r="S48" i="140" s="1" a="1"/>
  <c r="S48" i="140" s="1"/>
  <c r="B208" i="138" s="1"/>
  <c r="R48" i="140"/>
  <c r="Q49" i="140"/>
  <c r="R49" i="140"/>
  <c r="S49" i="140" a="1"/>
  <c r="S49" i="140" s="1"/>
  <c r="B209" i="138" s="1"/>
  <c r="Q50" i="140"/>
  <c r="R50" i="140"/>
  <c r="Q51" i="140"/>
  <c r="R51" i="140"/>
  <c r="S51" i="140" s="1" a="1"/>
  <c r="S51" i="140" s="1"/>
  <c r="B211" i="138" s="1"/>
  <c r="Q52" i="140"/>
  <c r="S52" i="140" s="1" a="1"/>
  <c r="S52" i="140" s="1"/>
  <c r="B212" i="138" s="1"/>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S57" i="140" a="1"/>
  <c r="S57" i="140" s="1"/>
  <c r="B217" i="138" s="1"/>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S63" i="140" a="1"/>
  <c r="S63" i="140" s="1"/>
  <c r="B223" i="138" s="1"/>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S69" i="140" s="1" a="1"/>
  <c r="S69" i="140" s="1"/>
  <c r="B229" i="138" s="1"/>
  <c r="Q70" i="140"/>
  <c r="S70" i="140" s="1" a="1"/>
  <c r="S70" i="140" s="1"/>
  <c r="B230" i="138" s="1"/>
  <c r="R70" i="140"/>
  <c r="Q71" i="140"/>
  <c r="S71" i="140" s="1" a="1"/>
  <c r="S71" i="140" s="1"/>
  <c r="B231" i="138" s="1"/>
  <c r="R71" i="140"/>
  <c r="Q72" i="140"/>
  <c r="R72" i="140"/>
  <c r="Q73" i="140"/>
  <c r="R73" i="140"/>
  <c r="S73" i="140" a="1"/>
  <c r="S73" i="140" s="1"/>
  <c r="B233" i="138" s="1"/>
  <c r="Q74" i="140"/>
  <c r="R74" i="140"/>
  <c r="Q75" i="140"/>
  <c r="S75" i="140" s="1" a="1"/>
  <c r="S75" i="140" s="1"/>
  <c r="B235" i="138" s="1"/>
  <c r="R75" i="140"/>
  <c r="Q76" i="140"/>
  <c r="S76" i="140" s="1" a="1"/>
  <c r="S76" i="140" s="1"/>
  <c r="B236" i="138" s="1"/>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S81" i="140" a="1"/>
  <c r="S81" i="140" s="1"/>
  <c r="B241" i="138" s="1"/>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S87" i="140" s="1" a="1"/>
  <c r="S87" i="140" s="1"/>
  <c r="B247" i="138" s="1"/>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S93" i="140" s="1" a="1"/>
  <c r="S93" i="140" s="1"/>
  <c r="B253" i="138" s="1"/>
  <c r="Q94" i="140"/>
  <c r="S94" i="140" s="1" a="1"/>
  <c r="S94" i="140" s="1"/>
  <c r="B254" i="138" s="1"/>
  <c r="R94" i="140"/>
  <c r="Q95" i="140"/>
  <c r="S95" i="140" s="1" a="1"/>
  <c r="S95" i="140" s="1"/>
  <c r="B255" i="138" s="1"/>
  <c r="R95" i="140"/>
  <c r="Q96" i="140"/>
  <c r="R96" i="140"/>
  <c r="Q97" i="140"/>
  <c r="R97" i="140"/>
  <c r="S97" i="140" a="1"/>
  <c r="S97" i="140" s="1"/>
  <c r="B257" i="138" s="1"/>
  <c r="Q98" i="140"/>
  <c r="R98" i="140"/>
  <c r="Q99" i="140"/>
  <c r="S99" i="140" s="1" a="1"/>
  <c r="S99" i="140" s="1"/>
  <c r="B259" i="138" s="1"/>
  <c r="R99" i="140"/>
  <c r="Q100" i="140"/>
  <c r="S100" i="140" s="1" a="1"/>
  <c r="S100" i="140" s="1"/>
  <c r="B260" i="138" s="1"/>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S105" i="140" a="1"/>
  <c r="S105" i="140" s="1"/>
  <c r="B265" i="138" s="1"/>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S111" i="140" s="1" a="1"/>
  <c r="S111" i="140" s="1"/>
  <c r="B271" i="138" s="1"/>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S117" i="140" s="1" a="1"/>
  <c r="S117" i="140" s="1"/>
  <c r="B277" i="138" s="1"/>
  <c r="Q118" i="140"/>
  <c r="R118" i="140"/>
  <c r="S118" i="140" a="1"/>
  <c r="S118" i="140" s="1"/>
  <c r="B278" i="138" s="1"/>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S123" i="140" s="1" a="1"/>
  <c r="S123" i="140" s="1"/>
  <c r="B283" i="138" s="1"/>
  <c r="Q124" i="140"/>
  <c r="R124" i="140"/>
  <c r="S124" i="140" a="1"/>
  <c r="S124" i="140" s="1"/>
  <c r="B284" i="138" s="1"/>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S129" i="140" s="1" a="1"/>
  <c r="S129" i="140" s="1"/>
  <c r="B289" i="138" s="1"/>
  <c r="R129" i="140"/>
  <c r="Q130" i="140"/>
  <c r="S130" i="140" s="1" a="1"/>
  <c r="S130" i="140" s="1"/>
  <c r="B290" i="138" s="1"/>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S135" i="140" a="1"/>
  <c r="S135" i="140" s="1"/>
  <c r="B295" i="138" s="1"/>
  <c r="Q136" i="140"/>
  <c r="S136" i="140" s="1" a="1"/>
  <c r="S136" i="140" s="1"/>
  <c r="B296" i="138" s="1"/>
  <c r="R136" i="140"/>
  <c r="Q137" i="140"/>
  <c r="S137" i="140" s="1" a="1"/>
  <c r="S137" i="140" s="1"/>
  <c r="B297" i="138" s="1"/>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S143" i="140" s="1" a="1"/>
  <c r="S143" i="140" s="1"/>
  <c r="B303" i="138" s="1"/>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S149" i="140" s="1" a="1"/>
  <c r="S149" i="140" s="1"/>
  <c r="B309" i="138" s="1"/>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S27" i="137" s="1" a="1"/>
  <c r="S27" i="137" s="1"/>
  <c r="B32" i="138" s="1"/>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S33" i="137" s="1" a="1"/>
  <c r="S33" i="137" s="1"/>
  <c r="B38" i="138" s="1"/>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S45" i="137" s="1" a="1"/>
  <c r="S45" i="137" s="1"/>
  <c r="B50" i="138" s="1"/>
  <c r="R45" i="137"/>
  <c r="Q46" i="137"/>
  <c r="S46" i="137" s="1" a="1"/>
  <c r="S46" i="137" s="1"/>
  <c r="B51" i="138" s="1"/>
  <c r="R46" i="137"/>
  <c r="Q47" i="137"/>
  <c r="S47" i="137" s="1" a="1"/>
  <c r="S47" i="137" s="1"/>
  <c r="B52" i="138" s="1"/>
  <c r="R47" i="137"/>
  <c r="Q48" i="137"/>
  <c r="R48" i="137"/>
  <c r="Q49" i="137"/>
  <c r="R49" i="137"/>
  <c r="S49" i="137" a="1"/>
  <c r="S49" i="137" s="1"/>
  <c r="B54" i="138" s="1"/>
  <c r="Q50" i="137"/>
  <c r="R50" i="137"/>
  <c r="Q51" i="137"/>
  <c r="R51" i="137"/>
  <c r="S51" i="137" a="1"/>
  <c r="S51" i="137" s="1"/>
  <c r="B56" i="138" s="1"/>
  <c r="Q52" i="137"/>
  <c r="R52" i="137"/>
  <c r="Q53" i="137"/>
  <c r="R53" i="137"/>
  <c r="S53" i="137" a="1"/>
  <c r="S53" i="137" s="1"/>
  <c r="B58" i="138" s="1"/>
  <c r="Q54" i="137"/>
  <c r="R54" i="137"/>
  <c r="Q55" i="137"/>
  <c r="R55" i="137"/>
  <c r="S55" i="137" a="1"/>
  <c r="S55" i="137" s="1"/>
  <c r="B60" i="138" s="1"/>
  <c r="Q56" i="137"/>
  <c r="R56" i="137"/>
  <c r="Q57" i="137"/>
  <c r="R57" i="137"/>
  <c r="S57" i="137" a="1"/>
  <c r="S57" i="137" s="1"/>
  <c r="B62" i="138" s="1"/>
  <c r="Q58" i="137"/>
  <c r="R58" i="137"/>
  <c r="Q59" i="137"/>
  <c r="R59" i="137"/>
  <c r="S59" i="137" a="1"/>
  <c r="S59" i="137" s="1"/>
  <c r="B64" i="138" s="1"/>
  <c r="Q60" i="137"/>
  <c r="R60" i="137"/>
  <c r="Q61" i="137"/>
  <c r="R61" i="137"/>
  <c r="S61" i="137" a="1"/>
  <c r="S61" i="137" s="1"/>
  <c r="B66" i="138" s="1"/>
  <c r="Q62" i="137"/>
  <c r="R62" i="137"/>
  <c r="Q63" i="137"/>
  <c r="R63" i="137"/>
  <c r="S63" i="137" a="1"/>
  <c r="S63" i="137" s="1"/>
  <c r="B68" i="138" s="1"/>
  <c r="Q64" i="137"/>
  <c r="R64" i="137"/>
  <c r="Q65" i="137"/>
  <c r="R65" i="137"/>
  <c r="S65" i="137" a="1"/>
  <c r="S65" i="137" s="1"/>
  <c r="B70" i="138" s="1"/>
  <c r="Q66" i="137"/>
  <c r="R66" i="137"/>
  <c r="Q67" i="137"/>
  <c r="R67" i="137"/>
  <c r="S67" i="137" a="1"/>
  <c r="S67" i="137" s="1"/>
  <c r="B72" i="138" s="1"/>
  <c r="Q68" i="137"/>
  <c r="R68" i="137"/>
  <c r="Q69" i="137"/>
  <c r="R69" i="137"/>
  <c r="S69" i="137" a="1"/>
  <c r="S69" i="137" s="1"/>
  <c r="B74" i="138" s="1"/>
  <c r="Q70" i="137"/>
  <c r="R70" i="137"/>
  <c r="Q71" i="137"/>
  <c r="R71" i="137"/>
  <c r="S71" i="137" a="1"/>
  <c r="S71" i="137" s="1"/>
  <c r="B76" i="138" s="1"/>
  <c r="Q72" i="137"/>
  <c r="R72" i="137"/>
  <c r="Q73" i="137"/>
  <c r="R73" i="137"/>
  <c r="S73" i="137" a="1"/>
  <c r="S73" i="137" s="1"/>
  <c r="B78" i="138" s="1"/>
  <c r="Q74" i="137"/>
  <c r="R74" i="137"/>
  <c r="Q75" i="137"/>
  <c r="R75" i="137"/>
  <c r="S75" i="137" a="1"/>
  <c r="S75" i="137" s="1"/>
  <c r="B80" i="138" s="1"/>
  <c r="Q76" i="137"/>
  <c r="R76" i="137"/>
  <c r="Q77" i="137"/>
  <c r="R77" i="137"/>
  <c r="S77" i="137" a="1"/>
  <c r="S77" i="137" s="1"/>
  <c r="B82" i="138" s="1"/>
  <c r="Q78" i="137"/>
  <c r="R78" i="137"/>
  <c r="Q79" i="137"/>
  <c r="R79" i="137"/>
  <c r="S79" i="137" a="1"/>
  <c r="S79" i="137" s="1"/>
  <c r="B84" i="138" s="1"/>
  <c r="Q80" i="137"/>
  <c r="R80" i="137"/>
  <c r="Q81" i="137"/>
  <c r="R81" i="137"/>
  <c r="S81" i="137" a="1"/>
  <c r="S81" i="137" s="1"/>
  <c r="B86" i="138" s="1"/>
  <c r="Q82" i="137"/>
  <c r="R82" i="137"/>
  <c r="Q83" i="137"/>
  <c r="R83" i="137"/>
  <c r="S83" i="137" a="1"/>
  <c r="S83" i="137" s="1"/>
  <c r="B88" i="138" s="1"/>
  <c r="Q84" i="137"/>
  <c r="R84" i="137"/>
  <c r="Q85" i="137"/>
  <c r="R85" i="137"/>
  <c r="S85" i="137" a="1"/>
  <c r="S85" i="137" s="1"/>
  <c r="B90" i="138" s="1"/>
  <c r="Q86" i="137"/>
  <c r="R86" i="137"/>
  <c r="Q87" i="137"/>
  <c r="R87" i="137"/>
  <c r="S87" i="137" a="1"/>
  <c r="S87" i="137" s="1"/>
  <c r="B92" i="138" s="1"/>
  <c r="Q88" i="137"/>
  <c r="R88" i="137"/>
  <c r="Q89" i="137"/>
  <c r="R89" i="137"/>
  <c r="S89" i="137" a="1"/>
  <c r="S89" i="137" s="1"/>
  <c r="B94" i="138" s="1"/>
  <c r="Q90" i="137"/>
  <c r="R90" i="137"/>
  <c r="Q91" i="137"/>
  <c r="R91" i="137"/>
  <c r="S91" i="137" a="1"/>
  <c r="S91" i="137" s="1"/>
  <c r="B96" i="138" s="1"/>
  <c r="Q92" i="137"/>
  <c r="R92" i="137"/>
  <c r="Q93" i="137"/>
  <c r="R93" i="137"/>
  <c r="S93" i="137" a="1"/>
  <c r="S93" i="137" s="1"/>
  <c r="B98" i="138" s="1"/>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R101" i="137"/>
  <c r="S101" i="137" a="1"/>
  <c r="S101" i="137" s="1"/>
  <c r="B106" i="138" s="1"/>
  <c r="Q102" i="137"/>
  <c r="R102" i="137"/>
  <c r="Q103" i="137"/>
  <c r="R103" i="137"/>
  <c r="S103" i="137" a="1"/>
  <c r="S103" i="137" s="1"/>
  <c r="B108" i="138" s="1"/>
  <c r="Q104" i="137"/>
  <c r="R104" i="137"/>
  <c r="Q105" i="137"/>
  <c r="R105" i="137"/>
  <c r="S105" i="137" a="1"/>
  <c r="S105" i="137" s="1"/>
  <c r="B110" i="138" s="1"/>
  <c r="Q106" i="137"/>
  <c r="R106" i="137"/>
  <c r="Q107" i="137"/>
  <c r="R107" i="137"/>
  <c r="S107" i="137" a="1"/>
  <c r="S107" i="137" s="1"/>
  <c r="B112" i="138" s="1"/>
  <c r="Q108" i="137"/>
  <c r="R108" i="137"/>
  <c r="Q109" i="137"/>
  <c r="R109" i="137"/>
  <c r="S109" i="137" a="1"/>
  <c r="S109" i="137" s="1"/>
  <c r="B114" i="138" s="1"/>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R117" i="137"/>
  <c r="S117" i="137" a="1"/>
  <c r="S117" i="137" s="1"/>
  <c r="B122" i="138" s="1"/>
  <c r="Q118" i="137"/>
  <c r="R118" i="137"/>
  <c r="Q119" i="137"/>
  <c r="R119" i="137"/>
  <c r="S119" i="137" a="1"/>
  <c r="S119" i="137" s="1"/>
  <c r="B124" i="138" s="1"/>
  <c r="Q120" i="137"/>
  <c r="R120" i="137"/>
  <c r="Q121" i="137"/>
  <c r="R121" i="137"/>
  <c r="S121" i="137" a="1"/>
  <c r="S121" i="137" s="1"/>
  <c r="B126" i="138" s="1"/>
  <c r="Q122" i="137"/>
  <c r="R122" i="137"/>
  <c r="Q123" i="137"/>
  <c r="R123" i="137"/>
  <c r="S123" i="137" a="1"/>
  <c r="S123" i="137" s="1"/>
  <c r="B128" i="138" s="1"/>
  <c r="Q124" i="137"/>
  <c r="R124" i="137"/>
  <c r="Q125" i="137"/>
  <c r="R125" i="137"/>
  <c r="S125" i="137" a="1"/>
  <c r="S125" i="137" s="1"/>
  <c r="B130" i="138" s="1"/>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R133" i="137"/>
  <c r="S133" i="137" a="1"/>
  <c r="S133" i="137" s="1"/>
  <c r="B138" i="138" s="1"/>
  <c r="Q134" i="137"/>
  <c r="R134" i="137"/>
  <c r="Q135" i="137"/>
  <c r="R135" i="137"/>
  <c r="S135" i="137" a="1"/>
  <c r="S135" i="137" s="1"/>
  <c r="B140" i="138" s="1"/>
  <c r="Q136" i="137"/>
  <c r="R136" i="137"/>
  <c r="Q137" i="137"/>
  <c r="R137" i="137"/>
  <c r="S137" i="137" a="1"/>
  <c r="S137" i="137" s="1"/>
  <c r="B142" i="138" s="1"/>
  <c r="Q138" i="137"/>
  <c r="R138" i="137"/>
  <c r="Q139" i="137"/>
  <c r="R139" i="137"/>
  <c r="S139" i="137" a="1"/>
  <c r="S139" i="137" s="1"/>
  <c r="B144" i="138" s="1"/>
  <c r="Q140" i="137"/>
  <c r="R140" i="137"/>
  <c r="Q141" i="137"/>
  <c r="R141" i="137"/>
  <c r="S141" i="137" a="1"/>
  <c r="S141" i="137" s="1"/>
  <c r="B146" i="138" s="1"/>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B26" i="138" s="1"/>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37" i="140" l="1"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<sst xmlns="http://schemas.openxmlformats.org/spreadsheetml/2006/main" count="2585" uniqueCount="969">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</sst>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5" t="s">
        <v>39</v>
      </c>
      <c r="C3" s="106"/>
      <c r="D3" s="35" t="s">
        <v>40</v>
      </c>
      <c r="E3" s="35" t="s">
        <v>41</v>
      </c>
    </row>
    <row r="4" spans="2:5" ht="16.75" thickBot="1" x14ac:dyDescent="0.9">
      <c r="B4" s="107" t="s">
        <v>42</v>
      </c>
      <c r="C4" s="108"/>
      <c r="D4" s="108"/>
      <c r="E4" s="109"/>
    </row>
    <row r="5" spans="2:5" ht="16.75" thickBot="1" x14ac:dyDescent="0.9">
      <c r="B5" s="107" t="s">
        <v>43</v>
      </c>
      <c r="C5" s="108"/>
      <c r="D5" s="108"/>
      <c r="E5" s="109"/>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10" t="s">
        <v>57</v>
      </c>
      <c r="C10" s="110" t="s">
        <v>58</v>
      </c>
      <c r="D10" s="40" t="s">
        <v>59</v>
      </c>
      <c r="E10" s="113" t="s">
        <v>60</v>
      </c>
    </row>
    <row r="11" spans="2:5" x14ac:dyDescent="0.75">
      <c r="B11" s="111"/>
      <c r="C11" s="111"/>
      <c r="D11" s="41"/>
      <c r="E11" s="114"/>
    </row>
    <row r="12" spans="2:5" ht="32.75" thickBot="1" x14ac:dyDescent="0.9">
      <c r="B12" s="112"/>
      <c r="C12" s="112"/>
      <c r="D12" s="37" t="s">
        <v>61</v>
      </c>
      <c r="E12" s="115"/>
    </row>
    <row r="13" spans="2:5" ht="16.75" thickBot="1" x14ac:dyDescent="0.9">
      <c r="B13" s="102" t="s">
        <v>62</v>
      </c>
      <c r="C13" s="103"/>
      <c r="D13" s="103"/>
      <c r="E13" s="104"/>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2" t="s">
        <v>70</v>
      </c>
      <c r="C16" s="103"/>
      <c r="D16" s="103"/>
      <c r="E16" s="104"/>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2" t="s">
        <v>83</v>
      </c>
      <c r="C21" s="103"/>
      <c r="D21" s="103"/>
      <c r="E21" s="104"/>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2" t="s">
        <v>93</v>
      </c>
      <c r="C25" s="103"/>
      <c r="D25" s="103"/>
      <c r="E25" s="104"/>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2" t="s">
        <v>102</v>
      </c>
      <c r="C29" s="103"/>
      <c r="D29" s="103"/>
      <c r="E29" s="104"/>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2" t="s">
        <v>114</v>
      </c>
      <c r="C34" s="103"/>
      <c r="D34" s="103"/>
      <c r="E34" s="104"/>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2" t="s">
        <v>126</v>
      </c>
      <c r="C39" s="103"/>
      <c r="D39" s="103"/>
      <c r="E39" s="104"/>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5" t="s">
        <v>39</v>
      </c>
      <c r="C3" s="106"/>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10" t="s">
        <v>163</v>
      </c>
      <c r="C12" s="110" t="s">
        <v>164</v>
      </c>
      <c r="D12" s="110" t="s">
        <v>165</v>
      </c>
      <c r="E12" s="43" t="s">
        <v>166</v>
      </c>
    </row>
    <row r="13" spans="2:5" ht="16" x14ac:dyDescent="0.75">
      <c r="B13" s="111"/>
      <c r="C13" s="111"/>
      <c r="D13" s="111"/>
      <c r="E13" s="43" t="s">
        <v>167</v>
      </c>
    </row>
    <row r="14" spans="2:5" ht="16.75" thickBot="1" x14ac:dyDescent="0.9">
      <c r="B14" s="112"/>
      <c r="C14" s="112"/>
      <c r="D14" s="112"/>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10" t="s">
        <v>188</v>
      </c>
      <c r="C22" s="113" t="s">
        <v>189</v>
      </c>
      <c r="D22" s="110" t="s">
        <v>190</v>
      </c>
      <c r="E22" s="43" t="s">
        <v>167</v>
      </c>
    </row>
    <row r="23" spans="2:5" x14ac:dyDescent="0.75">
      <c r="B23" s="111"/>
      <c r="C23" s="114"/>
      <c r="D23" s="111"/>
      <c r="E23" s="41"/>
    </row>
    <row r="24" spans="2:5" ht="16.75" thickBot="1" x14ac:dyDescent="0.9">
      <c r="B24" s="112"/>
      <c r="C24" s="115"/>
      <c r="D24" s="112"/>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2" t="s">
        <v>198</v>
      </c>
      <c r="C27" s="103"/>
      <c r="D27" s="103"/>
      <c r="E27" s="104"/>
    </row>
    <row r="28" spans="2:5" ht="16.75" thickBot="1" x14ac:dyDescent="0.9">
      <c r="B28" s="102" t="s">
        <v>199</v>
      </c>
      <c r="C28" s="103"/>
      <c r="D28" s="103"/>
      <c r="E28" s="104"/>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2" t="s">
        <v>206</v>
      </c>
      <c r="C31" s="103"/>
      <c r="D31" s="103"/>
      <c r="E31" s="104"/>
    </row>
    <row r="32" spans="2:5" ht="16.75" thickBot="1" x14ac:dyDescent="0.9">
      <c r="B32" s="36" t="s">
        <v>207</v>
      </c>
      <c r="C32" s="39" t="s">
        <v>208</v>
      </c>
      <c r="D32" s="37" t="s">
        <v>209</v>
      </c>
      <c r="E32" s="39" t="s">
        <v>113</v>
      </c>
    </row>
    <row r="33" spans="2:5" ht="16" x14ac:dyDescent="0.75">
      <c r="B33" s="110" t="s">
        <v>210</v>
      </c>
      <c r="C33" s="113" t="s">
        <v>211</v>
      </c>
      <c r="D33" s="110" t="s">
        <v>212</v>
      </c>
      <c r="E33" s="43" t="s">
        <v>130</v>
      </c>
    </row>
    <row r="34" spans="2:5" ht="16" x14ac:dyDescent="0.75">
      <c r="B34" s="111"/>
      <c r="C34" s="114"/>
      <c r="D34" s="111"/>
      <c r="E34" s="43" t="s">
        <v>213</v>
      </c>
    </row>
    <row r="35" spans="2:5" ht="16.75" thickBot="1" x14ac:dyDescent="0.9">
      <c r="B35" s="112"/>
      <c r="C35" s="115"/>
      <c r="D35" s="112"/>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10" t="s">
        <v>226</v>
      </c>
      <c r="C40" s="113" t="s">
        <v>227</v>
      </c>
      <c r="D40" s="110" t="s">
        <v>228</v>
      </c>
      <c r="E40" s="43" t="s">
        <v>167</v>
      </c>
    </row>
    <row r="41" spans="2:5" x14ac:dyDescent="0.75">
      <c r="B41" s="111"/>
      <c r="C41" s="114"/>
      <c r="D41" s="111"/>
      <c r="E41" s="41"/>
    </row>
    <row r="42" spans="2:5" ht="16.75" thickBot="1" x14ac:dyDescent="0.9">
      <c r="B42" s="112"/>
      <c r="C42" s="115"/>
      <c r="D42" s="112"/>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10" t="s">
        <v>238</v>
      </c>
      <c r="C46" s="113" t="s">
        <v>239</v>
      </c>
      <c r="D46" s="110" t="s">
        <v>240</v>
      </c>
      <c r="E46" s="43" t="s">
        <v>241</v>
      </c>
    </row>
    <row r="47" spans="2:5" x14ac:dyDescent="0.75">
      <c r="B47" s="111"/>
      <c r="C47" s="114"/>
      <c r="D47" s="111"/>
      <c r="E47" s="44"/>
    </row>
    <row r="48" spans="2:5" ht="16.75" thickBot="1" x14ac:dyDescent="0.9">
      <c r="B48" s="112"/>
      <c r="C48" s="115"/>
      <c r="D48" s="112"/>
      <c r="E48" s="39" t="s">
        <v>242</v>
      </c>
    </row>
    <row r="49" spans="2:5" ht="16" x14ac:dyDescent="0.75">
      <c r="B49" s="110" t="s">
        <v>243</v>
      </c>
      <c r="C49" s="113" t="s">
        <v>244</v>
      </c>
      <c r="D49" s="110" t="s">
        <v>245</v>
      </c>
      <c r="E49" s="43" t="s">
        <v>167</v>
      </c>
    </row>
    <row r="50" spans="2:5" x14ac:dyDescent="0.75">
      <c r="B50" s="111"/>
      <c r="C50" s="114"/>
      <c r="D50" s="111"/>
      <c r="E50" s="41"/>
    </row>
    <row r="51" spans="2:5" ht="48.75" thickBot="1" x14ac:dyDescent="0.9">
      <c r="B51" s="112"/>
      <c r="C51" s="115"/>
      <c r="D51" s="112"/>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846</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872</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823</v>
      </c>
      <c r="C16" s="9" t="s">
        <v>821</v>
      </c>
      <c r="D16" s="9" t="s">
        <v>822</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845</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827</v>
      </c>
      <c r="C21" s="9" t="s">
        <v>825</v>
      </c>
      <c r="D21" s="14" t="s">
        <v>826</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828</v>
      </c>
      <c r="D22" s="14" t="s">
        <v>824</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833</v>
      </c>
      <c r="C23" s="89" t="s">
        <v>829</v>
      </c>
      <c r="D23" s="90" t="s">
        <v>834</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836</v>
      </c>
      <c r="C24" s="91" t="s">
        <v>830</v>
      </c>
      <c r="D24" s="92" t="s">
        <v>835</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837</v>
      </c>
      <c r="C25" s="91" t="s">
        <v>831</v>
      </c>
      <c r="D25" s="92" t="s">
        <v>832</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838</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815</v>
      </c>
      <c r="D4" s="73" t="s">
        <v>645</v>
      </c>
      <c r="E4" s="84" t="s">
        <v>802</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761</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765</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762</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747</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839</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862</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888</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840</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843</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758</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763</v>
      </c>
      <c r="E37" s="14"/>
      <c r="F37" s="75" t="s">
        <v>619</v>
      </c>
      <c r="G37" s="14" t="s">
        <v>963</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ht="29.5"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ht="29.5"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ht="44.25"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ht="29.5"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ht="29.5"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ht="29.5"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ht="29.5"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ht="29.5"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ht="29.5"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INDEX('Report-ConceptMap-1'!$I$15:$N$271,Q152+1,R152)</f>
        <v>* group[=].element[=].target.comment = ##34#result.resolve().ofType(Observation)##34#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802</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764</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765</v>
      </c>
      <c r="E18" s="9"/>
      <c r="F18" s="75" t="s">
        <v>618</v>
      </c>
      <c r="G18" s="75"/>
      <c r="H18" s="76"/>
      <c r="I18" s="14" t="str">
        <f t="shared" si="8"/>
        <v>* group[=].element[+].code = #LabReport.header.informationRecipient</v>
      </c>
      <c r="J18" s="14" t="str">
        <f t="shared" si="9"/>
        <v>* group[=].element[=].display = ##34#A.1.4 Information recipient##34#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766</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767</v>
      </c>
      <c r="E20" s="9"/>
      <c r="F20" s="75" t="s">
        <v>618</v>
      </c>
      <c r="G20" s="82" t="s">
        <v>964</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767</v>
      </c>
      <c r="E21" s="9"/>
      <c r="F21" s="75" t="s">
        <v>618</v>
      </c>
      <c r="G21" s="82" t="s">
        <v>965</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839</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863</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888</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841</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840</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842</v>
      </c>
      <c r="E32" s="14"/>
      <c r="F32" s="75" t="s">
        <v>618</v>
      </c>
      <c r="G32" s="75" t="s">
        <v>844</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764</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768</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756</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group[=].element[=].target.code = #Composition.extension:information-recipient</v>
      </c>
    </row>
    <row r="36" spans="1:19" ht="73.75" x14ac:dyDescent="0.75">
      <c r="B36" s="9" t="s">
        <v>331</v>
      </c>
      <c r="C36" s="9" t="s">
        <v>169</v>
      </c>
      <c r="D36" s="14" t="s">
        <v>769</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group[=].element[=].target.display = ##34###34#</v>
      </c>
    </row>
    <row r="37" spans="1:19" ht="59" x14ac:dyDescent="0.75">
      <c r="B37" s="9" t="s">
        <v>332</v>
      </c>
      <c r="C37" s="9" t="s">
        <v>198</v>
      </c>
      <c r="D37" s="14" t="s">
        <v>757</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#equivalent</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ht="44.25"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ht="44.25"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ht="29.5"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ht="29.5"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ht="44.25"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ht="29.5"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ht="29.5"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ht="29.5"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abSelected="1"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group[=].element[=].target.code = #Composition.extension:information-recipient</v>
      </c>
    </row>
    <row r="196" spans="2:2" x14ac:dyDescent="0.75">
      <c r="B196" s="14" t="str">
        <f>IF('Report-ConceptMap-2'!S36=0,"//---END",'Report-ConceptMap-2'!S36)</f>
        <v>* group[=].element[=].target.display = ##34###34#</v>
      </c>
    </row>
    <row r="197" spans="2:2" x14ac:dyDescent="0.75">
      <c r="B197" s="14" t="str">
        <f>IF('Report-ConceptMap-2'!S37=0,"//---END",'Report-ConceptMap-2'!S37)</f>
        <v>* group[=].element[=].target.equivalence = #equivalent</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871</v>
      </c>
      <c r="I6" s="26" t="str">
        <f>CONCATENATE("Title: ##34#",B6,"##34#")</f>
        <v>Title: ##34#A1.1, A1.2 - Subject of care##34#</v>
      </c>
    </row>
    <row r="7" spans="1:11" ht="15.5" thickBot="1" x14ac:dyDescent="0.9">
      <c r="A7" s="20" t="s">
        <v>5</v>
      </c>
      <c r="B7" s="21" t="s">
        <v>873</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10" t="s">
        <v>57</v>
      </c>
      <c r="D28" s="110" t="s">
        <v>58</v>
      </c>
      <c r="E28" s="40" t="s">
        <v>59</v>
      </c>
      <c r="F28" s="113"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11"/>
      <c r="D29" s="111"/>
      <c r="E29" s="41"/>
      <c r="F29" s="114"/>
      <c r="I29" s="1" t="str">
        <f t="shared" si="2"/>
        <v xml:space="preserve"> - Preferred system(s): </v>
      </c>
    </row>
    <row r="30" spans="2:9" ht="30.25" customHeight="1" thickBot="1" x14ac:dyDescent="0.9">
      <c r="B30" t="str">
        <f t="shared" si="1"/>
        <v xml:space="preserve"> </v>
      </c>
      <c r="C30" s="112"/>
      <c r="D30" s="112"/>
      <c r="E30" s="37" t="s">
        <v>61</v>
      </c>
      <c r="F30" s="115"/>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2" t="s">
        <v>318</v>
      </c>
      <c r="D31" s="103"/>
      <c r="E31" s="103"/>
      <c r="F31" s="104"/>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644</v>
      </c>
      <c r="E3" s="122" t="s">
        <v>660</v>
      </c>
      <c r="F3" s="122"/>
      <c r="G3" s="122"/>
    </row>
    <row r="4" spans="1:19" x14ac:dyDescent="0.75">
      <c r="B4" s="73" t="s">
        <v>19</v>
      </c>
      <c r="C4" s="54" t="s">
        <v>816</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883</v>
      </c>
      <c r="I6" s="26" t="str">
        <f>CONCATENATE("Title: ##34#",B6,"##34#")</f>
        <v>Title: ##34#A.1.3 - Health insurance and payment information##34#</v>
      </c>
    </row>
    <row r="7" spans="1:11" ht="15.5" customHeight="1" thickBot="1" x14ac:dyDescent="0.9">
      <c r="A7" s="20" t="s">
        <v>5</v>
      </c>
      <c r="B7" s="21" t="s">
        <v>874</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2" t="s">
        <v>325</v>
      </c>
      <c r="D23" s="103"/>
      <c r="E23" s="103"/>
      <c r="F23" s="104"/>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865</v>
      </c>
      <c r="D4" s="73" t="s">
        <v>645</v>
      </c>
      <c r="E4" s="123" t="s">
        <v>802</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770</v>
      </c>
      <c r="I14" s="14"/>
      <c r="J14" s="9"/>
      <c r="K14" s="9"/>
      <c r="L14" s="9"/>
      <c r="M14" s="71"/>
      <c r="N14" s="74"/>
    </row>
    <row r="15" spans="1:19" ht="73.75" x14ac:dyDescent="0.75">
      <c r="A15" s="23"/>
      <c r="B15" s="9" t="str">
        <f>'A1.3 Payer'!B8</f>
        <v>insurance</v>
      </c>
      <c r="C15" s="9" t="str">
        <f>'A1.3 Payer'!C8</f>
        <v>A.1.3.1 Health insurance information</v>
      </c>
      <c r="D15" s="14" t="s">
        <v>340</v>
      </c>
      <c r="E15" s="62"/>
      <c r="F15" s="75" t="s">
        <v>619</v>
      </c>
      <c r="G15" s="9" t="s">
        <v>946</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947</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947</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947</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865</v>
      </c>
      <c r="D4" s="73" t="s">
        <v>645</v>
      </c>
      <c r="E4" s="123" t="s">
        <v>802</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948</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770</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771</v>
      </c>
      <c r="E16" s="9"/>
      <c r="F16" s="75" t="s">
        <v>618</v>
      </c>
      <c r="G16" s="9" t="s">
        <v>949</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772</v>
      </c>
      <c r="E17" s="9"/>
      <c r="F17" s="75" t="s">
        <v>618</v>
      </c>
      <c r="G17" s="9" t="s">
        <v>949</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773</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774</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775</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886</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864</v>
      </c>
      <c r="I6" s="26" t="str">
        <f>CONCATENATE("Title: ##34#",B6,"##34#")</f>
        <v>Title: ##34#A.1.4 - Information recipient##34#</v>
      </c>
    </row>
    <row r="7" spans="1:11" ht="59" x14ac:dyDescent="0.75">
      <c r="A7" s="46" t="s">
        <v>5</v>
      </c>
      <c r="B7" s="58" t="s">
        <v>875</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854</v>
      </c>
      <c r="D11" s="60" t="s">
        <v>855</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859</v>
      </c>
      <c r="C12" s="9" t="s">
        <v>856</v>
      </c>
      <c r="D12" s="14" t="s">
        <v>857</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858</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2" t="s">
        <v>326</v>
      </c>
      <c r="D26" s="103"/>
      <c r="E26" s="103"/>
      <c r="F26" s="104"/>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847</v>
      </c>
      <c r="D30" s="1" t="s">
        <v>64</v>
      </c>
      <c r="E30" s="1" t="s">
        <v>851</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848</v>
      </c>
      <c r="D31" t="s">
        <v>850</v>
      </c>
      <c r="E31" s="1" t="s">
        <v>852</v>
      </c>
      <c r="F31" t="s">
        <v>853</v>
      </c>
      <c r="H31" t="str">
        <f t="shared" ref="H31:H32" si="4">C31&amp;" "&amp;D31</f>
        <v>A.1.4.5 Country</v>
      </c>
      <c r="I31" s="1" t="str">
        <f t="shared" si="3"/>
        <v>Country of the recipient. - Preferred system(s): ISO 3166</v>
      </c>
    </row>
    <row r="32" spans="2:9" ht="192.5" thickBot="1" x14ac:dyDescent="0.9">
      <c r="C32" s="36" t="s">
        <v>849</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896</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897</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898</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899</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900</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866</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765</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776</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777</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778</v>
      </c>
      <c r="E17" s="9"/>
      <c r="F17" s="75" t="s">
        <v>618</v>
      </c>
      <c r="G17" s="82" t="s">
        <v>950</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779</v>
      </c>
      <c r="E18" s="9"/>
      <c r="F18" s="75" t="s">
        <v>618</v>
      </c>
      <c r="G18" s="82" t="s">
        <v>966</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935</v>
      </c>
      <c r="E19" s="9"/>
      <c r="F19" s="75" t="s">
        <v>618</v>
      </c>
      <c r="G19" s="82" t="s">
        <v>967</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951</v>
      </c>
      <c r="E20" s="9"/>
      <c r="F20" s="75" t="s">
        <v>618</v>
      </c>
      <c r="G20" s="82" t="s">
        <v>967</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936</v>
      </c>
      <c r="E21" s="9"/>
      <c r="F21" s="75" t="s">
        <v>618</v>
      </c>
      <c r="G21" s="82" t="s">
        <v>967</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860</v>
      </c>
      <c r="E22" s="9"/>
      <c r="F22" s="75" t="s">
        <v>619</v>
      </c>
      <c r="G22" s="82" t="s">
        <v>968</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952</v>
      </c>
      <c r="E23" s="9"/>
      <c r="F23" s="75" t="s">
        <v>619</v>
      </c>
      <c r="G23" s="82" t="s">
        <v>968</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861</v>
      </c>
      <c r="E24" s="9"/>
      <c r="F24" s="75" t="s">
        <v>619</v>
      </c>
      <c r="G24" s="82" t="s">
        <v>968</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882</v>
      </c>
      <c r="I6" s="26" t="str">
        <f>CONCATENATE("Title: ##34#",B6,"##34#")</f>
        <v>Title: ##34#A.1.5 - Author##34#</v>
      </c>
    </row>
    <row r="7" spans="1:11" ht="45" customHeight="1" x14ac:dyDescent="0.75">
      <c r="A7" s="46" t="s">
        <v>5</v>
      </c>
      <c r="B7" s="58" t="s">
        <v>876</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93</v>
      </c>
      <c r="D26" s="103"/>
      <c r="E26" s="103"/>
      <c r="F26" s="104"/>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901</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902</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903</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904</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810</v>
      </c>
      <c r="D3" s="73" t="s">
        <v>644</v>
      </c>
      <c r="E3" s="84" t="s">
        <v>689</v>
      </c>
    </row>
    <row r="4" spans="1:19" x14ac:dyDescent="0.75">
      <c r="B4" s="73" t="s">
        <v>19</v>
      </c>
      <c r="C4" s="54" t="s">
        <v>809</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786</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787</v>
      </c>
      <c r="E16" s="9"/>
      <c r="F16" s="75" t="s">
        <v>618</v>
      </c>
      <c r="G16" s="99" t="s">
        <v>939</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909</v>
      </c>
      <c r="E17" s="9"/>
      <c r="F17" s="75" t="s">
        <v>618</v>
      </c>
      <c r="G17" s="14" t="s">
        <v>940</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937</v>
      </c>
      <c r="E18" s="9"/>
      <c r="F18" s="75" t="s">
        <v>618</v>
      </c>
      <c r="G18" s="82" t="s">
        <v>962</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788</v>
      </c>
      <c r="E19" s="9"/>
      <c r="F19" s="75" t="s">
        <v>618</v>
      </c>
      <c r="G19" s="14" t="s">
        <v>941</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938</v>
      </c>
      <c r="E20" s="9"/>
      <c r="F20" s="75" t="s">
        <v>618</v>
      </c>
      <c r="G20" s="82" t="s">
        <v>962</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810</v>
      </c>
      <c r="D3" s="73" t="s">
        <v>644</v>
      </c>
      <c r="E3" s="84" t="s">
        <v>689</v>
      </c>
    </row>
    <row r="4" spans="1:19" x14ac:dyDescent="0.75">
      <c r="B4" s="73" t="s">
        <v>19</v>
      </c>
      <c r="C4" s="54" t="s">
        <v>809</v>
      </c>
      <c r="D4" s="73" t="s">
        <v>645</v>
      </c>
      <c r="E4" s="123" t="s">
        <v>802</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780</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783</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781</v>
      </c>
      <c r="E17" s="9"/>
      <c r="F17" s="75" t="s">
        <v>619</v>
      </c>
      <c r="G17" s="82" t="s">
        <v>942</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961</v>
      </c>
      <c r="E18" s="9"/>
      <c r="F18" s="75" t="s">
        <v>619</v>
      </c>
      <c r="G18" s="82" t="s">
        <v>943</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784</v>
      </c>
      <c r="E19" s="9"/>
      <c r="F19" s="75" t="s">
        <v>619</v>
      </c>
      <c r="G19" s="82" t="s">
        <v>944</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906</v>
      </c>
      <c r="E20" s="9"/>
      <c r="F20" s="75" t="s">
        <v>619</v>
      </c>
      <c r="G20" s="82" t="s">
        <v>945</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782</v>
      </c>
      <c r="E21" s="9"/>
      <c r="F21" s="75" t="s">
        <v>619</v>
      </c>
      <c r="G21" s="82" t="s">
        <v>943</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785</v>
      </c>
      <c r="E22" s="9"/>
      <c r="F22" s="75" t="s">
        <v>619</v>
      </c>
      <c r="G22" s="82" t="s">
        <v>945</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747</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783</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784</v>
      </c>
      <c r="E17" s="9"/>
      <c r="F17" s="75" t="s">
        <v>619</v>
      </c>
      <c r="G17" s="75" t="s">
        <v>905</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906</v>
      </c>
      <c r="E18" s="9"/>
      <c r="F18" s="75" t="s">
        <v>619</v>
      </c>
      <c r="G18" s="75" t="s">
        <v>907</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785</v>
      </c>
      <c r="E19" s="9"/>
      <c r="F19" s="75" t="s">
        <v>619</v>
      </c>
      <c r="G19" s="75" t="s">
        <v>908</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884</v>
      </c>
      <c r="I6" s="26" t="str">
        <f>CONCATENATE("Title: ##34#",B6,"##34#")</f>
        <v>Title: ##34#A.1.6 - Legal authenticator##34#</v>
      </c>
    </row>
    <row r="7" spans="1:11" ht="44.25" x14ac:dyDescent="0.75">
      <c r="A7" s="46" t="s">
        <v>5</v>
      </c>
      <c r="B7" s="58" t="s">
        <v>877</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102</v>
      </c>
      <c r="D26" s="103"/>
      <c r="E26" s="103"/>
      <c r="F26" s="104"/>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910</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911</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912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913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901</v>
      </c>
    </row>
    <row r="31" spans="1:15" x14ac:dyDescent="0.75">
      <c r="C31" s="9" t="s">
        <v>902</v>
      </c>
      <c r="E31" s="22"/>
    </row>
    <row r="32" spans="1:15" x14ac:dyDescent="0.75">
      <c r="C32" s="9" t="s">
        <v>903</v>
      </c>
    </row>
    <row r="33" spans="3:3" x14ac:dyDescent="0.75">
      <c r="C33" s="9" t="s">
        <v>904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867</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789</v>
      </c>
      <c r="E15" s="9"/>
      <c r="F15" s="75" t="s">
        <v>618</v>
      </c>
      <c r="G15" t="s">
        <v>790</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791</v>
      </c>
      <c r="E16" s="9"/>
      <c r="F16" s="75" t="s">
        <v>618</v>
      </c>
      <c r="G16" s="14" t="s">
        <v>914</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915</v>
      </c>
      <c r="E17" s="9"/>
      <c r="F17" s="75" t="s">
        <v>618</v>
      </c>
      <c r="G17" s="14" t="s">
        <v>916</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792</v>
      </c>
      <c r="E18" s="9"/>
      <c r="F18" s="75" t="s">
        <v>618</v>
      </c>
      <c r="G18" s="14" t="s">
        <v>917</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793</v>
      </c>
      <c r="E19" s="9"/>
      <c r="F19" s="75" t="s">
        <v>618</v>
      </c>
      <c r="G19" s="14" t="s">
        <v>794</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885</v>
      </c>
      <c r="I6" s="26" t="str">
        <f>CONCATENATE("Title: ##34#",B6,"##34#")</f>
        <v>Title: ##34#A.1.7 - Result validator##34#</v>
      </c>
    </row>
    <row r="7" spans="1:11" x14ac:dyDescent="0.75">
      <c r="A7" s="46" t="s">
        <v>5</v>
      </c>
      <c r="B7" s="58" t="s">
        <v>878</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114</v>
      </c>
      <c r="D26" s="103"/>
      <c r="E26" s="103"/>
      <c r="F26" s="104"/>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910</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911</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912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913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868</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789</v>
      </c>
      <c r="E15" s="14"/>
      <c r="F15" s="75" t="s">
        <v>618</v>
      </c>
      <c r="G15" t="s">
        <v>795</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791</v>
      </c>
      <c r="E16" s="14"/>
      <c r="F16" s="75" t="s">
        <v>618</v>
      </c>
      <c r="G16" s="14" t="s">
        <v>918</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915</v>
      </c>
      <c r="E17" s="14"/>
      <c r="F17" s="75" t="s">
        <v>618</v>
      </c>
      <c r="G17" s="14" t="s">
        <v>919</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792</v>
      </c>
      <c r="E18" s="14"/>
      <c r="F18" s="75" t="s">
        <v>618</v>
      </c>
      <c r="G18" s="14" t="s">
        <v>920</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793</v>
      </c>
      <c r="E19" s="9"/>
      <c r="F19" s="75" t="s">
        <v>618</v>
      </c>
      <c r="G19" s="14" t="s">
        <v>796</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879</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10" t="s">
        <v>163</v>
      </c>
      <c r="D34" s="110" t="s">
        <v>164</v>
      </c>
      <c r="E34" s="110"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11"/>
      <c r="D35" s="111"/>
      <c r="E35" s="111"/>
      <c r="F35" s="43" t="s">
        <v>167</v>
      </c>
      <c r="I35" s="1" t="str">
        <f t="shared" si="2"/>
        <v xml:space="preserve"> - Preferred system(s): SNOMED CT</v>
      </c>
    </row>
    <row r="36" spans="2:9" ht="32.75" thickBot="1" x14ac:dyDescent="0.9">
      <c r="C36" s="112"/>
      <c r="D36" s="112"/>
      <c r="E36" s="112"/>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921</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922</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923</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924</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925</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926</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869</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797</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798</v>
      </c>
      <c r="E20" s="9"/>
      <c r="F20" s="75" t="s">
        <v>619</v>
      </c>
      <c r="G20" s="14" t="s">
        <v>927</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928</v>
      </c>
      <c r="E21" s="9"/>
      <c r="F21" s="75" t="s">
        <v>619</v>
      </c>
      <c r="G21" s="14" t="s">
        <v>929</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799</v>
      </c>
      <c r="E22" s="9"/>
      <c r="F22" s="75" t="s">
        <v>619</v>
      </c>
      <c r="G22" s="14" t="s">
        <v>930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800</v>
      </c>
      <c r="E23" s="9"/>
      <c r="F23" s="75" t="s">
        <v>619</v>
      </c>
      <c r="G23" s="14" t="s">
        <v>931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799</v>
      </c>
      <c r="E24" s="9"/>
      <c r="F24" s="75" t="s">
        <v>619</v>
      </c>
      <c r="G24" s="14" t="s">
        <v>932</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801</v>
      </c>
      <c r="E25" s="9"/>
      <c r="F25" s="75" t="s">
        <v>618</v>
      </c>
      <c r="G25" s="14" t="s">
        <v>933</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819</v>
      </c>
      <c r="I6" s="26" t="str">
        <f>CONCATENATE("Title: ##34#",B6,"##34#")</f>
        <v>Title: ##34#A.4 - Specimen information##34#</v>
      </c>
    </row>
    <row r="7" spans="1:11" x14ac:dyDescent="0.75">
      <c r="A7" s="46" t="s">
        <v>5</v>
      </c>
      <c r="B7" s="19" t="s">
        <v>880</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10" t="s">
        <v>188</v>
      </c>
      <c r="D33" s="113" t="s">
        <v>189</v>
      </c>
      <c r="E33" s="110"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11"/>
      <c r="D34" s="114"/>
      <c r="E34" s="111"/>
      <c r="F34" s="41"/>
      <c r="I34" s="1" t="str">
        <f t="shared" si="2"/>
        <v xml:space="preserve"> - Preferred system(s): </v>
      </c>
    </row>
    <row r="35" spans="2:9" ht="16.75" thickBot="1" x14ac:dyDescent="0.9">
      <c r="B35" t="str">
        <f t="shared" si="1"/>
        <v xml:space="preserve"> </v>
      </c>
      <c r="C35" s="112"/>
      <c r="D35" s="115"/>
      <c r="E35" s="112"/>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870</v>
      </c>
      <c r="D4" s="73" t="s">
        <v>645</v>
      </c>
      <c r="E4" s="123" t="s">
        <v>895</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895</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820</v>
      </c>
      <c r="E16" s="9"/>
      <c r="F16" s="75" t="s">
        <v>619</v>
      </c>
      <c r="G16" s="75" t="s">
        <v>887</v>
      </c>
      <c r="H16" s="76"/>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954</v>
      </c>
      <c r="E20" s="9"/>
      <c r="F20" s="75" t="s">
        <v>619</v>
      </c>
      <c r="G20" s="75" t="s">
        <v>953</v>
      </c>
      <c r="H20" s="76"/>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954</v>
      </c>
      <c r="E21" s="14"/>
      <c r="F21" s="75" t="s">
        <v>619</v>
      </c>
      <c r="G21" s="75" t="s">
        <v>953</v>
      </c>
      <c r="H21" s="76"/>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960</v>
      </c>
      <c r="H22" s="76"/>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728</v>
      </c>
      <c r="E23" s="9"/>
      <c r="F23" s="75" t="s">
        <v>618</v>
      </c>
      <c r="G23" s="75"/>
      <c r="H23" s="76"/>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729</v>
      </c>
      <c r="E24" s="9"/>
      <c r="F24" s="75" t="s">
        <v>618</v>
      </c>
      <c r="G24" s="75"/>
      <c r="H24" s="76"/>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5"/>
      <c r="G31" s="75"/>
      <c r="H31" s="76"/>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5"/>
      <c r="G35" s="75"/>
      <c r="H35" s="76"/>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8"/>
        <v>3</v>
      </c>
      <c r="R38" s="9">
        <f t="shared" si="9"/>
        <v>6</v>
      </c>
      <c r="S38" s="14" t="str" cm="1">
        <f t="array" ref="S38">INDEX('Specimen-ConceptMap-1'!$I$15:$N$124,Q38+1,R38)</f>
        <v/>
      </c>
    </row>
    <row r="39" spans="1:19" x14ac:dyDescent="0.75">
      <c r="B39" s="9"/>
      <c r="C39" s="9"/>
      <c r="D39" s="14"/>
      <c r="E39" s="14"/>
      <c r="F39" s="75"/>
      <c r="G39" s="75"/>
      <c r="H39" s="76"/>
      <c r="K39" s="76"/>
      <c r="L39" s="76"/>
      <c r="M39" s="74"/>
      <c r="N39" s="74"/>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6"/>
      <c r="G43" s="76"/>
      <c r="H43" s="76"/>
      <c r="J43" s="76"/>
      <c r="K43" s="76"/>
      <c r="L43" s="76"/>
      <c r="M43" s="74"/>
      <c r="N43" s="74"/>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870</v>
      </c>
      <c r="D4" s="73" t="s">
        <v>645</v>
      </c>
      <c r="E4" s="123" t="s">
        <v>895</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955</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956</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957</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958</v>
      </c>
      <c r="E16" s="9"/>
      <c r="F16" s="75" t="s">
        <v>618</v>
      </c>
      <c r="G16" s="75" t="s">
        <v>959</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5"/>
      <c r="G27" s="75"/>
      <c r="H27" s="76"/>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5"/>
      <c r="G28" s="75"/>
      <c r="H28" s="76"/>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5"/>
      <c r="G29" s="75"/>
      <c r="H29" s="76"/>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5"/>
      <c r="G30" s="75"/>
      <c r="H30" s="76"/>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5"/>
      <c r="G31" s="75"/>
      <c r="H31" s="76"/>
      <c r="K31" s="76"/>
      <c r="L31" s="76"/>
      <c r="M31" s="74"/>
      <c r="N31" s="74"/>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5"/>
      <c r="G32" s="75"/>
      <c r="H32" s="76"/>
      <c r="K32" s="76"/>
      <c r="L32" s="76"/>
      <c r="M32" s="74"/>
      <c r="N32" s="74"/>
      <c r="P32" s="9">
        <v>18</v>
      </c>
      <c r="Q32" s="9">
        <f t="shared" si="8"/>
        <v>2</v>
      </c>
      <c r="R32" s="9">
        <f t="shared" si="9"/>
        <v>6</v>
      </c>
      <c r="S32" s="14" t="str" cm="1">
        <f t="array" ref="S32">INDEX('Specimen-ConceptMap-2'!$I$15:$N$116,Q32+1,R32)</f>
        <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INDEX('Specimen-ConceptMap-2'!$I$15:$N$116,Q33+1,R33)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INDEX('Specimen-ConceptMap-2'!$I$15:$N$116,Q34+1,R34)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INDEX('Specimen-ConceptMap-2'!$I$15:$N$116,Q35+1,R35)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INDEX('Specimen-ConceptMap-2'!$I$15:$N$116,Q36+1,R36)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100"/>
    </row>
    <row r="87" spans="2:2" x14ac:dyDescent="0.75">
      <c r="B87" s="101" t="str">
        <f>"* group[+].source = ##34#"&amp;'Specimen-ConceptMap-2'!E6&amp;"##34#"</f>
        <v>* group[+].source = ##34#http://hl7.eu/fhir/laboratory/StructureDefinition/SpecimenLab##34#</v>
      </c>
    </row>
    <row r="88" spans="2:2" x14ac:dyDescent="0.75">
      <c r="B88" s="101" t="str">
        <f>"* group[=].target = ##34#"&amp;'Specimen-ConceptMap-2'!E7&amp;"##34#"</f>
        <v>* group[=].target = ##34#http://hl7.eu/fhir/laboratory/StructureDefinition/bodyStructure-eu-lab##34#</v>
      </c>
    </row>
    <row r="89" spans="2:2" x14ac:dyDescent="0.75">
      <c r="B89" s="100"/>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818</v>
      </c>
      <c r="I6" s="26" t="str">
        <f>CONCATENATE("Title: ##34#",B6,"##34#")</f>
        <v>Title: ##34#A.5 - Results data elements##34#</v>
      </c>
    </row>
    <row r="7" spans="1:11" x14ac:dyDescent="0.75">
      <c r="A7" s="46" t="s">
        <v>5</v>
      </c>
      <c r="B7" s="14" t="s">
        <v>881</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2" t="s">
        <v>198</v>
      </c>
      <c r="D36" s="103"/>
      <c r="E36" s="103"/>
      <c r="F36" s="104"/>
    </row>
    <row r="37" spans="2:9" ht="16.75" thickBot="1" x14ac:dyDescent="0.9">
      <c r="B37" t="str">
        <f t="shared" si="1"/>
        <v xml:space="preserve">A.5.1 Laboratory report narrative  </v>
      </c>
      <c r="C37" s="102" t="s">
        <v>535</v>
      </c>
      <c r="D37" s="103"/>
      <c r="E37" s="103"/>
      <c r="F37" s="104"/>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2" t="s">
        <v>537</v>
      </c>
      <c r="D40" s="103"/>
      <c r="E40" s="103"/>
      <c r="F40" s="104"/>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10" t="s">
        <v>210</v>
      </c>
      <c r="D42" s="113" t="s">
        <v>211</v>
      </c>
      <c r="E42" s="110" t="s">
        <v>212</v>
      </c>
      <c r="F42" s="43" t="s">
        <v>130</v>
      </c>
      <c r="I42" s="1" t="str">
        <f t="shared" si="2"/>
        <v>Code representing the observation using the agreed code systems. - Preferred system(s): LOINC</v>
      </c>
    </row>
    <row r="43" spans="2:9" ht="16" x14ac:dyDescent="0.75">
      <c r="B43" t="str">
        <f t="shared" si="1"/>
        <v xml:space="preserve"> </v>
      </c>
      <c r="C43" s="111"/>
      <c r="D43" s="114"/>
      <c r="E43" s="111"/>
      <c r="F43" s="43" t="s">
        <v>213</v>
      </c>
      <c r="I43" s="1" t="str">
        <f t="shared" si="2"/>
        <v xml:space="preserve"> - Preferred system(s): NPU</v>
      </c>
    </row>
    <row r="44" spans="2:9" ht="32.75" thickBot="1" x14ac:dyDescent="0.9">
      <c r="B44" t="str">
        <f t="shared" si="1"/>
        <v xml:space="preserve"> </v>
      </c>
      <c r="C44" s="112"/>
      <c r="D44" s="115"/>
      <c r="E44" s="112"/>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10" t="s">
        <v>226</v>
      </c>
      <c r="D49" s="113" t="s">
        <v>227</v>
      </c>
      <c r="E49" s="110"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11"/>
      <c r="D50" s="114"/>
      <c r="E50" s="111"/>
      <c r="F50" s="41"/>
      <c r="I50" s="1" t="str">
        <f t="shared" si="2"/>
        <v xml:space="preserve"> - Preferred system(s): </v>
      </c>
    </row>
    <row r="51" spans="2:9" ht="16.75" thickBot="1" x14ac:dyDescent="0.9">
      <c r="B51" t="str">
        <f t="shared" si="1"/>
        <v xml:space="preserve"> </v>
      </c>
      <c r="C51" s="112"/>
      <c r="D51" s="115"/>
      <c r="E51" s="112"/>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10" t="s">
        <v>238</v>
      </c>
      <c r="D55" s="113" t="s">
        <v>239</v>
      </c>
      <c r="E55" s="110"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11"/>
      <c r="D56" s="114"/>
      <c r="E56" s="111"/>
      <c r="F56" s="44"/>
      <c r="I56" s="1" t="str">
        <f t="shared" si="2"/>
        <v xml:space="preserve"> - Preferred system(s): </v>
      </c>
    </row>
    <row r="57" spans="2:9" ht="48.75" thickBot="1" x14ac:dyDescent="0.9">
      <c r="B57" t="str">
        <f t="shared" si="1"/>
        <v xml:space="preserve"> </v>
      </c>
      <c r="C57" s="112"/>
      <c r="D57" s="115"/>
      <c r="E57" s="112"/>
      <c r="F57" s="39" t="s">
        <v>242</v>
      </c>
      <c r="I57" s="1" t="str">
        <f t="shared" si="2"/>
        <v xml:space="preserve"> - Preferred system(s): UCUM (for units)</v>
      </c>
    </row>
    <row r="58" spans="2:9" ht="32" x14ac:dyDescent="0.75">
      <c r="B58" t="str">
        <f t="shared" si="1"/>
        <v>A.5.2.12 Observation interpretation</v>
      </c>
      <c r="C58" s="110" t="s">
        <v>243</v>
      </c>
      <c r="D58" s="113" t="s">
        <v>244</v>
      </c>
      <c r="E58" s="110" t="s">
        <v>245</v>
      </c>
      <c r="F58" s="43" t="s">
        <v>167</v>
      </c>
      <c r="I58" s="1" t="str">
        <f t="shared" si="2"/>
        <v>Information about reference intervals and result interpretation. - Preferred system(s): SNOMED CT</v>
      </c>
    </row>
    <row r="59" spans="2:9" x14ac:dyDescent="0.75">
      <c r="B59" t="str">
        <f t="shared" si="1"/>
        <v xml:space="preserve"> </v>
      </c>
      <c r="C59" s="111"/>
      <c r="D59" s="114"/>
      <c r="E59" s="111"/>
      <c r="F59" s="41"/>
      <c r="I59" s="1" t="str">
        <f t="shared" si="2"/>
        <v xml:space="preserve"> - Preferred system(s): </v>
      </c>
    </row>
    <row r="60" spans="2:9" ht="112.75" thickBot="1" x14ac:dyDescent="0.9">
      <c r="B60" t="str">
        <f t="shared" si="1"/>
        <v xml:space="preserve"> </v>
      </c>
      <c r="C60" s="112"/>
      <c r="D60" s="115"/>
      <c r="E60" s="112"/>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tr">
        <f>"http://hl7.eu/fhir/laboratory/StructureDefinition/"&amp;'A.5 Results'!B5</f>
        <v>http://hl7.eu/fhir/laboratory/StructureDefinition/Result</v>
      </c>
    </row>
    <row r="4" spans="1:19" x14ac:dyDescent="0.75">
      <c r="B4" s="73" t="s">
        <v>19</v>
      </c>
      <c r="C4" s="54" t="s">
        <v>814</v>
      </c>
      <c r="D4" s="73" t="s">
        <v>645</v>
      </c>
      <c r="E4" s="123" t="s">
        <v>802</v>
      </c>
      <c r="F4" s="122"/>
      <c r="G4" s="122"/>
    </row>
    <row r="5" spans="1:19" x14ac:dyDescent="0.75">
      <c r="B5" s="73" t="s">
        <v>13</v>
      </c>
      <c r="C5" s="10" t="s">
        <v>731</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732</v>
      </c>
      <c r="D8" s="73"/>
      <c r="E8" s="10"/>
      <c r="I8" s="14" t="s">
        <v>607</v>
      </c>
      <c r="J8" s="14" t="s">
        <v>608</v>
      </c>
      <c r="K8" s="14" t="s">
        <v>609</v>
      </c>
      <c r="L8" s="14" t="s">
        <v>610</v>
      </c>
      <c r="M8" s="9" t="s">
        <v>611</v>
      </c>
      <c r="P8" s="69" t="s">
        <v>612</v>
      </c>
      <c r="Q8" s="69">
        <v>6</v>
      </c>
    </row>
    <row r="9" spans="1:19" ht="29.5" x14ac:dyDescent="0.75">
      <c r="B9" s="73" t="s">
        <v>636</v>
      </c>
      <c r="C9" s="14" t="s">
        <v>733</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734</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735</v>
      </c>
      <c r="E17" s="9"/>
      <c r="F17" s="75" t="s">
        <v>619</v>
      </c>
      <c r="G17" s="75" t="s">
        <v>739</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736</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736</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736</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736</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736</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736</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736</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736</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736</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736</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736</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736</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736</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736</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736</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734</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740</v>
      </c>
      <c r="E17" s="9"/>
      <c r="F17" s="75" t="s">
        <v>619</v>
      </c>
      <c r="G17" s="75" t="s">
        <v>737</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741</v>
      </c>
      <c r="E18" s="9"/>
      <c r="F18" s="75" t="s">
        <v>619</v>
      </c>
      <c r="G18" s="75" t="s">
        <v>738</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740</v>
      </c>
      <c r="E19" s="9"/>
      <c r="F19" s="75" t="s">
        <v>619</v>
      </c>
      <c r="G19" s="75" t="s">
        <v>737</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741</v>
      </c>
      <c r="E20" s="9"/>
      <c r="F20" s="75" t="s">
        <v>619</v>
      </c>
      <c r="G20" s="75" t="s">
        <v>738</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756</v>
      </c>
      <c r="E21" s="9"/>
      <c r="F21" s="75" t="s">
        <v>619</v>
      </c>
      <c r="G21" s="75" t="s">
        <v>737</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757</v>
      </c>
      <c r="E22" s="9"/>
      <c r="F22" s="75" t="s">
        <v>619</v>
      </c>
      <c r="G22" s="75" t="s">
        <v>738</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756</v>
      </c>
      <c r="E23" s="9"/>
      <c r="F23" s="75" t="s">
        <v>619</v>
      </c>
      <c r="G23" s="75" t="s">
        <v>736</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756</v>
      </c>
      <c r="E24" s="9"/>
      <c r="F24" s="75" t="s">
        <v>619</v>
      </c>
      <c r="G24" s="75" t="s">
        <v>736</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756</v>
      </c>
      <c r="E25" s="9"/>
      <c r="F25" s="75" t="s">
        <v>619</v>
      </c>
      <c r="G25" s="75" t="s">
        <v>736</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756</v>
      </c>
      <c r="E26" s="9"/>
      <c r="F26" s="75" t="s">
        <v>619</v>
      </c>
      <c r="G26" s="75" t="s">
        <v>736</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756</v>
      </c>
      <c r="E27" s="9"/>
      <c r="F27" s="75" t="s">
        <v>619</v>
      </c>
      <c r="G27" s="75" t="s">
        <v>736</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756</v>
      </c>
      <c r="E28" s="9"/>
      <c r="F28" s="75" t="s">
        <v>619</v>
      </c>
      <c r="G28" s="75" t="s">
        <v>736</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756</v>
      </c>
      <c r="E29" s="14"/>
      <c r="F29" s="75" t="s">
        <v>619</v>
      </c>
      <c r="G29" s="75" t="s">
        <v>736</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756</v>
      </c>
      <c r="E30" s="14"/>
      <c r="F30" s="75" t="s">
        <v>619</v>
      </c>
      <c r="G30" s="75" t="s">
        <v>736</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756</v>
      </c>
      <c r="E31" s="14"/>
      <c r="F31" s="75" t="s">
        <v>619</v>
      </c>
      <c r="G31" s="75" t="s">
        <v>736</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756</v>
      </c>
      <c r="E32" s="14"/>
      <c r="F32" s="75" t="s">
        <v>619</v>
      </c>
      <c r="G32" s="75" t="s">
        <v>736</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756</v>
      </c>
      <c r="E33" s="14"/>
      <c r="F33" s="75" t="s">
        <v>619</v>
      </c>
      <c r="G33" s="75" t="s">
        <v>736</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756</v>
      </c>
      <c r="E34" s="14"/>
      <c r="F34" s="75" t="s">
        <v>619</v>
      </c>
      <c r="G34" s="75" t="s">
        <v>736</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756</v>
      </c>
      <c r="E35" s="14"/>
      <c r="F35" s="75" t="s">
        <v>619</v>
      </c>
      <c r="G35" s="75" t="s">
        <v>736</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756</v>
      </c>
      <c r="E36" s="14"/>
      <c r="F36" s="75" t="s">
        <v>619</v>
      </c>
      <c r="G36" s="75" t="s">
        <v>736</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742</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743</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744</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753</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804</v>
      </c>
      <c r="E21" s="9"/>
      <c r="F21" s="75" t="s">
        <v>619</v>
      </c>
      <c r="G21" s="75" t="s">
        <v>753</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803</v>
      </c>
      <c r="E22" s="9"/>
      <c r="F22" s="75" t="s">
        <v>619</v>
      </c>
      <c r="G22" s="75" t="s">
        <v>753</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750</v>
      </c>
      <c r="E23" s="9"/>
      <c r="F23" s="75" t="s">
        <v>618</v>
      </c>
      <c r="G23" s="82" t="s">
        <v>806</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749</v>
      </c>
      <c r="E24" s="9"/>
      <c r="F24" s="75" t="s">
        <v>618</v>
      </c>
      <c r="G24" s="82" t="s">
        <v>806</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750</v>
      </c>
      <c r="E25" s="9"/>
      <c r="F25" s="75" t="s">
        <v>618</v>
      </c>
      <c r="G25" s="82" t="s">
        <v>807</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805</v>
      </c>
      <c r="E26" s="9"/>
      <c r="F26" s="75" t="s">
        <v>618</v>
      </c>
      <c r="G26" s="82" t="s">
        <v>808</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745</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746</v>
      </c>
      <c r="E28" s="14"/>
      <c r="F28" s="75" t="s">
        <v>619</v>
      </c>
      <c r="G28" s="82" t="s">
        <v>892</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889</v>
      </c>
      <c r="E29" s="14"/>
      <c r="F29" s="75" t="s">
        <v>619</v>
      </c>
      <c r="G29" s="82" t="s">
        <v>893</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746</v>
      </c>
      <c r="E30" s="14"/>
      <c r="F30" s="75" t="s">
        <v>619</v>
      </c>
      <c r="G30" s="96" t="s">
        <v>890</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891</v>
      </c>
      <c r="E31" s="14"/>
      <c r="F31" s="75" t="s">
        <v>619</v>
      </c>
      <c r="G31" s="96" t="s">
        <v>894</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758</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747</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747</v>
      </c>
      <c r="E34" s="14"/>
      <c r="F34" s="75" t="s">
        <v>619</v>
      </c>
      <c r="G34" s="82" t="s">
        <v>811</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751</v>
      </c>
      <c r="E35" s="14"/>
      <c r="F35" s="75" t="s">
        <v>618</v>
      </c>
      <c r="G35" s="75" t="s">
        <v>753</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752</v>
      </c>
      <c r="E36" s="14"/>
      <c r="F36" s="75" t="s">
        <v>618</v>
      </c>
      <c r="G36" s="75" t="s">
        <v>753</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748</v>
      </c>
      <c r="E37" s="14"/>
      <c r="F37" s="75" t="s">
        <v>618</v>
      </c>
      <c r="G37" s="83" t="s">
        <v>753</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754</v>
      </c>
      <c r="E38" s="14"/>
      <c r="F38" s="75" t="s">
        <v>618</v>
      </c>
      <c r="G38" s="83" t="s">
        <v>753</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734</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759</v>
      </c>
      <c r="E40" s="14"/>
      <c r="F40" s="75" t="s">
        <v>619</v>
      </c>
      <c r="G40" s="83" t="s">
        <v>934</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760</v>
      </c>
      <c r="E41" s="14"/>
      <c r="F41" s="75" t="s">
        <v>619</v>
      </c>
      <c r="G41" s="83" t="s">
        <v>812</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755</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2023-12-03T07:18:42Z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