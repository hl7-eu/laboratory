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426C98FE-5BF2-49E7-8415-2D8DC6B4F9F9}" xr6:coauthVersionLast="47" xr6:coauthVersionMax="47" xr10:uidLastSave="{00000000-0000-0000-0000-000000000000}"/>
  <bookViews>
    <workbookView xWindow="-90" yWindow="-21710" windowWidth="38620" windowHeight="21100" firstSheet="16" activeTab="25"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M-fsh" sheetId="165" r:id="rId53"/>
    <sheet name="A.5 Results" sheetId="134" r:id="rId54"/>
    <sheet name="Results-Map-1" sheetId="135" r:id="rId55"/>
    <sheet name="Results-fsh" sheetId="136" r:id="rId56"/>
    <sheet name="Results-ConceptMap-1" sheetId="168" r:id="rId57"/>
    <sheet name="Results-ConceptMap-2" sheetId="169" r:id="rId58"/>
    <sheet name="Results-ConceptMap-3" sheetId="170" r:id="rId59"/>
    <sheet name="Results-CM-fsh" sheetId="171" r:id="rId60"/>
  </sheets>
  <externalReferences>
    <externalReference r:id="rId61"/>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47" l="1"/>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68" i="146" l="1"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5" i="172" a="1"/>
  <c r="S15" i="172" s="1"/>
  <c r="I15" i="172"/>
  <c r="I16" i="172"/>
  <c r="S80" i="140" a="1"/>
  <c r="S80" i="140" s="1"/>
  <c r="B230" i="138"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<sst xmlns="http://schemas.openxmlformats.org/spreadsheetml/2006/main" count="2544" uniqueCount="966">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</sst>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49" fontId="3" fillId="0" borderId="1" xfId="0" applyNumberFormat="1" applyFont="1" applyBorder="1" applyAlignment="1">
      <alignment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4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B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9" t="s">
        <v>39</v>
      </c>
      <c r="C3" s="100"/>
      <c r="D3" s="35" t="s">
        <v>40</v>
      </c>
      <c r="E3" s="35" t="s">
        <v>41</v>
      </c>
    </row>
    <row r="4" spans="2:5" ht="16.75" thickBot="1" x14ac:dyDescent="0.9">
      <c r="B4" s="101" t="s">
        <v>42</v>
      </c>
      <c r="C4" s="102"/>
      <c r="D4" s="102"/>
      <c r="E4" s="103"/>
    </row>
    <row r="5" spans="2:5" ht="16.75" thickBot="1" x14ac:dyDescent="0.9">
      <c r="B5" s="101" t="s">
        <v>43</v>
      </c>
      <c r="C5" s="102"/>
      <c r="D5" s="102"/>
      <c r="E5" s="103"/>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4" t="s">
        <v>57</v>
      </c>
      <c r="C10" s="104" t="s">
        <v>58</v>
      </c>
      <c r="D10" s="40" t="s">
        <v>59</v>
      </c>
      <c r="E10" s="107" t="s">
        <v>60</v>
      </c>
    </row>
    <row r="11" spans="2:5" x14ac:dyDescent="0.75">
      <c r="B11" s="105"/>
      <c r="C11" s="105"/>
      <c r="D11" s="41"/>
      <c r="E11" s="108"/>
    </row>
    <row r="12" spans="2:5" ht="32.75" thickBot="1" x14ac:dyDescent="0.9">
      <c r="B12" s="106"/>
      <c r="C12" s="106"/>
      <c r="D12" s="37" t="s">
        <v>61</v>
      </c>
      <c r="E12" s="109"/>
    </row>
    <row r="13" spans="2:5" ht="16.75" thickBot="1" x14ac:dyDescent="0.9">
      <c r="B13" s="110" t="s">
        <v>62</v>
      </c>
      <c r="C13" s="111"/>
      <c r="D13" s="111"/>
      <c r="E13" s="112"/>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0" t="s">
        <v>70</v>
      </c>
      <c r="C16" s="111"/>
      <c r="D16" s="111"/>
      <c r="E16" s="112"/>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0" t="s">
        <v>83</v>
      </c>
      <c r="C21" s="111"/>
      <c r="D21" s="111"/>
      <c r="E21" s="112"/>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0" t="s">
        <v>93</v>
      </c>
      <c r="C25" s="111"/>
      <c r="D25" s="111"/>
      <c r="E25" s="112"/>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0" t="s">
        <v>102</v>
      </c>
      <c r="C29" s="111"/>
      <c r="D29" s="111"/>
      <c r="E29" s="112"/>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0" t="s">
        <v>114</v>
      </c>
      <c r="C34" s="111"/>
      <c r="D34" s="111"/>
      <c r="E34" s="112"/>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0" t="s">
        <v>126</v>
      </c>
      <c r="C39" s="111"/>
      <c r="D39" s="111"/>
      <c r="E39" s="112"/>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9" t="s">
        <v>39</v>
      </c>
      <c r="C3" s="100"/>
      <c r="D3" s="35" t="s">
        <v>40</v>
      </c>
      <c r="E3" s="35" t="s">
        <v>41</v>
      </c>
    </row>
    <row r="4" spans="2:5" ht="15.5" thickBot="1" x14ac:dyDescent="0.9">
      <c r="B4" s="113" t="s">
        <v>144</v>
      </c>
      <c r="C4" s="114"/>
      <c r="D4" s="114"/>
      <c r="E4" s="115"/>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6" t="s">
        <v>162</v>
      </c>
      <c r="C11" s="117"/>
      <c r="D11" s="117"/>
      <c r="E11" s="118"/>
    </row>
    <row r="12" spans="2:5" ht="32" x14ac:dyDescent="0.75">
      <c r="B12" s="104" t="s">
        <v>163</v>
      </c>
      <c r="C12" s="104" t="s">
        <v>164</v>
      </c>
      <c r="D12" s="104" t="s">
        <v>165</v>
      </c>
      <c r="E12" s="43" t="s">
        <v>166</v>
      </c>
    </row>
    <row r="13" spans="2:5" ht="16" x14ac:dyDescent="0.75">
      <c r="B13" s="105"/>
      <c r="C13" s="105"/>
      <c r="D13" s="105"/>
      <c r="E13" s="43" t="s">
        <v>167</v>
      </c>
    </row>
    <row r="14" spans="2:5" ht="16.75" thickBot="1" x14ac:dyDescent="0.9">
      <c r="B14" s="106"/>
      <c r="C14" s="106"/>
      <c r="D14" s="106"/>
      <c r="E14" s="39" t="s">
        <v>168</v>
      </c>
    </row>
    <row r="15" spans="2:5" ht="15.5" thickBot="1" x14ac:dyDescent="0.9">
      <c r="B15" s="116" t="s">
        <v>169</v>
      </c>
      <c r="C15" s="117"/>
      <c r="D15" s="117"/>
      <c r="E15" s="118"/>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4" t="s">
        <v>188</v>
      </c>
      <c r="C22" s="107" t="s">
        <v>189</v>
      </c>
      <c r="D22" s="104" t="s">
        <v>190</v>
      </c>
      <c r="E22" s="43" t="s">
        <v>167</v>
      </c>
    </row>
    <row r="23" spans="2:5" x14ac:dyDescent="0.75">
      <c r="B23" s="105"/>
      <c r="C23" s="108"/>
      <c r="D23" s="105"/>
      <c r="E23" s="41"/>
    </row>
    <row r="24" spans="2:5" ht="16.75" thickBot="1" x14ac:dyDescent="0.9">
      <c r="B24" s="106"/>
      <c r="C24" s="109"/>
      <c r="D24" s="106"/>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0" t="s">
        <v>198</v>
      </c>
      <c r="C27" s="111"/>
      <c r="D27" s="111"/>
      <c r="E27" s="112"/>
    </row>
    <row r="28" spans="2:5" ht="16.75" thickBot="1" x14ac:dyDescent="0.9">
      <c r="B28" s="110" t="s">
        <v>199</v>
      </c>
      <c r="C28" s="111"/>
      <c r="D28" s="111"/>
      <c r="E28" s="112"/>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0" t="s">
        <v>206</v>
      </c>
      <c r="C31" s="111"/>
      <c r="D31" s="111"/>
      <c r="E31" s="112"/>
    </row>
    <row r="32" spans="2:5" ht="16.75" thickBot="1" x14ac:dyDescent="0.9">
      <c r="B32" s="36" t="s">
        <v>207</v>
      </c>
      <c r="C32" s="39" t="s">
        <v>208</v>
      </c>
      <c r="D32" s="37" t="s">
        <v>209</v>
      </c>
      <c r="E32" s="39" t="s">
        <v>113</v>
      </c>
    </row>
    <row r="33" spans="2:5" ht="16" x14ac:dyDescent="0.75">
      <c r="B33" s="104" t="s">
        <v>210</v>
      </c>
      <c r="C33" s="107" t="s">
        <v>211</v>
      </c>
      <c r="D33" s="104" t="s">
        <v>212</v>
      </c>
      <c r="E33" s="43" t="s">
        <v>130</v>
      </c>
    </row>
    <row r="34" spans="2:5" ht="16" x14ac:dyDescent="0.75">
      <c r="B34" s="105"/>
      <c r="C34" s="108"/>
      <c r="D34" s="105"/>
      <c r="E34" s="43" t="s">
        <v>213</v>
      </c>
    </row>
    <row r="35" spans="2:5" ht="16.75" thickBot="1" x14ac:dyDescent="0.9">
      <c r="B35" s="106"/>
      <c r="C35" s="109"/>
      <c r="D35" s="106"/>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4" t="s">
        <v>226</v>
      </c>
      <c r="C40" s="107" t="s">
        <v>227</v>
      </c>
      <c r="D40" s="104" t="s">
        <v>228</v>
      </c>
      <c r="E40" s="43" t="s">
        <v>167</v>
      </c>
    </row>
    <row r="41" spans="2:5" x14ac:dyDescent="0.75">
      <c r="B41" s="105"/>
      <c r="C41" s="108"/>
      <c r="D41" s="105"/>
      <c r="E41" s="41"/>
    </row>
    <row r="42" spans="2:5" ht="16.75" thickBot="1" x14ac:dyDescent="0.9">
      <c r="B42" s="106"/>
      <c r="C42" s="109"/>
      <c r="D42" s="106"/>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4" t="s">
        <v>238</v>
      </c>
      <c r="C46" s="107" t="s">
        <v>239</v>
      </c>
      <c r="D46" s="104" t="s">
        <v>240</v>
      </c>
      <c r="E46" s="43" t="s">
        <v>241</v>
      </c>
    </row>
    <row r="47" spans="2:5" x14ac:dyDescent="0.75">
      <c r="B47" s="105"/>
      <c r="C47" s="108"/>
      <c r="D47" s="105"/>
      <c r="E47" s="44"/>
    </row>
    <row r="48" spans="2:5" ht="16.75" thickBot="1" x14ac:dyDescent="0.9">
      <c r="B48" s="106"/>
      <c r="C48" s="109"/>
      <c r="D48" s="106"/>
      <c r="E48" s="39" t="s">
        <v>242</v>
      </c>
    </row>
    <row r="49" spans="2:5" ht="16" x14ac:dyDescent="0.75">
      <c r="B49" s="104" t="s">
        <v>243</v>
      </c>
      <c r="C49" s="107" t="s">
        <v>244</v>
      </c>
      <c r="D49" s="104" t="s">
        <v>245</v>
      </c>
      <c r="E49" s="43" t="s">
        <v>167</v>
      </c>
    </row>
    <row r="50" spans="2:5" x14ac:dyDescent="0.75">
      <c r="B50" s="105"/>
      <c r="C50" s="108"/>
      <c r="D50" s="105"/>
      <c r="E50" s="41"/>
    </row>
    <row r="51" spans="2:5" ht="48.75" thickBot="1" x14ac:dyDescent="0.9">
      <c r="B51" s="106"/>
      <c r="C51" s="109"/>
      <c r="D51" s="106"/>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8" workbookViewId="0">
      <selection activeCell="C18" sqref="C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19" t="s">
        <v>634</v>
      </c>
      <c r="F6" s="119"/>
      <c r="G6" s="119"/>
    </row>
    <row r="7" spans="1:19" x14ac:dyDescent="0.75">
      <c r="B7" s="73" t="s">
        <v>18</v>
      </c>
      <c r="C7" s="80" t="s">
        <v>637</v>
      </c>
      <c r="D7" s="73" t="s">
        <v>642</v>
      </c>
      <c r="E7" s="119" t="s">
        <v>643</v>
      </c>
      <c r="F7" s="119"/>
      <c r="G7" s="119"/>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748</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842</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866</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846</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759</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764</v>
      </c>
      <c r="E36" s="14"/>
      <c r="F36" s="75" t="s">
        <v>619</v>
      </c>
      <c r="G36" s="14" t="s">
        <v>731</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4" t="s">
        <v>57</v>
      </c>
      <c r="D28" s="104" t="s">
        <v>58</v>
      </c>
      <c r="E28" s="40" t="s">
        <v>59</v>
      </c>
      <c r="F28" s="107"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5"/>
      <c r="D29" s="105"/>
      <c r="E29" s="41"/>
      <c r="F29" s="108"/>
      <c r="I29" s="1" t="str">
        <f t="shared" si="2"/>
        <v xml:space="preserve"> - Preferred system(s): </v>
      </c>
    </row>
    <row r="30" spans="2:9" ht="30.25" customHeight="1" thickBot="1" x14ac:dyDescent="0.9">
      <c r="B30" t="str">
        <f t="shared" si="1"/>
        <v xml:space="preserve"> </v>
      </c>
      <c r="C30" s="106"/>
      <c r="D30" s="106"/>
      <c r="E30" s="37" t="s">
        <v>61</v>
      </c>
      <c r="F30" s="109"/>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0" t="s">
        <v>318</v>
      </c>
      <c r="D31" s="111"/>
      <c r="E31" s="111"/>
      <c r="F31" s="112"/>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19" t="s">
        <v>660</v>
      </c>
      <c r="F3" s="119"/>
      <c r="G3" s="119"/>
    </row>
    <row r="4" spans="1:19" x14ac:dyDescent="0.75">
      <c r="B4" s="73" t="s">
        <v>19</v>
      </c>
      <c r="C4" s="54" t="s">
        <v>819</v>
      </c>
      <c r="D4" s="73" t="s">
        <v>645</v>
      </c>
      <c r="E4" s="120" t="s">
        <v>661</v>
      </c>
      <c r="F4" s="119"/>
      <c r="G4" s="119"/>
    </row>
    <row r="5" spans="1:19" x14ac:dyDescent="0.75">
      <c r="B5" s="73" t="s">
        <v>13</v>
      </c>
      <c r="C5" s="10" t="s">
        <v>669</v>
      </c>
      <c r="D5" s="73"/>
      <c r="E5" s="10"/>
    </row>
    <row r="6" spans="1:19" x14ac:dyDescent="0.75">
      <c r="B6" s="73" t="s">
        <v>35</v>
      </c>
      <c r="C6" s="72" t="s">
        <v>634</v>
      </c>
      <c r="D6" s="73" t="s">
        <v>641</v>
      </c>
      <c r="E6" s="119" t="s">
        <v>660</v>
      </c>
      <c r="F6" s="119"/>
      <c r="G6" s="119"/>
    </row>
    <row r="7" spans="1:19" x14ac:dyDescent="0.75">
      <c r="B7" s="73" t="s">
        <v>18</v>
      </c>
      <c r="C7" s="80" t="s">
        <v>637</v>
      </c>
      <c r="D7" s="73" t="s">
        <v>642</v>
      </c>
      <c r="E7" s="120" t="s">
        <v>661</v>
      </c>
      <c r="F7" s="119"/>
      <c r="G7" s="119"/>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0" t="s">
        <v>325</v>
      </c>
      <c r="D23" s="111"/>
      <c r="E23" s="111"/>
      <c r="F23" s="112"/>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0" t="s">
        <v>673</v>
      </c>
      <c r="F3" s="119"/>
      <c r="G3" s="119"/>
    </row>
    <row r="4" spans="1:19" x14ac:dyDescent="0.75">
      <c r="B4" s="73" t="s">
        <v>19</v>
      </c>
      <c r="C4" s="54" t="s">
        <v>869</v>
      </c>
      <c r="D4" s="73" t="s">
        <v>645</v>
      </c>
      <c r="E4" s="120" t="s">
        <v>805</v>
      </c>
      <c r="F4" s="119"/>
      <c r="G4" s="119"/>
    </row>
    <row r="5" spans="1:19" x14ac:dyDescent="0.75">
      <c r="B5" s="73" t="s">
        <v>13</v>
      </c>
      <c r="C5" s="10" t="s">
        <v>676</v>
      </c>
      <c r="D5" s="73"/>
      <c r="E5" s="10"/>
    </row>
    <row r="6" spans="1:19" x14ac:dyDescent="0.75">
      <c r="B6" s="73" t="s">
        <v>35</v>
      </c>
      <c r="C6" s="72" t="s">
        <v>634</v>
      </c>
      <c r="D6" s="73" t="s">
        <v>641</v>
      </c>
      <c r="E6" s="120" t="s">
        <v>673</v>
      </c>
      <c r="F6" s="119"/>
      <c r="G6" s="119"/>
    </row>
    <row r="7" spans="1:19" x14ac:dyDescent="0.75">
      <c r="B7" s="73" t="s">
        <v>18</v>
      </c>
      <c r="C7" s="80" t="s">
        <v>637</v>
      </c>
      <c r="D7" s="73" t="s">
        <v>642</v>
      </c>
      <c r="E7" s="120" t="s">
        <v>672</v>
      </c>
      <c r="F7" s="119"/>
      <c r="G7" s="119"/>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957</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958</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958</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958</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0" t="s">
        <v>673</v>
      </c>
      <c r="F3" s="119"/>
      <c r="G3" s="119"/>
    </row>
    <row r="4" spans="1:19" x14ac:dyDescent="0.75">
      <c r="B4" s="73" t="s">
        <v>19</v>
      </c>
      <c r="C4" s="54" t="s">
        <v>869</v>
      </c>
      <c r="D4" s="73" t="s">
        <v>645</v>
      </c>
      <c r="E4" s="120" t="s">
        <v>805</v>
      </c>
      <c r="F4" s="119"/>
      <c r="G4" s="119"/>
    </row>
    <row r="5" spans="1:19" x14ac:dyDescent="0.75">
      <c r="B5" s="73" t="s">
        <v>13</v>
      </c>
      <c r="C5" s="10" t="s">
        <v>676</v>
      </c>
      <c r="D5" s="73"/>
      <c r="E5" s="10"/>
    </row>
    <row r="6" spans="1:19" x14ac:dyDescent="0.75">
      <c r="B6" s="73" t="s">
        <v>35</v>
      </c>
      <c r="C6" s="72" t="s">
        <v>634</v>
      </c>
      <c r="D6" s="73" t="s">
        <v>641</v>
      </c>
      <c r="E6" s="120" t="s">
        <v>673</v>
      </c>
      <c r="F6" s="119"/>
      <c r="G6" s="119"/>
    </row>
    <row r="7" spans="1:19" x14ac:dyDescent="0.75">
      <c r="B7" s="73" t="s">
        <v>18</v>
      </c>
      <c r="C7" s="80" t="s">
        <v>637</v>
      </c>
      <c r="D7" s="73" t="s">
        <v>642</v>
      </c>
      <c r="E7" s="120" t="s">
        <v>959</v>
      </c>
      <c r="F7" s="119"/>
      <c r="G7" s="119"/>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960</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960</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1" t="str">
        <f>'Payer-ConceptMap-1'!E3</f>
        <v>http://hl7.eu/fhir/laboratory/StructureDefinition/Payer</v>
      </c>
      <c r="F3" s="122"/>
      <c r="G3" s="122"/>
    </row>
    <row r="4" spans="1:19" x14ac:dyDescent="0.75">
      <c r="B4" s="73" t="s">
        <v>19</v>
      </c>
      <c r="C4" s="54" t="str">
        <f>'Payer-ConceptMap-1'!C4</f>
        <v>payer2FHIR-eu-lab</v>
      </c>
      <c r="D4" s="73" t="s">
        <v>645</v>
      </c>
      <c r="E4" s="120" t="str">
        <f>'Payer-ConceptMap-1'!E4</f>
        <v>http://hl7.eu/fhir/laboratory/StructureDefinition/Bundle-eu-lab</v>
      </c>
      <c r="F4" s="119"/>
      <c r="G4" s="119"/>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0" t="str">
        <f>E3</f>
        <v>http://hl7.eu/fhir/laboratory/StructureDefinition/Payer</v>
      </c>
      <c r="F6" s="119"/>
      <c r="G6" s="119"/>
    </row>
    <row r="7" spans="1:19" x14ac:dyDescent="0.75">
      <c r="B7" s="73" t="s">
        <v>18</v>
      </c>
      <c r="C7" s="80" t="str">
        <f>'Payer-ConceptMap-1'!C7</f>
        <v>http://hl7.eu/fhir/laboratory</v>
      </c>
      <c r="D7" s="73" t="s">
        <v>642</v>
      </c>
      <c r="E7" s="120" t="s">
        <v>661</v>
      </c>
      <c r="F7" s="119"/>
      <c r="G7" s="119"/>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0" t="s">
        <v>326</v>
      </c>
      <c r="D26" s="111"/>
      <c r="E26" s="111"/>
      <c r="F26" s="112"/>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904</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905</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906</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907</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908</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0" t="s">
        <v>680</v>
      </c>
      <c r="F3" s="119"/>
      <c r="G3" s="119"/>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0" t="s">
        <v>680</v>
      </c>
      <c r="F6" s="119"/>
      <c r="G6" s="119"/>
    </row>
    <row r="7" spans="1:19" x14ac:dyDescent="0.75">
      <c r="B7" s="73" t="s">
        <v>18</v>
      </c>
      <c r="C7" s="80" t="s">
        <v>637</v>
      </c>
      <c r="D7" s="73" t="s">
        <v>642</v>
      </c>
      <c r="E7" s="120" t="s">
        <v>683</v>
      </c>
      <c r="F7" s="119"/>
      <c r="G7" s="119"/>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961</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962</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944</v>
      </c>
      <c r="E19" s="9"/>
      <c r="F19" s="75" t="s">
        <v>618</v>
      </c>
      <c r="G19" s="82" t="s">
        <v>965</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963</v>
      </c>
      <c r="E20" s="9"/>
      <c r="F20" s="75" t="s">
        <v>618</v>
      </c>
      <c r="G20" s="82" t="s">
        <v>965</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945</v>
      </c>
      <c r="E21" s="9"/>
      <c r="F21" s="75" t="s">
        <v>618</v>
      </c>
      <c r="G21" s="82" t="s">
        <v>965</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964</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123"/>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0" t="s">
        <v>93</v>
      </c>
      <c r="D26" s="111"/>
      <c r="E26" s="111"/>
      <c r="F26" s="112"/>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20" t="s">
        <v>648</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948</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918</v>
      </c>
      <c r="E17" s="9"/>
      <c r="F17" s="75" t="s">
        <v>618</v>
      </c>
      <c r="G17" s="14" t="s">
        <v>949</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946</v>
      </c>
      <c r="E18" s="9"/>
      <c r="F18" s="75" t="s">
        <v>618</v>
      </c>
      <c r="G18" s="75" t="s">
        <v>950</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951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947</v>
      </c>
      <c r="E20" s="9"/>
      <c r="F20" s="75" t="s">
        <v>618</v>
      </c>
      <c r="G20" s="75" t="s">
        <v>950</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0" t="s">
        <v>805</v>
      </c>
      <c r="F4" s="119"/>
      <c r="G4" s="119"/>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19" t="s">
        <v>643</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913</v>
      </c>
      <c r="E18" s="9"/>
      <c r="F18" s="75" t="s">
        <v>619</v>
      </c>
      <c r="G18" s="82" t="s">
        <v>953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915</v>
      </c>
      <c r="E20" s="9"/>
      <c r="F20" s="75" t="s">
        <v>619</v>
      </c>
      <c r="G20" s="82" t="s">
        <v>955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956</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19" t="s">
        <v>643</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915</v>
      </c>
      <c r="E18" s="9"/>
      <c r="F18" s="75" t="s">
        <v>619</v>
      </c>
      <c r="G18" s="75" t="s">
        <v>916</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0" t="s">
        <v>102</v>
      </c>
      <c r="D26" s="111"/>
      <c r="E26" s="111"/>
      <c r="F26" s="112"/>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919</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920</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909</v>
      </c>
    </row>
    <row r="31" spans="1:15" x14ac:dyDescent="0.75">
      <c r="C31" s="9" t="s">
        <v>910</v>
      </c>
      <c r="E31" s="22"/>
    </row>
    <row r="32" spans="1:15" x14ac:dyDescent="0.75">
      <c r="C32" s="9" t="s">
        <v>911</v>
      </c>
    </row>
    <row r="33" spans="3:3" x14ac:dyDescent="0.75">
      <c r="C33" s="9" t="s">
        <v>912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0" t="str">
        <f>"http://hl7.eu/fhir/laboratory/StructureDefinition/"&amp;'A1.6 LegalAuth'!B5</f>
        <v>http://hl7.eu/fhir/laboratory/StructureDefinition/LegalAuthenticator</v>
      </c>
      <c r="F3" s="119"/>
      <c r="G3" s="119"/>
    </row>
    <row r="4" spans="1:19" x14ac:dyDescent="0.75">
      <c r="B4" s="73" t="s">
        <v>19</v>
      </c>
      <c r="C4" s="54" t="s">
        <v>871</v>
      </c>
      <c r="D4" s="73" t="s">
        <v>645</v>
      </c>
      <c r="E4" s="120" t="s">
        <v>648</v>
      </c>
      <c r="F4" s="119"/>
      <c r="G4" s="119"/>
    </row>
    <row r="5" spans="1:19" x14ac:dyDescent="0.75">
      <c r="B5" s="73" t="s">
        <v>13</v>
      </c>
      <c r="C5" s="10" t="s">
        <v>679</v>
      </c>
      <c r="D5" s="73"/>
      <c r="E5" s="10"/>
    </row>
    <row r="6" spans="1:19" x14ac:dyDescent="0.75">
      <c r="B6" s="73" t="s">
        <v>35</v>
      </c>
      <c r="C6" s="72"/>
      <c r="D6" s="73" t="s">
        <v>641</v>
      </c>
      <c r="E6" s="120" t="str">
        <f>E3</f>
        <v>http://hl7.eu/fhir/laboratory/StructureDefinition/LegalAuthenticator</v>
      </c>
      <c r="F6" s="119"/>
      <c r="G6" s="119"/>
    </row>
    <row r="7" spans="1:19" x14ac:dyDescent="0.75">
      <c r="B7" s="73" t="s">
        <v>18</v>
      </c>
      <c r="C7" s="80"/>
      <c r="D7" s="73" t="s">
        <v>642</v>
      </c>
      <c r="E7" s="120" t="str">
        <f>E4</f>
        <v>http://hl7.eu/fhir/laboratory/StructureDefinition/Composition-eu-lab</v>
      </c>
      <c r="F7" s="119"/>
      <c r="G7" s="119"/>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923</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924</v>
      </c>
      <c r="E17" s="9"/>
      <c r="F17" s="75" t="s">
        <v>618</v>
      </c>
      <c r="G17" s="14" t="s">
        <v>925</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926</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0" t="s">
        <v>114</v>
      </c>
      <c r="D26" s="111"/>
      <c r="E26" s="111"/>
      <c r="F26" s="112"/>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919</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920</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921</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922</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0" t="str">
        <f>"http://hl7.eu/fhir/laboratory/StructureDefinition/"&amp;'A1.7 Validator'!B5</f>
        <v>http://hl7.eu/fhir/laboratory/StructureDefinition/Validator</v>
      </c>
      <c r="F3" s="119"/>
      <c r="G3" s="119"/>
    </row>
    <row r="4" spans="1:19" x14ac:dyDescent="0.75">
      <c r="B4" s="73" t="s">
        <v>19</v>
      </c>
      <c r="C4" s="54" t="s">
        <v>872</v>
      </c>
      <c r="D4" s="73" t="s">
        <v>645</v>
      </c>
      <c r="E4" s="120" t="s">
        <v>648</v>
      </c>
      <c r="F4" s="119"/>
      <c r="G4" s="119"/>
    </row>
    <row r="5" spans="1:19" x14ac:dyDescent="0.75">
      <c r="B5" s="73" t="s">
        <v>13</v>
      </c>
      <c r="C5" s="10" t="s">
        <v>696</v>
      </c>
      <c r="D5" s="73"/>
      <c r="E5" s="10"/>
    </row>
    <row r="6" spans="1:19" x14ac:dyDescent="0.75">
      <c r="B6" s="73" t="s">
        <v>35</v>
      </c>
      <c r="C6" s="72"/>
      <c r="D6" s="73" t="s">
        <v>641</v>
      </c>
      <c r="E6" s="120" t="str">
        <f>E3</f>
        <v>http://hl7.eu/fhir/laboratory/StructureDefinition/Validator</v>
      </c>
      <c r="F6" s="119"/>
      <c r="G6" s="119"/>
    </row>
    <row r="7" spans="1:19" x14ac:dyDescent="0.75">
      <c r="B7" s="73" t="s">
        <v>18</v>
      </c>
      <c r="C7" s="80"/>
      <c r="D7" s="73" t="s">
        <v>642</v>
      </c>
      <c r="E7" s="120" t="str">
        <f>E4</f>
        <v>http://hl7.eu/fhir/laboratory/StructureDefinition/Composition-eu-lab</v>
      </c>
      <c r="F7" s="119"/>
      <c r="G7" s="119"/>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924</v>
      </c>
      <c r="E17" s="14"/>
      <c r="F17" s="75" t="s">
        <v>618</v>
      </c>
      <c r="G17" s="14" t="s">
        <v>928</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929</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3" t="s">
        <v>144</v>
      </c>
      <c r="D26" s="114"/>
      <c r="E26" s="114"/>
      <c r="F26" s="115"/>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6" t="s">
        <v>162</v>
      </c>
      <c r="D33" s="117"/>
      <c r="E33" s="117"/>
      <c r="F33" s="118"/>
    </row>
    <row r="34" spans="2:9" ht="80" x14ac:dyDescent="0.75">
      <c r="B34" t="str">
        <f t="shared" si="1"/>
        <v>A.3.1 Problem / diagnosis / condition description</v>
      </c>
      <c r="C34" s="104" t="s">
        <v>163</v>
      </c>
      <c r="D34" s="104" t="s">
        <v>164</v>
      </c>
      <c r="E34" s="104"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5"/>
      <c r="D35" s="105"/>
      <c r="E35" s="105"/>
      <c r="F35" s="43" t="s">
        <v>167</v>
      </c>
      <c r="I35" s="1" t="str">
        <f t="shared" si="2"/>
        <v xml:space="preserve"> - Preferred system(s): SNOMED CT</v>
      </c>
    </row>
    <row r="36" spans="2:9" ht="32.75" thickBot="1" x14ac:dyDescent="0.9">
      <c r="C36" s="106"/>
      <c r="D36" s="106"/>
      <c r="E36" s="106"/>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930</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931</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932</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933</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934</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935</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19" t="s">
        <v>672</v>
      </c>
      <c r="F4" s="119"/>
      <c r="G4" s="119"/>
    </row>
    <row r="5" spans="1:19" x14ac:dyDescent="0.75">
      <c r="B5" s="73" t="s">
        <v>13</v>
      </c>
      <c r="C5" s="10" t="s">
        <v>707</v>
      </c>
      <c r="D5" s="73"/>
      <c r="E5" s="10"/>
    </row>
    <row r="6" spans="1:19" x14ac:dyDescent="0.75">
      <c r="B6" s="73" t="s">
        <v>35</v>
      </c>
      <c r="C6" s="72" t="s">
        <v>634</v>
      </c>
      <c r="D6" s="73" t="s">
        <v>641</v>
      </c>
      <c r="E6" s="119" t="str">
        <f>E3</f>
        <v>http://hl7.eu/fhir/laboratory/StructureDefinition/Order</v>
      </c>
      <c r="F6" s="119"/>
      <c r="G6" s="119"/>
    </row>
    <row r="7" spans="1:19" x14ac:dyDescent="0.75">
      <c r="B7" s="73" t="s">
        <v>18</v>
      </c>
      <c r="C7" s="80" t="s">
        <v>637</v>
      </c>
      <c r="D7" s="73" t="s">
        <v>642</v>
      </c>
      <c r="E7" s="119" t="s">
        <v>672</v>
      </c>
      <c r="F7" s="119"/>
      <c r="G7" s="119"/>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937</v>
      </c>
      <c r="E21" s="9"/>
      <c r="F21" s="75" t="s">
        <v>619</v>
      </c>
      <c r="G21" s="14" t="s">
        <v>938</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940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941</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6" t="s">
        <v>169</v>
      </c>
      <c r="D26" s="117"/>
      <c r="E26" s="117"/>
      <c r="F26" s="118"/>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4" t="s">
        <v>188</v>
      </c>
      <c r="D33" s="107" t="s">
        <v>189</v>
      </c>
      <c r="E33" s="104"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5"/>
      <c r="D34" s="108"/>
      <c r="E34" s="105"/>
      <c r="F34" s="41"/>
      <c r="I34" s="1" t="str">
        <f t="shared" si="2"/>
        <v xml:space="preserve"> - Preferred system(s): </v>
      </c>
    </row>
    <row r="35" spans="2:9" ht="16.75" thickBot="1" x14ac:dyDescent="0.9">
      <c r="B35" t="str">
        <f t="shared" si="1"/>
        <v xml:space="preserve"> </v>
      </c>
      <c r="C35" s="106"/>
      <c r="D35" s="109"/>
      <c r="E35" s="106"/>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0" t="s">
        <v>903</v>
      </c>
      <c r="F4" s="119"/>
      <c r="G4" s="119"/>
    </row>
    <row r="5" spans="1:19" x14ac:dyDescent="0.75">
      <c r="B5" s="73" t="s">
        <v>13</v>
      </c>
      <c r="C5" s="10" t="s">
        <v>719</v>
      </c>
      <c r="D5" s="73"/>
      <c r="E5" s="10"/>
    </row>
    <row r="6" spans="1:19" x14ac:dyDescent="0.75">
      <c r="B6" s="73" t="s">
        <v>35</v>
      </c>
      <c r="C6" s="72"/>
      <c r="D6" s="73" t="s">
        <v>641</v>
      </c>
      <c r="E6" s="120" t="str">
        <f>E3</f>
        <v>http://hl7.eu/fhir/laboratory/StructureDefinition/SpecimenLab</v>
      </c>
      <c r="F6" s="119"/>
      <c r="G6" s="119"/>
    </row>
    <row r="7" spans="1:19" x14ac:dyDescent="0.75">
      <c r="B7" s="73" t="s">
        <v>18</v>
      </c>
      <c r="C7" s="80"/>
      <c r="D7" s="73" t="s">
        <v>642</v>
      </c>
      <c r="E7" s="120" t="s">
        <v>903</v>
      </c>
      <c r="F7" s="119"/>
      <c r="G7" s="119"/>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902</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901</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899</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900</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0" t="s">
        <v>198</v>
      </c>
      <c r="D36" s="111"/>
      <c r="E36" s="111"/>
      <c r="F36" s="112"/>
    </row>
    <row r="37" spans="2:9" ht="16.75" thickBot="1" x14ac:dyDescent="0.9">
      <c r="B37" t="str">
        <f t="shared" si="1"/>
        <v xml:space="preserve">A.5.1 Laboratory report narrative  </v>
      </c>
      <c r="C37" s="110" t="s">
        <v>535</v>
      </c>
      <c r="D37" s="111"/>
      <c r="E37" s="111"/>
      <c r="F37" s="112"/>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0" t="s">
        <v>537</v>
      </c>
      <c r="D40" s="111"/>
      <c r="E40" s="111"/>
      <c r="F40" s="112"/>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4" t="s">
        <v>210</v>
      </c>
      <c r="D42" s="107" t="s">
        <v>211</v>
      </c>
      <c r="E42" s="104" t="s">
        <v>212</v>
      </c>
      <c r="F42" s="43" t="s">
        <v>130</v>
      </c>
      <c r="I42" s="1" t="str">
        <f t="shared" si="2"/>
        <v>Code representing the observation using the agreed code systems. - Preferred system(s): LOINC</v>
      </c>
    </row>
    <row r="43" spans="2:9" ht="16" x14ac:dyDescent="0.75">
      <c r="B43" t="str">
        <f t="shared" si="1"/>
        <v xml:space="preserve"> </v>
      </c>
      <c r="C43" s="105"/>
      <c r="D43" s="108"/>
      <c r="E43" s="105"/>
      <c r="F43" s="43" t="s">
        <v>213</v>
      </c>
      <c r="I43" s="1" t="str">
        <f t="shared" si="2"/>
        <v xml:space="preserve"> - Preferred system(s): NPU</v>
      </c>
    </row>
    <row r="44" spans="2:9" ht="32.75" thickBot="1" x14ac:dyDescent="0.9">
      <c r="B44" t="str">
        <f t="shared" si="1"/>
        <v xml:space="preserve"> </v>
      </c>
      <c r="C44" s="106"/>
      <c r="D44" s="109"/>
      <c r="E44" s="106"/>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4" t="s">
        <v>226</v>
      </c>
      <c r="D49" s="107" t="s">
        <v>227</v>
      </c>
      <c r="E49" s="104"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5"/>
      <c r="D50" s="108"/>
      <c r="E50" s="105"/>
      <c r="F50" s="41"/>
      <c r="I50" s="1" t="str">
        <f t="shared" si="2"/>
        <v xml:space="preserve"> - Preferred system(s): </v>
      </c>
    </row>
    <row r="51" spans="2:9" ht="16.75" thickBot="1" x14ac:dyDescent="0.9">
      <c r="B51" t="str">
        <f t="shared" si="1"/>
        <v xml:space="preserve"> </v>
      </c>
      <c r="C51" s="106"/>
      <c r="D51" s="109"/>
      <c r="E51" s="106"/>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4" t="s">
        <v>238</v>
      </c>
      <c r="D55" s="107" t="s">
        <v>239</v>
      </c>
      <c r="E55" s="104"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5"/>
      <c r="D56" s="108"/>
      <c r="E56" s="105"/>
      <c r="F56" s="44"/>
      <c r="I56" s="1" t="str">
        <f t="shared" si="2"/>
        <v xml:space="preserve"> - Preferred system(s): </v>
      </c>
    </row>
    <row r="57" spans="2:9" ht="48.75" thickBot="1" x14ac:dyDescent="0.9">
      <c r="B57" t="str">
        <f t="shared" si="1"/>
        <v xml:space="preserve"> </v>
      </c>
      <c r="C57" s="106"/>
      <c r="D57" s="109"/>
      <c r="E57" s="106"/>
      <c r="F57" s="39" t="s">
        <v>242</v>
      </c>
      <c r="I57" s="1" t="str">
        <f t="shared" si="2"/>
        <v xml:space="preserve"> - Preferred system(s): UCUM (for units)</v>
      </c>
    </row>
    <row r="58" spans="2:9" ht="32" x14ac:dyDescent="0.75">
      <c r="B58" t="str">
        <f t="shared" si="1"/>
        <v>A.5.2.12 Observation interpretation</v>
      </c>
      <c r="C58" s="104" t="s">
        <v>243</v>
      </c>
      <c r="D58" s="107" t="s">
        <v>244</v>
      </c>
      <c r="E58" s="104" t="s">
        <v>245</v>
      </c>
      <c r="F58" s="43" t="s">
        <v>167</v>
      </c>
      <c r="I58" s="1" t="str">
        <f t="shared" si="2"/>
        <v>Information about reference intervals and result interpretation. - Preferred system(s): SNOMED CT</v>
      </c>
    </row>
    <row r="59" spans="2:9" x14ac:dyDescent="0.75">
      <c r="B59" t="str">
        <f t="shared" si="1"/>
        <v xml:space="preserve"> </v>
      </c>
      <c r="C59" s="105"/>
      <c r="D59" s="108"/>
      <c r="E59" s="105"/>
      <c r="F59" s="41"/>
      <c r="I59" s="1" t="str">
        <f t="shared" si="2"/>
        <v xml:space="preserve"> - Preferred system(s): </v>
      </c>
    </row>
    <row r="60" spans="2:9" ht="112.75" thickBot="1" x14ac:dyDescent="0.9">
      <c r="B60" t="str">
        <f t="shared" si="1"/>
        <v xml:space="preserve"> </v>
      </c>
      <c r="C60" s="106"/>
      <c r="D60" s="109"/>
      <c r="E60" s="106"/>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0" t="s">
        <v>805</v>
      </c>
      <c r="F4" s="119"/>
      <c r="G4" s="119"/>
    </row>
    <row r="5" spans="1:19" x14ac:dyDescent="0.75">
      <c r="B5" s="73" t="s">
        <v>13</v>
      </c>
      <c r="C5" s="10" t="s">
        <v>732</v>
      </c>
      <c r="D5" s="73"/>
      <c r="E5"/>
    </row>
    <row r="6" spans="1:19" x14ac:dyDescent="0.75">
      <c r="B6" s="73" t="s">
        <v>35</v>
      </c>
      <c r="C6" s="72"/>
      <c r="D6" s="73" t="s">
        <v>641</v>
      </c>
      <c r="E6" s="120" t="str">
        <f>E3</f>
        <v>http://hl7.eu/fhir/laboratory/StructureDefinition/Result</v>
      </c>
      <c r="F6" s="119"/>
      <c r="G6" s="119"/>
    </row>
    <row r="7" spans="1:19" x14ac:dyDescent="0.75">
      <c r="B7" s="73" t="s">
        <v>18</v>
      </c>
      <c r="C7" s="80"/>
      <c r="D7" s="73" t="s">
        <v>642</v>
      </c>
      <c r="E7" s="120" t="s">
        <v>643</v>
      </c>
      <c r="F7" s="119"/>
      <c r="G7" s="119"/>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0" t="str">
        <f>'Results-ConceptMap-1'!E6</f>
        <v>http://hl7.eu/fhir/laboratory/StructureDefinition/Result</v>
      </c>
      <c r="F6" s="119"/>
      <c r="G6" s="119"/>
    </row>
    <row r="7" spans="1:19" ht="15.5" thickBot="1" x14ac:dyDescent="0.9">
      <c r="B7" s="73" t="s">
        <v>18</v>
      </c>
      <c r="C7" s="85">
        <f>'Results-ConceptMap-1'!C7</f>
        <v>0</v>
      </c>
      <c r="D7" s="73" t="s">
        <v>642</v>
      </c>
      <c r="E7" s="120" t="s">
        <v>648</v>
      </c>
      <c r="F7" s="119"/>
      <c r="G7" s="119"/>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0" t="str">
        <f>'Results-ConceptMap-1'!E6</f>
        <v>http://hl7.eu/fhir/laboratory/StructureDefinition/Result</v>
      </c>
      <c r="F6" s="119"/>
      <c r="G6" s="119"/>
    </row>
    <row r="7" spans="1:19" ht="15.5" thickBot="1" x14ac:dyDescent="0.9">
      <c r="B7" s="73" t="s">
        <v>18</v>
      </c>
      <c r="C7" s="85">
        <f>'Results-ConceptMap-1'!C7</f>
        <v>0</v>
      </c>
      <c r="D7" s="73" t="s">
        <v>642</v>
      </c>
      <c r="E7" s="120" t="s">
        <v>743</v>
      </c>
      <c r="F7" s="119"/>
      <c r="G7" s="119"/>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943</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2023-11-27T15:56:38Z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