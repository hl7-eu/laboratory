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327" codeName="{37A63EE7-654F-3FA9-A528-636911D70600}"/>
  <workbookPr backupFile="1" codeName="Questa_cartella_di_lavoro" defaultThemeVersion="166925"/>
  <mc:AlternateContent xmlns:mc="http://schemas.openxmlformats.org/markup-compatibility/2006">
    <mc:Choice Requires="x15">
      <x15ac:absPath xmlns:x15ac="http://schemas.microsoft.com/office/spreadsheetml/2010/11/ac" url="C:\workspace\hl7eu-lab\src-models\"/>
    </mc:Choice>
  </mc:AlternateContent>
  <xr:revisionPtr revIDLastSave="0" documentId="13_ncr:1_{95B99647-EF99-46D6-B27C-BB24871525DD}" xr6:coauthVersionLast="47" xr6:coauthVersionMax="47" xr10:uidLastSave="{00000000-0000-0000-0000-000000000000}"/>
  <bookViews>
    <workbookView xWindow="-90" yWindow="-21710" windowWidth="38620" windowHeight="21100" tabRatio="819" activeTab="6" xr2:uid="{82F0A5E9-86C8-45A2-AB20-6CF6AA2FD42B}"/>
  </bookViews>
  <sheets>
    <sheet name="Header" sheetId="106" r:id="rId1"/>
    <sheet name="Body" sheetId="107" r:id="rId2"/>
    <sheet name="Common" sheetId="114" r:id="rId3"/>
    <sheet name="Report" sheetId="108" r:id="rId4"/>
    <sheet name="Report-Map-1" sheetId="109" r:id="rId5"/>
    <sheet name="Report-fsh" sheetId="110" r:id="rId6"/>
    <sheet name="HospitalDischargeRep-ConceptMap" sheetId="137" r:id="rId7"/>
    <sheet name="HospitalDischargeReport-CM-fsh" sheetId="138" r:id="rId8"/>
    <sheet name="Subj" sheetId="12" r:id="rId9"/>
    <sheet name="Subj-Map-1" sheetId="33" r:id="rId10"/>
    <sheet name="Subj-fsh" sheetId="73" r:id="rId11"/>
    <sheet name="A1.3 Payer" sheetId="111" r:id="rId12"/>
    <sheet name="Payer-Map-1" sheetId="112" r:id="rId13"/>
    <sheet name="Payer-fsh" sheetId="113" r:id="rId14"/>
    <sheet name="A1.4 Recipient" sheetId="115" r:id="rId15"/>
    <sheet name="Recipient-Map-1" sheetId="116" r:id="rId16"/>
    <sheet name="Recipient-fsh" sheetId="117" r:id="rId17"/>
    <sheet name="A1.5 Author" sheetId="124" r:id="rId18"/>
    <sheet name="Author-Map-1" sheetId="125" r:id="rId19"/>
    <sheet name="Author-fsh" sheetId="126" r:id="rId20"/>
    <sheet name="A1.6 LegalAuth" sheetId="121" r:id="rId21"/>
    <sheet name="LegalAuth-Map-1" sheetId="122" r:id="rId22"/>
    <sheet name="LegalAuth-fsh" sheetId="123" r:id="rId23"/>
    <sheet name="A1.7 Validator" sheetId="118" r:id="rId24"/>
    <sheet name="Validator-Map-1" sheetId="119" r:id="rId25"/>
    <sheet name="Validator-fsh" sheetId="120" r:id="rId26"/>
    <sheet name="Order" sheetId="128" r:id="rId27"/>
    <sheet name="Order-Map-1" sheetId="129" r:id="rId28"/>
    <sheet name="Order-fsh" sheetId="130" r:id="rId29"/>
    <sheet name="Specimen" sheetId="131" r:id="rId30"/>
    <sheet name="Specimen-Map-1" sheetId="132" r:id="rId31"/>
    <sheet name="Specimen-fsh" sheetId="133" r:id="rId32"/>
    <sheet name="Results" sheetId="134" r:id="rId33"/>
    <sheet name="Results-Map-1" sheetId="135" r:id="rId34"/>
    <sheet name="Results-fsh" sheetId="136" r:id="rId35"/>
  </sheets>
  <externalReferences>
    <externalReference r:id="rId36"/>
  </externalReferences>
  <definedNames>
    <definedName name="CENEN13606Lekarska_prepustacia_sprava">'[1]Hospital Discharge Report '!#REF!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Q184" i="137" l="1" a="1"/>
  <c r="Q184" i="137" s="1"/>
  <c r="P184" i="137"/>
  <c r="O184" i="137"/>
  <c r="P183" i="137"/>
  <c r="O183" i="137"/>
  <c r="Q183" i="137" s="1" a="1"/>
  <c r="Q183" i="137" s="1"/>
  <c r="Q182" i="137" a="1"/>
  <c r="Q182" i="137" s="1"/>
  <c r="P182" i="137"/>
  <c r="O182" i="137"/>
  <c r="P181" i="137"/>
  <c r="O181" i="137"/>
  <c r="Q181" i="137" s="1" a="1"/>
  <c r="Q181" i="137" s="1"/>
  <c r="P180" i="137"/>
  <c r="Q180" i="137" s="1" a="1"/>
  <c r="Q180" i="137" s="1"/>
  <c r="O180" i="137"/>
  <c r="P179" i="137"/>
  <c r="O179" i="137"/>
  <c r="Q179" i="137" s="1" a="1"/>
  <c r="Q179" i="137" s="1"/>
  <c r="P178" i="137"/>
  <c r="O178" i="137"/>
  <c r="Q178" i="137" s="1" a="1"/>
  <c r="Q178" i="137" s="1"/>
  <c r="P177" i="137"/>
  <c r="O177" i="137"/>
  <c r="Q177" i="137" s="1" a="1"/>
  <c r="Q177" i="137" s="1"/>
  <c r="P176" i="137"/>
  <c r="Q176" i="137" s="1" a="1"/>
  <c r="Q176" i="137" s="1"/>
  <c r="O176" i="137"/>
  <c r="P175" i="137"/>
  <c r="O175" i="137"/>
  <c r="Q175" i="137" s="1" a="1"/>
  <c r="Q175" i="137" s="1"/>
  <c r="Q174" i="137" a="1"/>
  <c r="Q174" i="137" s="1"/>
  <c r="P174" i="137"/>
  <c r="O174" i="137"/>
  <c r="P173" i="137"/>
  <c r="O173" i="137"/>
  <c r="Q173" i="137" s="1" a="1"/>
  <c r="Q173" i="137" s="1"/>
  <c r="P172" i="137"/>
  <c r="Q172" i="137" s="1" a="1"/>
  <c r="Q172" i="137" s="1"/>
  <c r="O172" i="137"/>
  <c r="P171" i="137"/>
  <c r="O171" i="137"/>
  <c r="Q171" i="137" s="1" a="1"/>
  <c r="Q171" i="137" s="1"/>
  <c r="P170" i="137"/>
  <c r="O170" i="137"/>
  <c r="Q170" i="137" s="1" a="1"/>
  <c r="Q170" i="137" s="1"/>
  <c r="Q169" i="137"/>
  <c r="P169" i="137"/>
  <c r="O169" i="137"/>
  <c r="Q169" i="137" s="1" a="1"/>
  <c r="P168" i="137"/>
  <c r="O168" i="137"/>
  <c r="Q168" i="137" s="1" a="1"/>
  <c r="Q168" i="137" s="1"/>
  <c r="Q167" i="137"/>
  <c r="P167" i="137"/>
  <c r="O167" i="137"/>
  <c r="Q167" i="137" s="1" a="1"/>
  <c r="Q166" i="137" a="1"/>
  <c r="Q166" i="137" s="1"/>
  <c r="P166" i="137"/>
  <c r="O166" i="137"/>
  <c r="Q165" i="137"/>
  <c r="P165" i="137"/>
  <c r="O165" i="137"/>
  <c r="Q165" i="137" s="1" a="1"/>
  <c r="P164" i="137"/>
  <c r="O164" i="137"/>
  <c r="Q164" i="137" s="1" a="1"/>
  <c r="Q164" i="137" s="1"/>
  <c r="P163" i="137"/>
  <c r="O163" i="137"/>
  <c r="Q163" i="137" s="1" a="1"/>
  <c r="Q163" i="137" s="1"/>
  <c r="P162" i="137"/>
  <c r="O162" i="137"/>
  <c r="Q162" i="137" s="1" a="1"/>
  <c r="Q162" i="137" s="1"/>
  <c r="P161" i="137"/>
  <c r="O161" i="137"/>
  <c r="Q161" i="137" s="1" a="1"/>
  <c r="Q161" i="137" s="1"/>
  <c r="P160" i="137"/>
  <c r="Q160" i="137" s="1" a="1"/>
  <c r="Q160" i="137" s="1"/>
  <c r="O160" i="137"/>
  <c r="Q159" i="137"/>
  <c r="P159" i="137"/>
  <c r="O159" i="137"/>
  <c r="Q159" i="137" s="1" a="1"/>
  <c r="Q158" i="137" a="1"/>
  <c r="Q158" i="137" s="1"/>
  <c r="P158" i="137"/>
  <c r="O158" i="137"/>
  <c r="P157" i="137"/>
  <c r="O157" i="137"/>
  <c r="Q157" i="137" s="1" a="1"/>
  <c r="Q157" i="137" s="1"/>
  <c r="P156" i="137"/>
  <c r="Q156" i="137" s="1" a="1"/>
  <c r="Q156" i="137" s="1"/>
  <c r="O156" i="137"/>
  <c r="P155" i="137"/>
  <c r="O155" i="137"/>
  <c r="Q155" i="137" s="1" a="1"/>
  <c r="Q155" i="137" s="1"/>
  <c r="P154" i="137"/>
  <c r="O154" i="137"/>
  <c r="Q154" i="137" s="1" a="1"/>
  <c r="Q154" i="137" s="1"/>
  <c r="P153" i="137"/>
  <c r="O153" i="137"/>
  <c r="Q153" i="137" s="1" a="1"/>
  <c r="Q153" i="137" s="1"/>
  <c r="P152" i="137"/>
  <c r="O152" i="137"/>
  <c r="Q152" i="137" s="1" a="1"/>
  <c r="Q152" i="137" s="1"/>
  <c r="Q151" i="137"/>
  <c r="P151" i="137"/>
  <c r="O151" i="137"/>
  <c r="Q151" i="137" s="1" a="1"/>
  <c r="Q150" i="137" a="1"/>
  <c r="Q150" i="137" s="1"/>
  <c r="P150" i="137"/>
  <c r="O150" i="137"/>
  <c r="Q149" i="137"/>
  <c r="P149" i="137"/>
  <c r="O149" i="137"/>
  <c r="Q149" i="137" s="1" a="1"/>
  <c r="P148" i="137"/>
  <c r="O148" i="137"/>
  <c r="Q148" i="137" s="1" a="1"/>
  <c r="Q148" i="137" s="1"/>
  <c r="P147" i="137"/>
  <c r="O147" i="137"/>
  <c r="Q147" i="137" s="1" a="1"/>
  <c r="Q147" i="137" s="1"/>
  <c r="P146" i="137"/>
  <c r="O146" i="137"/>
  <c r="Q146" i="137" s="1" a="1"/>
  <c r="Q146" i="137" s="1"/>
  <c r="P145" i="137"/>
  <c r="O145" i="137"/>
  <c r="Q145" i="137" s="1" a="1"/>
  <c r="Q145" i="137" s="1"/>
  <c r="P144" i="137"/>
  <c r="O144" i="137"/>
  <c r="Q144" i="137" s="1" a="1"/>
  <c r="Q144" i="137" s="1"/>
  <c r="Q143" i="137"/>
  <c r="P143" i="137"/>
  <c r="O143" i="137"/>
  <c r="Q143" i="137" s="1" a="1"/>
  <c r="Q142" i="137" a="1"/>
  <c r="Q142" i="137" s="1"/>
  <c r="P142" i="137"/>
  <c r="O142" i="137"/>
  <c r="P141" i="137"/>
  <c r="O141" i="137"/>
  <c r="Q141" i="137" s="1" a="1"/>
  <c r="Q141" i="137" s="1"/>
  <c r="P140" i="137"/>
  <c r="Q140" i="137" s="1" a="1"/>
  <c r="Q140" i="137" s="1"/>
  <c r="O140" i="137"/>
  <c r="P139" i="137"/>
  <c r="O139" i="137"/>
  <c r="Q139" i="137" s="1" a="1"/>
  <c r="Q139" i="137" s="1"/>
  <c r="P138" i="137"/>
  <c r="O138" i="137"/>
  <c r="Q138" i="137" s="1" a="1"/>
  <c r="Q138" i="137" s="1"/>
  <c r="P137" i="137"/>
  <c r="O137" i="137"/>
  <c r="Q137" i="137" s="1" a="1"/>
  <c r="Q137" i="137" s="1"/>
  <c r="P136" i="137"/>
  <c r="O136" i="137"/>
  <c r="Q136" i="137" s="1" a="1"/>
  <c r="Q136" i="137" s="1"/>
  <c r="Q135" i="137"/>
  <c r="P135" i="137"/>
  <c r="O135" i="137"/>
  <c r="Q135" i="137" s="1" a="1"/>
  <c r="Q134" i="137" a="1"/>
  <c r="Q134" i="137" s="1"/>
  <c r="P134" i="137"/>
  <c r="O134" i="137"/>
  <c r="Q133" i="137"/>
  <c r="P133" i="137"/>
  <c r="O133" i="137"/>
  <c r="Q133" i="137" s="1" a="1"/>
  <c r="P132" i="137"/>
  <c r="Q132" i="137" s="1" a="1"/>
  <c r="Q132" i="137" s="1"/>
  <c r="O132" i="137"/>
  <c r="P131" i="137"/>
  <c r="O131" i="137"/>
  <c r="Q131" i="137" s="1" a="1"/>
  <c r="Q131" i="137" s="1"/>
  <c r="P130" i="137"/>
  <c r="O130" i="137"/>
  <c r="Q130" i="137" s="1" a="1"/>
  <c r="Q130" i="137" s="1"/>
  <c r="P129" i="137"/>
  <c r="O129" i="137"/>
  <c r="Q129" i="137" s="1" a="1"/>
  <c r="Q129" i="137" s="1"/>
  <c r="P128" i="137"/>
  <c r="O128" i="137"/>
  <c r="Q128" i="137" s="1" a="1"/>
  <c r="Q128" i="137" s="1"/>
  <c r="Q127" i="137"/>
  <c r="P127" i="137"/>
  <c r="O127" i="137"/>
  <c r="Q127" i="137" s="1" a="1"/>
  <c r="Q126" i="137" a="1"/>
  <c r="Q126" i="137" s="1"/>
  <c r="P126" i="137"/>
  <c r="O126" i="137"/>
  <c r="P125" i="137"/>
  <c r="O125" i="137"/>
  <c r="Q125" i="137" s="1" a="1"/>
  <c r="Q125" i="137" s="1"/>
  <c r="P124" i="137"/>
  <c r="Q124" i="137" s="1" a="1"/>
  <c r="Q124" i="137" s="1"/>
  <c r="O124" i="137"/>
  <c r="P123" i="137"/>
  <c r="O123" i="137"/>
  <c r="Q123" i="137" s="1" a="1"/>
  <c r="Q123" i="137" s="1"/>
  <c r="P122" i="137"/>
  <c r="O122" i="137"/>
  <c r="Q122" i="137" s="1" a="1"/>
  <c r="Q122" i="137" s="1"/>
  <c r="P121" i="137"/>
  <c r="O121" i="137"/>
  <c r="Q121" i="137" s="1" a="1"/>
  <c r="Q121" i="137" s="1"/>
  <c r="P120" i="137"/>
  <c r="O120" i="137"/>
  <c r="Q120" i="137" s="1" a="1"/>
  <c r="Q120" i="137" s="1"/>
  <c r="Q119" i="137"/>
  <c r="P119" i="137"/>
  <c r="O119" i="137"/>
  <c r="Q119" i="137" s="1" a="1"/>
  <c r="Q118" i="137" a="1"/>
  <c r="Q118" i="137" s="1"/>
  <c r="P118" i="137"/>
  <c r="O118" i="137"/>
  <c r="Q117" i="137"/>
  <c r="P117" i="137"/>
  <c r="O117" i="137"/>
  <c r="Q117" i="137" s="1" a="1"/>
  <c r="P116" i="137"/>
  <c r="Q116" i="137" s="1" a="1"/>
  <c r="Q116" i="137" s="1"/>
  <c r="O116" i="137"/>
  <c r="P115" i="137"/>
  <c r="O115" i="137"/>
  <c r="Q115" i="137" s="1" a="1"/>
  <c r="Q115" i="137" s="1"/>
  <c r="P114" i="137"/>
  <c r="O114" i="137"/>
  <c r="Q114" i="137" s="1" a="1"/>
  <c r="Q114" i="137" s="1"/>
  <c r="P113" i="137"/>
  <c r="O113" i="137"/>
  <c r="Q113" i="137" s="1" a="1"/>
  <c r="Q113" i="137" s="1"/>
  <c r="P112" i="137"/>
  <c r="O112" i="137"/>
  <c r="Q112" i="137" s="1" a="1"/>
  <c r="Q112" i="137" s="1"/>
  <c r="Q111" i="137"/>
  <c r="P111" i="137"/>
  <c r="O111" i="137"/>
  <c r="Q111" i="137" s="1" a="1"/>
  <c r="Q110" i="137" a="1"/>
  <c r="Q110" i="137" s="1"/>
  <c r="P110" i="137"/>
  <c r="O110" i="137"/>
  <c r="Q109" i="137"/>
  <c r="P109" i="137"/>
  <c r="O109" i="137"/>
  <c r="Q109" i="137" s="1" a="1"/>
  <c r="P108" i="137"/>
  <c r="Q108" i="137" s="1" a="1"/>
  <c r="Q108" i="137" s="1"/>
  <c r="O108" i="137"/>
  <c r="P107" i="137"/>
  <c r="O107" i="137"/>
  <c r="Q107" i="137" s="1" a="1"/>
  <c r="Q107" i="137" s="1"/>
  <c r="P106" i="137"/>
  <c r="O106" i="137"/>
  <c r="Q106" i="137" s="1" a="1"/>
  <c r="Q106" i="137" s="1"/>
  <c r="P105" i="137"/>
  <c r="O105" i="137"/>
  <c r="Q105" i="137" s="1" a="1"/>
  <c r="Q105" i="137" s="1"/>
  <c r="P104" i="137"/>
  <c r="O104" i="137"/>
  <c r="Q104" i="137" s="1" a="1"/>
  <c r="Q104" i="137" s="1"/>
  <c r="Q103" i="137"/>
  <c r="P103" i="137"/>
  <c r="O103" i="137"/>
  <c r="Q103" i="137" s="1" a="1"/>
  <c r="Q102" i="137" a="1"/>
  <c r="Q102" i="137" s="1"/>
  <c r="P102" i="137"/>
  <c r="O102" i="137"/>
  <c r="P101" i="137"/>
  <c r="O101" i="137"/>
  <c r="P100" i="137"/>
  <c r="Q100" i="137" s="1" a="1"/>
  <c r="Q100" i="137" s="1"/>
  <c r="O100" i="137"/>
  <c r="P99" i="137"/>
  <c r="O99" i="137"/>
  <c r="Q99" i="137" s="1" a="1"/>
  <c r="Q99" i="137" s="1"/>
  <c r="P98" i="137"/>
  <c r="O98" i="137"/>
  <c r="Q98" i="137" s="1" a="1"/>
  <c r="Q98" i="137" s="1"/>
  <c r="P97" i="137"/>
  <c r="O97" i="137"/>
  <c r="Q97" i="137" s="1" a="1"/>
  <c r="Q97" i="137" s="1"/>
  <c r="P96" i="137"/>
  <c r="O96" i="137"/>
  <c r="Q96" i="137" s="1" a="1"/>
  <c r="Q96" i="137" s="1"/>
  <c r="Q95" i="137"/>
  <c r="P95" i="137"/>
  <c r="O95" i="137"/>
  <c r="Q95" i="137" s="1" a="1"/>
  <c r="Q94" i="137" a="1"/>
  <c r="Q94" i="137" s="1"/>
  <c r="P94" i="137"/>
  <c r="O94" i="137"/>
  <c r="P93" i="137"/>
  <c r="O93" i="137"/>
  <c r="P92" i="137"/>
  <c r="Q92" i="137" s="1" a="1"/>
  <c r="Q92" i="137" s="1"/>
  <c r="O92" i="137"/>
  <c r="P91" i="137"/>
  <c r="O91" i="137"/>
  <c r="Q91" i="137" s="1" a="1"/>
  <c r="Q91" i="137" s="1"/>
  <c r="P90" i="137"/>
  <c r="O90" i="137"/>
  <c r="Q90" i="137" s="1" a="1"/>
  <c r="Q90" i="137" s="1"/>
  <c r="P89" i="137"/>
  <c r="O89" i="137"/>
  <c r="Q89" i="137" s="1" a="1"/>
  <c r="Q89" i="137" s="1"/>
  <c r="P88" i="137"/>
  <c r="O88" i="137"/>
  <c r="Q88" i="137" s="1" a="1"/>
  <c r="Q88" i="137" s="1"/>
  <c r="Q87" i="137"/>
  <c r="P87" i="137"/>
  <c r="O87" i="137"/>
  <c r="Q87" i="137" s="1" a="1"/>
  <c r="Q86" i="137" a="1"/>
  <c r="Q86" i="137" s="1"/>
  <c r="P86" i="137"/>
  <c r="O86" i="137"/>
  <c r="P85" i="137"/>
  <c r="O85" i="137"/>
  <c r="P84" i="137"/>
  <c r="Q84" i="137" s="1" a="1"/>
  <c r="Q84" i="137" s="1"/>
  <c r="O84" i="137"/>
  <c r="P83" i="137"/>
  <c r="O83" i="137"/>
  <c r="Q83" i="137" s="1" a="1"/>
  <c r="Q83" i="137" s="1"/>
  <c r="P82" i="137"/>
  <c r="O82" i="137"/>
  <c r="Q82" i="137" s="1" a="1"/>
  <c r="Q82" i="137" s="1"/>
  <c r="P81" i="137"/>
  <c r="O81" i="137"/>
  <c r="Q81" i="137" s="1" a="1"/>
  <c r="Q81" i="137" s="1"/>
  <c r="P80" i="137"/>
  <c r="O80" i="137"/>
  <c r="Q80" i="137" s="1" a="1"/>
  <c r="Q80" i="137" s="1"/>
  <c r="Q79" i="137"/>
  <c r="P79" i="137"/>
  <c r="O79" i="137"/>
  <c r="Q79" i="137" s="1" a="1"/>
  <c r="Q78" i="137" a="1"/>
  <c r="Q78" i="137" s="1"/>
  <c r="P78" i="137"/>
  <c r="O78" i="137"/>
  <c r="P77" i="137"/>
  <c r="O77" i="137"/>
  <c r="P76" i="137"/>
  <c r="Q76" i="137" s="1" a="1"/>
  <c r="Q76" i="137" s="1"/>
  <c r="O76" i="137"/>
  <c r="P75" i="137"/>
  <c r="O75" i="137"/>
  <c r="Q75" i="137" s="1" a="1"/>
  <c r="Q75" i="137" s="1"/>
  <c r="P74" i="137"/>
  <c r="O74" i="137"/>
  <c r="Q74" i="137" s="1" a="1"/>
  <c r="Q74" i="137" s="1"/>
  <c r="P73" i="137"/>
  <c r="O73" i="137"/>
  <c r="Q73" i="137" s="1" a="1"/>
  <c r="Q73" i="137" s="1"/>
  <c r="P72" i="137"/>
  <c r="O72" i="137"/>
  <c r="Q72" i="137" s="1" a="1"/>
  <c r="Q72" i="137" s="1"/>
  <c r="Q71" i="137"/>
  <c r="P71" i="137"/>
  <c r="O71" i="137"/>
  <c r="Q71" i="137" s="1" a="1"/>
  <c r="Q70" i="137" a="1"/>
  <c r="Q70" i="137" s="1"/>
  <c r="P70" i="137"/>
  <c r="O70" i="137"/>
  <c r="P69" i="137"/>
  <c r="O69" i="137"/>
  <c r="P68" i="137"/>
  <c r="Q68" i="137" s="1" a="1"/>
  <c r="Q68" i="137" s="1"/>
  <c r="O68" i="137"/>
  <c r="P67" i="137"/>
  <c r="O67" i="137"/>
  <c r="Q67" i="137" s="1" a="1"/>
  <c r="Q67" i="137" s="1"/>
  <c r="P66" i="137"/>
  <c r="O66" i="137"/>
  <c r="Q66" i="137" s="1" a="1"/>
  <c r="Q66" i="137" s="1"/>
  <c r="P65" i="137"/>
  <c r="O65" i="137"/>
  <c r="Q65" i="137" s="1" a="1"/>
  <c r="Q65" i="137" s="1"/>
  <c r="P64" i="137"/>
  <c r="O64" i="137"/>
  <c r="Q64" i="137" s="1" a="1"/>
  <c r="Q64" i="137" s="1"/>
  <c r="Q63" i="137"/>
  <c r="P63" i="137"/>
  <c r="O63" i="137"/>
  <c r="Q63" i="137" s="1" a="1"/>
  <c r="Q62" i="137" a="1"/>
  <c r="Q62" i="137" s="1"/>
  <c r="P62" i="137"/>
  <c r="O62" i="137"/>
  <c r="P61" i="137"/>
  <c r="O61" i="137"/>
  <c r="P60" i="137"/>
  <c r="Q60" i="137" s="1" a="1"/>
  <c r="Q60" i="137" s="1"/>
  <c r="O60" i="137"/>
  <c r="P59" i="137"/>
  <c r="O59" i="137"/>
  <c r="Q59" i="137" s="1" a="1"/>
  <c r="Q59" i="137" s="1"/>
  <c r="P58" i="137"/>
  <c r="O58" i="137"/>
  <c r="Q58" i="137" s="1" a="1"/>
  <c r="Q58" i="137" s="1"/>
  <c r="P57" i="137"/>
  <c r="O57" i="137"/>
  <c r="Q57" i="137" s="1" a="1"/>
  <c r="Q57" i="137" s="1"/>
  <c r="P56" i="137"/>
  <c r="O56" i="137"/>
  <c r="Q56" i="137" s="1" a="1"/>
  <c r="Q56" i="137" s="1"/>
  <c r="Q55" i="137"/>
  <c r="P55" i="137"/>
  <c r="O55" i="137"/>
  <c r="Q55" i="137" s="1" a="1"/>
  <c r="Q54" i="137" a="1"/>
  <c r="Q54" i="137" s="1"/>
  <c r="P54" i="137"/>
  <c r="O54" i="137"/>
  <c r="P53" i="137"/>
  <c r="O53" i="137"/>
  <c r="P52" i="137"/>
  <c r="Q52" i="137" s="1" a="1"/>
  <c r="Q52" i="137" s="1"/>
  <c r="B62" i="138" s="1"/>
  <c r="O52" i="137"/>
  <c r="P51" i="137"/>
  <c r="O51" i="137"/>
  <c r="Q51" i="137" s="1" a="1"/>
  <c r="Q51" i="137" s="1"/>
  <c r="B61" i="138" s="1"/>
  <c r="P50" i="137"/>
  <c r="O50" i="137"/>
  <c r="Q50" i="137" s="1" a="1"/>
  <c r="Q50" i="137" s="1"/>
  <c r="B60" i="138" s="1"/>
  <c r="P49" i="137"/>
  <c r="O49" i="137"/>
  <c r="Q49" i="137" s="1" a="1"/>
  <c r="Q49" i="137" s="1"/>
  <c r="B59" i="138" s="1"/>
  <c r="P48" i="137"/>
  <c r="O48" i="137"/>
  <c r="Q48" i="137" s="1" a="1"/>
  <c r="Q48" i="137" s="1"/>
  <c r="B58" i="138" s="1"/>
  <c r="P47" i="137"/>
  <c r="O47" i="137"/>
  <c r="P46" i="137"/>
  <c r="O46" i="137"/>
  <c r="P45" i="137"/>
  <c r="O45" i="137"/>
  <c r="P44" i="137"/>
  <c r="Q44" i="137" s="1" a="1"/>
  <c r="Q44" i="137" s="1"/>
  <c r="B54" i="138" s="1"/>
  <c r="O44" i="137"/>
  <c r="P43" i="137"/>
  <c r="O43" i="137"/>
  <c r="P42" i="137"/>
  <c r="O42" i="137"/>
  <c r="Q42" i="137" s="1" a="1"/>
  <c r="Q42" i="137" s="1"/>
  <c r="B52" i="138" s="1"/>
  <c r="P41" i="137"/>
  <c r="O41" i="137"/>
  <c r="P40" i="137"/>
  <c r="O40" i="137"/>
  <c r="P39" i="137"/>
  <c r="O39" i="137"/>
  <c r="P38" i="137"/>
  <c r="O38" i="137"/>
  <c r="P37" i="137"/>
  <c r="O37" i="137"/>
  <c r="P36" i="137"/>
  <c r="Q36" i="137" s="1" a="1"/>
  <c r="Q36" i="137" s="1"/>
  <c r="B46" i="138" s="1"/>
  <c r="O36" i="137"/>
  <c r="P35" i="137"/>
  <c r="O35" i="137"/>
  <c r="P34" i="137"/>
  <c r="O34" i="137"/>
  <c r="Q34" i="137" s="1" a="1"/>
  <c r="Q34" i="137" s="1"/>
  <c r="B44" i="138" s="1"/>
  <c r="P33" i="137"/>
  <c r="O33" i="137"/>
  <c r="Q33" i="137" s="1" a="1"/>
  <c r="Q33" i="137" s="1"/>
  <c r="B43" i="138" s="1"/>
  <c r="P32" i="137"/>
  <c r="O32" i="137"/>
  <c r="Q32" i="137" s="1" a="1"/>
  <c r="Q32" i="137" s="1"/>
  <c r="B42" i="138" s="1"/>
  <c r="P31" i="137"/>
  <c r="O31" i="137"/>
  <c r="P30" i="137"/>
  <c r="O30" i="137"/>
  <c r="P29" i="137"/>
  <c r="O29" i="137"/>
  <c r="P28" i="137"/>
  <c r="Q28" i="137" s="1" a="1"/>
  <c r="Q28" i="137" s="1"/>
  <c r="B38" i="138" s="1"/>
  <c r="O28" i="137"/>
  <c r="P27" i="137"/>
  <c r="O27" i="137"/>
  <c r="P26" i="137"/>
  <c r="O26" i="137"/>
  <c r="Q26" i="137" s="1" a="1"/>
  <c r="Q26" i="137" s="1"/>
  <c r="B36" i="138" s="1"/>
  <c r="P25" i="137"/>
  <c r="O25" i="137"/>
  <c r="Q25" i="137" s="1" a="1"/>
  <c r="Q25" i="137" s="1"/>
  <c r="B35" i="138" s="1"/>
  <c r="P24" i="137"/>
  <c r="O24" i="137"/>
  <c r="Q24" i="137" s="1" a="1"/>
  <c r="Q24" i="137" s="1"/>
  <c r="B34" i="138" s="1"/>
  <c r="P23" i="137"/>
  <c r="O23" i="137"/>
  <c r="P22" i="137"/>
  <c r="O22" i="137"/>
  <c r="Q22" i="137" s="1" a="1"/>
  <c r="Q22" i="137" s="1"/>
  <c r="B32" i="138" s="1"/>
  <c r="P21" i="137"/>
  <c r="O21" i="137"/>
  <c r="Q21" i="137" s="1" a="1"/>
  <c r="Q21" i="137" s="1"/>
  <c r="B31" i="138" s="1"/>
  <c r="P20" i="137"/>
  <c r="O20" i="137"/>
  <c r="Q20" i="137" s="1" a="1"/>
  <c r="Q20" i="137" s="1"/>
  <c r="B30" i="138" s="1"/>
  <c r="P19" i="137"/>
  <c r="O19" i="137"/>
  <c r="Q19" i="137" s="1" a="1"/>
  <c r="Q19" i="137" s="1"/>
  <c r="B29" i="138" s="1"/>
  <c r="P18" i="137"/>
  <c r="O18" i="137"/>
  <c r="Q18" i="137" s="1" a="1"/>
  <c r="Q18" i="137" s="1"/>
  <c r="B28" i="138" s="1"/>
  <c r="P17" i="137"/>
  <c r="O17" i="137"/>
  <c r="Q17" i="137" s="1" a="1"/>
  <c r="Q17" i="137" s="1"/>
  <c r="B27" i="138" s="1"/>
  <c r="L17" i="137"/>
  <c r="K17" i="137"/>
  <c r="J17" i="137"/>
  <c r="I17" i="137"/>
  <c r="Q46" i="137" s="1" a="1"/>
  <c r="Q46" i="137" s="1"/>
  <c r="B56" i="138" s="1"/>
  <c r="C17" i="137"/>
  <c r="B17" i="137"/>
  <c r="H17" i="137" s="1"/>
  <c r="P16" i="137"/>
  <c r="O16" i="137"/>
  <c r="Q16" i="137" s="1" a="1"/>
  <c r="Q16" i="137" s="1"/>
  <c r="B26" i="138" s="1"/>
  <c r="L16" i="137"/>
  <c r="J16" i="137"/>
  <c r="E16" i="137"/>
  <c r="K16" i="137" s="1"/>
  <c r="D16" i="137"/>
  <c r="C16" i="137"/>
  <c r="I16" i="137" s="1"/>
  <c r="B16" i="137"/>
  <c r="H16" i="137" s="1"/>
  <c r="P15" i="137"/>
  <c r="O15" i="137"/>
  <c r="L15" i="137"/>
  <c r="J15" i="137"/>
  <c r="I15" i="137"/>
  <c r="E15" i="137"/>
  <c r="K15" i="137" s="1"/>
  <c r="Q38" i="137" s="1" a="1"/>
  <c r="Q38" i="137" s="1"/>
  <c r="B48" i="138" s="1"/>
  <c r="D15" i="137"/>
  <c r="C15" i="137"/>
  <c r="P14" i="137"/>
  <c r="Q14" i="137" s="1" a="1"/>
  <c r="Q14" i="137" s="1"/>
  <c r="B24" i="138" s="1"/>
  <c r="O14" i="137"/>
  <c r="L14" i="137"/>
  <c r="K14" i="137"/>
  <c r="J14" i="137"/>
  <c r="C14" i="137"/>
  <c r="I14" i="137" s="1"/>
  <c r="B14" i="137"/>
  <c r="H14" i="137" s="1"/>
  <c r="Q30" i="137" s="1" a="1"/>
  <c r="Q30" i="137" s="1"/>
  <c r="B40" i="138" s="1"/>
  <c r="P13" i="137"/>
  <c r="O13" i="137"/>
  <c r="Q13" i="137" s="1" a="1"/>
  <c r="Q13" i="137" s="1"/>
  <c r="B23" i="138" s="1"/>
  <c r="L13" i="137"/>
  <c r="K13" i="137"/>
  <c r="J13" i="137"/>
  <c r="I13" i="137"/>
  <c r="C13" i="137"/>
  <c r="B13" i="137"/>
  <c r="H13" i="137" s="1"/>
  <c r="P12" i="137"/>
  <c r="O12" i="137"/>
  <c r="Q12" i="137" s="1" a="1"/>
  <c r="Q12" i="137" s="1"/>
  <c r="B22" i="138" s="1"/>
  <c r="L12" i="137"/>
  <c r="J12" i="137"/>
  <c r="E12" i="137"/>
  <c r="K12" i="137" s="1"/>
  <c r="D12" i="137"/>
  <c r="C12" i="137"/>
  <c r="I12" i="137" s="1"/>
  <c r="B12" i="137"/>
  <c r="H12" i="137" s="1"/>
  <c r="P11" i="137"/>
  <c r="O11" i="137"/>
  <c r="Q11" i="137" s="1" a="1"/>
  <c r="Q11" i="137" s="1"/>
  <c r="B21" i="138" s="1"/>
  <c r="L11" i="137"/>
  <c r="J11" i="137"/>
  <c r="I11" i="137"/>
  <c r="E11" i="137"/>
  <c r="K11" i="137" s="1"/>
  <c r="D11" i="137"/>
  <c r="C11" i="137"/>
  <c r="P10" i="137"/>
  <c r="O10" i="137"/>
  <c r="L10" i="137"/>
  <c r="I10" i="137"/>
  <c r="E10" i="137"/>
  <c r="K10" i="137" s="1"/>
  <c r="D10" i="137"/>
  <c r="J10" i="137" s="1"/>
  <c r="C10" i="137"/>
  <c r="B10" i="137"/>
  <c r="B15" i="137" s="1"/>
  <c r="H15" i="137" s="1"/>
  <c r="C39" i="110"/>
  <c r="C40" i="110"/>
  <c r="C41" i="110"/>
  <c r="C42" i="110"/>
  <c r="C43" i="110"/>
  <c r="C44" i="110"/>
  <c r="C45" i="110"/>
  <c r="C46" i="110"/>
  <c r="C47" i="110"/>
  <c r="C48" i="110"/>
  <c r="C49" i="110"/>
  <c r="C50" i="110"/>
  <c r="C51" i="110"/>
  <c r="C52" i="110"/>
  <c r="C53" i="110"/>
  <c r="C54" i="110"/>
  <c r="C55" i="110"/>
  <c r="C56" i="110"/>
  <c r="C57" i="110"/>
  <c r="C58" i="110"/>
  <c r="C59" i="110"/>
  <c r="C25" i="110"/>
  <c r="C26" i="110"/>
  <c r="L31" i="108"/>
  <c r="L30" i="108"/>
  <c r="L29" i="108"/>
  <c r="L28" i="108"/>
  <c r="L27" i="108"/>
  <c r="L8" i="108"/>
  <c r="C38" i="110" s="1"/>
  <c r="L3" i="108"/>
  <c r="B26" i="109"/>
  <c r="E26" i="109" s="1"/>
  <c r="C103" i="110" s="1"/>
  <c r="E34" i="109"/>
  <c r="C111" i="110" s="1"/>
  <c r="B25" i="109"/>
  <c r="E25" i="109" s="1"/>
  <c r="C102" i="110" s="1"/>
  <c r="B31" i="109"/>
  <c r="E31" i="109" s="1"/>
  <c r="C108" i="110" s="1"/>
  <c r="B28" i="109"/>
  <c r="E28" i="109" s="1"/>
  <c r="C105" i="110" s="1"/>
  <c r="I15" i="12"/>
  <c r="C15" i="73" s="1"/>
  <c r="C68" i="136"/>
  <c r="C42" i="136"/>
  <c r="C43" i="136"/>
  <c r="C44" i="136"/>
  <c r="C45" i="136"/>
  <c r="C46" i="136"/>
  <c r="C47" i="136"/>
  <c r="C48" i="136"/>
  <c r="C49" i="136"/>
  <c r="C50" i="136"/>
  <c r="C51" i="136"/>
  <c r="C52" i="136"/>
  <c r="C53" i="136"/>
  <c r="C54" i="136"/>
  <c r="C55" i="136"/>
  <c r="C56" i="136"/>
  <c r="C57" i="136"/>
  <c r="C58" i="136"/>
  <c r="C59" i="136"/>
  <c r="C60" i="136"/>
  <c r="C61" i="136"/>
  <c r="C62" i="136"/>
  <c r="C63" i="136"/>
  <c r="C64" i="136"/>
  <c r="C65" i="136"/>
  <c r="C66" i="136"/>
  <c r="C67" i="136"/>
  <c r="E12" i="135"/>
  <c r="E13" i="135"/>
  <c r="E14" i="135"/>
  <c r="E15" i="135"/>
  <c r="E16" i="135"/>
  <c r="E17" i="135"/>
  <c r="E18" i="135"/>
  <c r="E19" i="135"/>
  <c r="E20" i="135"/>
  <c r="E21" i="135"/>
  <c r="E22" i="135"/>
  <c r="E23" i="135"/>
  <c r="E24" i="135"/>
  <c r="E25" i="135"/>
  <c r="E26" i="135"/>
  <c r="E27" i="135"/>
  <c r="E28" i="135"/>
  <c r="E29" i="135"/>
  <c r="E30" i="135"/>
  <c r="E31" i="135"/>
  <c r="E32" i="135"/>
  <c r="E33" i="135"/>
  <c r="E34" i="135"/>
  <c r="E35" i="135"/>
  <c r="E36" i="135"/>
  <c r="E37" i="135"/>
  <c r="B33" i="135"/>
  <c r="B32" i="135"/>
  <c r="B18" i="135"/>
  <c r="B19" i="135"/>
  <c r="B17" i="135"/>
  <c r="B14" i="135"/>
  <c r="B15" i="135"/>
  <c r="B13" i="135"/>
  <c r="B11" i="135"/>
  <c r="E11" i="135" s="1"/>
  <c r="B12" i="135"/>
  <c r="B10" i="135"/>
  <c r="C41" i="133"/>
  <c r="C42" i="133"/>
  <c r="C43" i="133"/>
  <c r="C44" i="133"/>
  <c r="C45" i="133"/>
  <c r="C46" i="133"/>
  <c r="C47" i="133"/>
  <c r="C48" i="133"/>
  <c r="C49" i="133"/>
  <c r="C50" i="133"/>
  <c r="C51" i="133"/>
  <c r="C11" i="133"/>
  <c r="C12" i="133"/>
  <c r="C13" i="133"/>
  <c r="C14" i="133"/>
  <c r="C15" i="133"/>
  <c r="C16" i="133"/>
  <c r="C17" i="133"/>
  <c r="C18" i="133"/>
  <c r="C19" i="133"/>
  <c r="C41" i="130"/>
  <c r="C42" i="130"/>
  <c r="C43" i="130"/>
  <c r="C44" i="130"/>
  <c r="C45" i="130"/>
  <c r="C46" i="130"/>
  <c r="C47" i="130"/>
  <c r="C48" i="130"/>
  <c r="C49" i="130"/>
  <c r="C50" i="130"/>
  <c r="C51" i="130"/>
  <c r="C52" i="130"/>
  <c r="C53" i="130"/>
  <c r="C54" i="130"/>
  <c r="C12" i="130"/>
  <c r="C13" i="130"/>
  <c r="C14" i="130"/>
  <c r="C15" i="130"/>
  <c r="C16" i="130"/>
  <c r="C17" i="130"/>
  <c r="C18" i="130"/>
  <c r="C19" i="130"/>
  <c r="E11" i="129"/>
  <c r="E12" i="129"/>
  <c r="E13" i="129"/>
  <c r="E14" i="129"/>
  <c r="E15" i="129"/>
  <c r="E16" i="129"/>
  <c r="E17" i="129"/>
  <c r="E18" i="129"/>
  <c r="E19" i="129"/>
  <c r="E20" i="129"/>
  <c r="E21" i="129"/>
  <c r="E22" i="129"/>
  <c r="E23" i="129"/>
  <c r="B19" i="129"/>
  <c r="B18" i="129"/>
  <c r="E24" i="129"/>
  <c r="B17" i="129"/>
  <c r="B16" i="129"/>
  <c r="B14" i="129"/>
  <c r="B13" i="129"/>
  <c r="B30" i="109"/>
  <c r="E30" i="109" s="1"/>
  <c r="C107" i="110" s="1"/>
  <c r="B29" i="109"/>
  <c r="E29" i="109" s="1"/>
  <c r="C106" i="110" s="1"/>
  <c r="C41" i="120"/>
  <c r="C42" i="120"/>
  <c r="C43" i="120"/>
  <c r="C44" i="120"/>
  <c r="C45" i="120"/>
  <c r="C46" i="120"/>
  <c r="C47" i="120"/>
  <c r="C48" i="120"/>
  <c r="C49" i="120"/>
  <c r="C50" i="120"/>
  <c r="E11" i="119"/>
  <c r="E12" i="119"/>
  <c r="E13" i="119"/>
  <c r="E14" i="119"/>
  <c r="E15" i="119"/>
  <c r="E16" i="119"/>
  <c r="E17" i="119"/>
  <c r="E18" i="119"/>
  <c r="E19" i="119"/>
  <c r="B14" i="119"/>
  <c r="B13" i="119"/>
  <c r="B11" i="119"/>
  <c r="B10" i="119"/>
  <c r="C42" i="123"/>
  <c r="C43" i="123"/>
  <c r="C44" i="123"/>
  <c r="C45" i="123"/>
  <c r="C46" i="123"/>
  <c r="C47" i="123"/>
  <c r="E10" i="122"/>
  <c r="C40" i="123" s="1"/>
  <c r="E11" i="122"/>
  <c r="E12" i="122"/>
  <c r="E13" i="122"/>
  <c r="E14" i="122"/>
  <c r="E15" i="122"/>
  <c r="E16" i="122"/>
  <c r="E17" i="122"/>
  <c r="E18" i="122"/>
  <c r="E19" i="122"/>
  <c r="B14" i="122"/>
  <c r="B13" i="122"/>
  <c r="B11" i="122"/>
  <c r="B10" i="122"/>
  <c r="C41" i="126"/>
  <c r="C42" i="126"/>
  <c r="C43" i="126"/>
  <c r="C44" i="126"/>
  <c r="C45" i="126"/>
  <c r="C46" i="126"/>
  <c r="C47" i="126"/>
  <c r="E11" i="125"/>
  <c r="E12" i="125"/>
  <c r="E13" i="125"/>
  <c r="E14" i="125"/>
  <c r="E15" i="125"/>
  <c r="E16" i="125"/>
  <c r="E17" i="125"/>
  <c r="E18" i="125"/>
  <c r="B11" i="125"/>
  <c r="B10" i="125"/>
  <c r="C41" i="117"/>
  <c r="C42" i="117"/>
  <c r="C43" i="117"/>
  <c r="C44" i="117"/>
  <c r="C45" i="117"/>
  <c r="C46" i="117"/>
  <c r="C47" i="117"/>
  <c r="C48" i="117"/>
  <c r="C49" i="117"/>
  <c r="C50" i="117"/>
  <c r="C51" i="117"/>
  <c r="C52" i="117"/>
  <c r="C53" i="117"/>
  <c r="C39" i="117"/>
  <c r="C40" i="117"/>
  <c r="E16" i="116"/>
  <c r="E17" i="116"/>
  <c r="E18" i="116"/>
  <c r="E19" i="116"/>
  <c r="E10" i="116"/>
  <c r="E11" i="116"/>
  <c r="E12" i="116"/>
  <c r="E13" i="116"/>
  <c r="B19" i="116"/>
  <c r="B16" i="116"/>
  <c r="B17" i="116"/>
  <c r="B18" i="116"/>
  <c r="B15" i="116"/>
  <c r="B11" i="116"/>
  <c r="B12" i="116"/>
  <c r="B13" i="116"/>
  <c r="B10" i="116"/>
  <c r="B9" i="116"/>
  <c r="C7" i="116" s="1"/>
  <c r="E7" i="116" s="1"/>
  <c r="C36" i="117" s="1"/>
  <c r="C47" i="113"/>
  <c r="C48" i="113"/>
  <c r="C49" i="113"/>
  <c r="E19" i="112"/>
  <c r="E11" i="112"/>
  <c r="E12" i="112"/>
  <c r="E13" i="112"/>
  <c r="E14" i="112"/>
  <c r="E15" i="112"/>
  <c r="E16" i="112"/>
  <c r="E17" i="112"/>
  <c r="E18" i="112"/>
  <c r="B15" i="112"/>
  <c r="B16" i="112"/>
  <c r="B14" i="112"/>
  <c r="C44" i="113"/>
  <c r="B24" i="109"/>
  <c r="E24" i="109" s="1"/>
  <c r="C101" i="110" s="1"/>
  <c r="C27" i="136"/>
  <c r="C28" i="136"/>
  <c r="C12" i="136"/>
  <c r="C13" i="136"/>
  <c r="C17" i="136"/>
  <c r="C18" i="136"/>
  <c r="C19" i="136"/>
  <c r="C23" i="136"/>
  <c r="C24" i="136"/>
  <c r="C25" i="136"/>
  <c r="C26" i="136"/>
  <c r="B16" i="135"/>
  <c r="B20" i="135"/>
  <c r="B21" i="135"/>
  <c r="B22" i="135"/>
  <c r="B23" i="135"/>
  <c r="B24" i="135"/>
  <c r="B25" i="135"/>
  <c r="B26" i="135"/>
  <c r="B27" i="135"/>
  <c r="B28" i="135"/>
  <c r="B29" i="135"/>
  <c r="B30" i="135"/>
  <c r="B31" i="135"/>
  <c r="B34" i="135"/>
  <c r="B35" i="135"/>
  <c r="B36" i="135"/>
  <c r="B37" i="135"/>
  <c r="B38" i="135"/>
  <c r="E38" i="135" s="1"/>
  <c r="B39" i="135"/>
  <c r="B40" i="135"/>
  <c r="B41" i="135"/>
  <c r="B42" i="135"/>
  <c r="B43" i="135"/>
  <c r="I10" i="134"/>
  <c r="C10" i="136" s="1"/>
  <c r="I11" i="134"/>
  <c r="C11" i="136" s="1"/>
  <c r="I12" i="134"/>
  <c r="I13" i="134"/>
  <c r="I14" i="134"/>
  <c r="C14" i="136" s="1"/>
  <c r="I15" i="134"/>
  <c r="C15" i="136" s="1"/>
  <c r="I16" i="134"/>
  <c r="C16" i="136" s="1"/>
  <c r="I17" i="134"/>
  <c r="I18" i="134"/>
  <c r="I19" i="134"/>
  <c r="I20" i="134"/>
  <c r="C20" i="136" s="1"/>
  <c r="I21" i="134"/>
  <c r="C21" i="136" s="1"/>
  <c r="I22" i="134"/>
  <c r="C22" i="136" s="1"/>
  <c r="I23" i="134"/>
  <c r="I24" i="134"/>
  <c r="I25" i="134"/>
  <c r="I26" i="134"/>
  <c r="I27" i="134"/>
  <c r="I28" i="134"/>
  <c r="I29" i="134"/>
  <c r="I30" i="134"/>
  <c r="I31" i="134"/>
  <c r="I39" i="134"/>
  <c r="I40" i="134"/>
  <c r="I41" i="134"/>
  <c r="I42" i="134"/>
  <c r="I43" i="134"/>
  <c r="I44" i="134"/>
  <c r="I45" i="134"/>
  <c r="I46" i="134"/>
  <c r="I47" i="134"/>
  <c r="I48" i="134"/>
  <c r="I49" i="134"/>
  <c r="I50" i="134"/>
  <c r="I51" i="134"/>
  <c r="I52" i="134"/>
  <c r="I53" i="134"/>
  <c r="I54" i="134"/>
  <c r="I55" i="134"/>
  <c r="I56" i="134"/>
  <c r="I57" i="134"/>
  <c r="I58" i="134"/>
  <c r="I59" i="134"/>
  <c r="I60" i="134"/>
  <c r="I61" i="134"/>
  <c r="I62" i="134"/>
  <c r="B37" i="134"/>
  <c r="B38" i="134"/>
  <c r="B39" i="134"/>
  <c r="B40" i="134"/>
  <c r="B41" i="134"/>
  <c r="B42" i="134"/>
  <c r="B43" i="134"/>
  <c r="B44" i="134"/>
  <c r="B45" i="134"/>
  <c r="B46" i="134"/>
  <c r="B47" i="134"/>
  <c r="B48" i="134"/>
  <c r="B49" i="134"/>
  <c r="B50" i="134"/>
  <c r="B51" i="134"/>
  <c r="B52" i="134"/>
  <c r="B53" i="134"/>
  <c r="B54" i="134"/>
  <c r="B55" i="134"/>
  <c r="B56" i="134"/>
  <c r="B57" i="134"/>
  <c r="B58" i="134"/>
  <c r="B59" i="134"/>
  <c r="B60" i="134"/>
  <c r="B61" i="134"/>
  <c r="B62" i="134"/>
  <c r="C32" i="136"/>
  <c r="C31" i="136"/>
  <c r="C2" i="136"/>
  <c r="C1" i="136"/>
  <c r="E10" i="135"/>
  <c r="C41" i="136" s="1"/>
  <c r="E9" i="135"/>
  <c r="C40" i="136" s="1"/>
  <c r="B9" i="135"/>
  <c r="C7" i="135" s="1"/>
  <c r="E7" i="135" s="1"/>
  <c r="C37" i="136" s="1"/>
  <c r="E8" i="135"/>
  <c r="C38" i="136" s="1"/>
  <c r="E6" i="135"/>
  <c r="C36" i="136" s="1"/>
  <c r="E5" i="135"/>
  <c r="C35" i="136" s="1"/>
  <c r="E4" i="135"/>
  <c r="C34" i="136" s="1"/>
  <c r="E3" i="135"/>
  <c r="C33" i="136" s="1"/>
  <c r="I38" i="134"/>
  <c r="B36" i="134"/>
  <c r="I9" i="134"/>
  <c r="C9" i="136" s="1"/>
  <c r="I8" i="134"/>
  <c r="C8" i="136" s="1"/>
  <c r="I7" i="134"/>
  <c r="C7" i="136" s="1"/>
  <c r="I6" i="134"/>
  <c r="C6" i="136" s="1"/>
  <c r="I5" i="134"/>
  <c r="C5" i="136" s="1"/>
  <c r="I4" i="134"/>
  <c r="C4" i="136" s="1"/>
  <c r="I3" i="134"/>
  <c r="C3" i="136" s="1"/>
  <c r="B13" i="132"/>
  <c r="B14" i="132"/>
  <c r="B15" i="132"/>
  <c r="B16" i="132"/>
  <c r="B17" i="132"/>
  <c r="E17" i="132" s="1"/>
  <c r="B18" i="132"/>
  <c r="E18" i="132" s="1"/>
  <c r="B19" i="132"/>
  <c r="B20" i="132"/>
  <c r="E20" i="132" s="1"/>
  <c r="B21" i="132"/>
  <c r="B22" i="132"/>
  <c r="I18" i="131"/>
  <c r="I11" i="131"/>
  <c r="I28" i="131"/>
  <c r="I29" i="131"/>
  <c r="I30" i="131"/>
  <c r="I31" i="131"/>
  <c r="I32" i="131"/>
  <c r="I33" i="131"/>
  <c r="I34" i="131"/>
  <c r="I35" i="131"/>
  <c r="I36" i="131"/>
  <c r="I37" i="131"/>
  <c r="I19" i="131"/>
  <c r="I12" i="131"/>
  <c r="B34" i="131"/>
  <c r="B35" i="131"/>
  <c r="B36" i="131"/>
  <c r="B37" i="131"/>
  <c r="C33" i="133"/>
  <c r="C31" i="133"/>
  <c r="C30" i="133"/>
  <c r="C2" i="133"/>
  <c r="C1" i="133"/>
  <c r="E21" i="132"/>
  <c r="E19" i="132"/>
  <c r="E16" i="132"/>
  <c r="E15" i="132"/>
  <c r="E14" i="132"/>
  <c r="E13" i="132"/>
  <c r="B12" i="132"/>
  <c r="E12" i="132" s="1"/>
  <c r="B11" i="132"/>
  <c r="E11" i="132" s="1"/>
  <c r="B10" i="132"/>
  <c r="E10" i="132" s="1"/>
  <c r="C40" i="133" s="1"/>
  <c r="E9" i="132"/>
  <c r="C39" i="133" s="1"/>
  <c r="B9" i="132"/>
  <c r="C7" i="132" s="1"/>
  <c r="E7" i="132" s="1"/>
  <c r="C36" i="133" s="1"/>
  <c r="E8" i="132"/>
  <c r="C37" i="133" s="1"/>
  <c r="E6" i="132"/>
  <c r="C35" i="133" s="1"/>
  <c r="E5" i="132"/>
  <c r="C34" i="133" s="1"/>
  <c r="E4" i="132"/>
  <c r="E3" i="132"/>
  <c r="C32" i="133" s="1"/>
  <c r="B33" i="131"/>
  <c r="B32" i="131"/>
  <c r="B31" i="131"/>
  <c r="B30" i="131"/>
  <c r="B29" i="131"/>
  <c r="B28" i="131"/>
  <c r="I27" i="131"/>
  <c r="B27" i="131"/>
  <c r="B26" i="131"/>
  <c r="I17" i="131"/>
  <c r="I16" i="131"/>
  <c r="I15" i="131"/>
  <c r="I14" i="131"/>
  <c r="I13" i="131"/>
  <c r="I10" i="131"/>
  <c r="C10" i="133" s="1"/>
  <c r="I9" i="131"/>
  <c r="C9" i="133" s="1"/>
  <c r="I8" i="131"/>
  <c r="C8" i="133" s="1"/>
  <c r="I7" i="131"/>
  <c r="C7" i="133" s="1"/>
  <c r="I6" i="131"/>
  <c r="C6" i="133" s="1"/>
  <c r="I5" i="131"/>
  <c r="C5" i="133" s="1"/>
  <c r="I4" i="131"/>
  <c r="C4" i="133" s="1"/>
  <c r="I3" i="131"/>
  <c r="C3" i="133" s="1"/>
  <c r="I15" i="128"/>
  <c r="I16" i="128"/>
  <c r="I17" i="128"/>
  <c r="I18" i="128"/>
  <c r="I19" i="128"/>
  <c r="B22" i="129"/>
  <c r="B23" i="129"/>
  <c r="B11" i="129"/>
  <c r="B12" i="129"/>
  <c r="B15" i="129"/>
  <c r="B20" i="129"/>
  <c r="B21" i="129"/>
  <c r="I9" i="128"/>
  <c r="C9" i="130" s="1"/>
  <c r="I8" i="128"/>
  <c r="C8" i="130" s="1"/>
  <c r="I6" i="128"/>
  <c r="C6" i="130" s="1"/>
  <c r="I10" i="128"/>
  <c r="C10" i="130" s="1"/>
  <c r="B26" i="128"/>
  <c r="B33" i="128"/>
  <c r="B34" i="128"/>
  <c r="I28" i="128"/>
  <c r="I29" i="128"/>
  <c r="I30" i="128"/>
  <c r="I31" i="128"/>
  <c r="I32" i="128"/>
  <c r="I34" i="128"/>
  <c r="I35" i="128"/>
  <c r="I36" i="128"/>
  <c r="B30" i="128"/>
  <c r="B31" i="128"/>
  <c r="B32" i="128"/>
  <c r="C31" i="130"/>
  <c r="C30" i="130"/>
  <c r="C2" i="130"/>
  <c r="C1" i="130"/>
  <c r="B10" i="129"/>
  <c r="E10" i="129" s="1"/>
  <c r="C40" i="130" s="1"/>
  <c r="E9" i="129"/>
  <c r="C39" i="130" s="1"/>
  <c r="B9" i="129"/>
  <c r="C7" i="129" s="1"/>
  <c r="E7" i="129" s="1"/>
  <c r="C36" i="130" s="1"/>
  <c r="E8" i="129"/>
  <c r="C37" i="130" s="1"/>
  <c r="E6" i="129"/>
  <c r="C35" i="130" s="1"/>
  <c r="E5" i="129"/>
  <c r="C34" i="130" s="1"/>
  <c r="E4" i="129"/>
  <c r="C33" i="130" s="1"/>
  <c r="E3" i="129"/>
  <c r="C32" i="130" s="1"/>
  <c r="B29" i="128"/>
  <c r="B28" i="128"/>
  <c r="I27" i="128"/>
  <c r="B27" i="128"/>
  <c r="I14" i="128"/>
  <c r="I13" i="128"/>
  <c r="I12" i="128"/>
  <c r="I11" i="128"/>
  <c r="C11" i="130" s="1"/>
  <c r="I7" i="128"/>
  <c r="C7" i="130" s="1"/>
  <c r="I5" i="128"/>
  <c r="C5" i="130" s="1"/>
  <c r="I4" i="128"/>
  <c r="C4" i="130" s="1"/>
  <c r="I3" i="128"/>
  <c r="C3" i="130" s="1"/>
  <c r="J10" i="108"/>
  <c r="C10" i="110" s="1"/>
  <c r="B11" i="109"/>
  <c r="E11" i="109" s="1"/>
  <c r="C88" i="110" s="1"/>
  <c r="B12" i="109"/>
  <c r="E12" i="109" s="1"/>
  <c r="C89" i="110" s="1"/>
  <c r="B13" i="109"/>
  <c r="E13" i="109" s="1"/>
  <c r="C90" i="110" s="1"/>
  <c r="B14" i="109"/>
  <c r="E14" i="109" s="1"/>
  <c r="C91" i="110" s="1"/>
  <c r="B15" i="109"/>
  <c r="E15" i="109" s="1"/>
  <c r="C92" i="110" s="1"/>
  <c r="B16" i="109"/>
  <c r="E16" i="109" s="1"/>
  <c r="C93" i="110" s="1"/>
  <c r="B17" i="109"/>
  <c r="E17" i="109" s="1"/>
  <c r="C94" i="110" s="1"/>
  <c r="B18" i="109"/>
  <c r="E18" i="109" s="1"/>
  <c r="C95" i="110" s="1"/>
  <c r="B19" i="109"/>
  <c r="E19" i="109" s="1"/>
  <c r="C96" i="110" s="1"/>
  <c r="B20" i="109"/>
  <c r="E20" i="109" s="1"/>
  <c r="C97" i="110" s="1"/>
  <c r="B21" i="109"/>
  <c r="E21" i="109" s="1"/>
  <c r="C98" i="110" s="1"/>
  <c r="B22" i="109"/>
  <c r="E22" i="109" s="1"/>
  <c r="C99" i="110" s="1"/>
  <c r="B23" i="109"/>
  <c r="E23" i="109" s="1"/>
  <c r="C100" i="110" s="1"/>
  <c r="B27" i="109"/>
  <c r="E27" i="109" s="1"/>
  <c r="C104" i="110" s="1"/>
  <c r="B32" i="109"/>
  <c r="E32" i="109" s="1"/>
  <c r="C109" i="110" s="1"/>
  <c r="B33" i="109"/>
  <c r="E33" i="109" s="1"/>
  <c r="C110" i="110" s="1"/>
  <c r="B34" i="109"/>
  <c r="B35" i="109"/>
  <c r="E35" i="109" s="1"/>
  <c r="C112" i="110" s="1"/>
  <c r="B36" i="109"/>
  <c r="B37" i="109"/>
  <c r="B38" i="109"/>
  <c r="B39" i="109"/>
  <c r="B40" i="109"/>
  <c r="B41" i="109"/>
  <c r="B42" i="109"/>
  <c r="B43" i="109"/>
  <c r="B44" i="109"/>
  <c r="B45" i="109"/>
  <c r="B46" i="109"/>
  <c r="B47" i="109"/>
  <c r="I10" i="124"/>
  <c r="C10" i="126" s="1"/>
  <c r="I8" i="124"/>
  <c r="C8" i="126" s="1"/>
  <c r="C31" i="126"/>
  <c r="C30" i="126"/>
  <c r="C2" i="126"/>
  <c r="C1" i="126"/>
  <c r="E19" i="125"/>
  <c r="B16" i="125"/>
  <c r="B15" i="125"/>
  <c r="B14" i="125"/>
  <c r="B13" i="125"/>
  <c r="B12" i="125"/>
  <c r="E10" i="125"/>
  <c r="C40" i="126" s="1"/>
  <c r="E9" i="125"/>
  <c r="C39" i="126" s="1"/>
  <c r="B9" i="125"/>
  <c r="C7" i="125" s="1"/>
  <c r="E7" i="125" s="1"/>
  <c r="C36" i="126" s="1"/>
  <c r="E8" i="125"/>
  <c r="C37" i="126" s="1"/>
  <c r="E6" i="125"/>
  <c r="C35" i="126" s="1"/>
  <c r="E5" i="125"/>
  <c r="C34" i="126" s="1"/>
  <c r="E4" i="125"/>
  <c r="C33" i="126" s="1"/>
  <c r="E3" i="125"/>
  <c r="C32" i="126" s="1"/>
  <c r="I29" i="124"/>
  <c r="B29" i="124"/>
  <c r="I28" i="124"/>
  <c r="B28" i="124"/>
  <c r="I27" i="124"/>
  <c r="B27" i="124"/>
  <c r="B21" i="124"/>
  <c r="I14" i="124"/>
  <c r="C14" i="126" s="1"/>
  <c r="I13" i="124"/>
  <c r="C13" i="126" s="1"/>
  <c r="I12" i="124"/>
  <c r="C12" i="126" s="1"/>
  <c r="I11" i="124"/>
  <c r="C11" i="126" s="1"/>
  <c r="I9" i="124"/>
  <c r="C9" i="126" s="1"/>
  <c r="I7" i="124"/>
  <c r="C7" i="126" s="1"/>
  <c r="I6" i="124"/>
  <c r="C6" i="126" s="1"/>
  <c r="I5" i="124"/>
  <c r="C5" i="126" s="1"/>
  <c r="I4" i="124"/>
  <c r="C4" i="126" s="1"/>
  <c r="I3" i="124"/>
  <c r="C3" i="126" s="1"/>
  <c r="J12" i="108"/>
  <c r="C12" i="110" s="1"/>
  <c r="J13" i="108"/>
  <c r="C13" i="110" s="1"/>
  <c r="J14" i="108"/>
  <c r="C14" i="110" s="1"/>
  <c r="J15" i="108"/>
  <c r="C15" i="110" s="1"/>
  <c r="J16" i="108"/>
  <c r="C16" i="110" s="1"/>
  <c r="J17" i="108"/>
  <c r="C17" i="110" s="1"/>
  <c r="J18" i="108"/>
  <c r="C18" i="110" s="1"/>
  <c r="J19" i="108"/>
  <c r="C19" i="110" s="1"/>
  <c r="J20" i="108"/>
  <c r="C20" i="110" s="1"/>
  <c r="J21" i="108"/>
  <c r="C21" i="110" s="1"/>
  <c r="J22" i="108"/>
  <c r="C22" i="110" s="1"/>
  <c r="J23" i="108"/>
  <c r="C23" i="110" s="1"/>
  <c r="J24" i="108"/>
  <c r="C24" i="110" s="1"/>
  <c r="J25" i="108"/>
  <c r="I11" i="121"/>
  <c r="C11" i="123" s="1"/>
  <c r="I8" i="121"/>
  <c r="C8" i="123" s="1"/>
  <c r="C31" i="123"/>
  <c r="C30" i="123"/>
  <c r="C2" i="123"/>
  <c r="C1" i="123"/>
  <c r="E20" i="122"/>
  <c r="B17" i="122"/>
  <c r="B16" i="122"/>
  <c r="B15" i="122"/>
  <c r="B12" i="122"/>
  <c r="C41" i="123" s="1"/>
  <c r="E9" i="122"/>
  <c r="C39" i="123" s="1"/>
  <c r="B9" i="122"/>
  <c r="C7" i="122" s="1"/>
  <c r="E7" i="122" s="1"/>
  <c r="C36" i="123" s="1"/>
  <c r="E8" i="122"/>
  <c r="C37" i="123" s="1"/>
  <c r="E6" i="122"/>
  <c r="C35" i="123" s="1"/>
  <c r="E5" i="122"/>
  <c r="C34" i="123" s="1"/>
  <c r="E4" i="122"/>
  <c r="C33" i="123" s="1"/>
  <c r="E3" i="122"/>
  <c r="C32" i="123" s="1"/>
  <c r="I30" i="121"/>
  <c r="B30" i="121"/>
  <c r="I29" i="121"/>
  <c r="B29" i="121"/>
  <c r="I28" i="121"/>
  <c r="B28" i="121"/>
  <c r="I27" i="121"/>
  <c r="B27" i="121"/>
  <c r="B21" i="121"/>
  <c r="I14" i="121"/>
  <c r="C14" i="123" s="1"/>
  <c r="I13" i="121"/>
  <c r="C13" i="123" s="1"/>
  <c r="I12" i="121"/>
  <c r="C12" i="123" s="1"/>
  <c r="I10" i="121"/>
  <c r="C10" i="123" s="1"/>
  <c r="I9" i="121"/>
  <c r="C9" i="123" s="1"/>
  <c r="I7" i="121"/>
  <c r="C7" i="123" s="1"/>
  <c r="I6" i="121"/>
  <c r="C6" i="123" s="1"/>
  <c r="I5" i="121"/>
  <c r="C5" i="123" s="1"/>
  <c r="I4" i="121"/>
  <c r="C4" i="123" s="1"/>
  <c r="I3" i="121"/>
  <c r="C3" i="123" s="1"/>
  <c r="I28" i="118"/>
  <c r="I29" i="118"/>
  <c r="I30" i="118"/>
  <c r="I8" i="118"/>
  <c r="C8" i="120" s="1"/>
  <c r="B30" i="118"/>
  <c r="C31" i="120"/>
  <c r="C30" i="120"/>
  <c r="C2" i="120"/>
  <c r="C1" i="120"/>
  <c r="E20" i="119"/>
  <c r="B17" i="119"/>
  <c r="B16" i="119"/>
  <c r="B15" i="119"/>
  <c r="B12" i="119"/>
  <c r="E10" i="119"/>
  <c r="C40" i="120" s="1"/>
  <c r="E9" i="119"/>
  <c r="C39" i="120" s="1"/>
  <c r="B9" i="119"/>
  <c r="C7" i="119" s="1"/>
  <c r="E7" i="119" s="1"/>
  <c r="C36" i="120" s="1"/>
  <c r="E8" i="119"/>
  <c r="C37" i="120" s="1"/>
  <c r="E6" i="119"/>
  <c r="C35" i="120" s="1"/>
  <c r="E5" i="119"/>
  <c r="C34" i="120" s="1"/>
  <c r="E4" i="119"/>
  <c r="C33" i="120" s="1"/>
  <c r="E3" i="119"/>
  <c r="C32" i="120" s="1"/>
  <c r="B29" i="118"/>
  <c r="B28" i="118"/>
  <c r="I27" i="118"/>
  <c r="B27" i="118"/>
  <c r="B21" i="118"/>
  <c r="I14" i="118"/>
  <c r="C14" i="120" s="1"/>
  <c r="I13" i="118"/>
  <c r="C13" i="120" s="1"/>
  <c r="I12" i="118"/>
  <c r="C12" i="120" s="1"/>
  <c r="I11" i="118"/>
  <c r="C11" i="120" s="1"/>
  <c r="I10" i="118"/>
  <c r="C10" i="120" s="1"/>
  <c r="I9" i="118"/>
  <c r="C9" i="120" s="1"/>
  <c r="I7" i="118"/>
  <c r="C7" i="120" s="1"/>
  <c r="I6" i="118"/>
  <c r="C6" i="120" s="1"/>
  <c r="I5" i="118"/>
  <c r="C5" i="120" s="1"/>
  <c r="I4" i="118"/>
  <c r="C4" i="120" s="1"/>
  <c r="I3" i="118"/>
  <c r="C3" i="120" s="1"/>
  <c r="I10" i="115"/>
  <c r="C10" i="117" s="1"/>
  <c r="I9" i="115"/>
  <c r="C9" i="117" s="1"/>
  <c r="I8" i="115"/>
  <c r="C8" i="117" s="1"/>
  <c r="I28" i="115"/>
  <c r="I29" i="115"/>
  <c r="B28" i="115"/>
  <c r="B29" i="115"/>
  <c r="I27" i="115"/>
  <c r="B27" i="115"/>
  <c r="C31" i="117"/>
  <c r="C30" i="117"/>
  <c r="C2" i="117"/>
  <c r="C1" i="117"/>
  <c r="E26" i="116"/>
  <c r="E25" i="116"/>
  <c r="E24" i="116"/>
  <c r="B23" i="116"/>
  <c r="E23" i="116" s="1"/>
  <c r="B22" i="116"/>
  <c r="E22" i="116" s="1"/>
  <c r="B21" i="116"/>
  <c r="E21" i="116" s="1"/>
  <c r="E9" i="116"/>
  <c r="E8" i="116"/>
  <c r="C37" i="117" s="1"/>
  <c r="E6" i="116"/>
  <c r="C35" i="117" s="1"/>
  <c r="E5" i="116"/>
  <c r="C34" i="117" s="1"/>
  <c r="E4" i="116"/>
  <c r="C33" i="117" s="1"/>
  <c r="E3" i="116"/>
  <c r="C32" i="117" s="1"/>
  <c r="B21" i="115"/>
  <c r="I14" i="115"/>
  <c r="C14" i="117" s="1"/>
  <c r="I13" i="115"/>
  <c r="C13" i="117" s="1"/>
  <c r="I12" i="115"/>
  <c r="C12" i="117" s="1"/>
  <c r="I11" i="115"/>
  <c r="C11" i="117" s="1"/>
  <c r="I7" i="115"/>
  <c r="C7" i="117" s="1"/>
  <c r="I6" i="115"/>
  <c r="C6" i="117" s="1"/>
  <c r="I5" i="115"/>
  <c r="C5" i="117" s="1"/>
  <c r="I4" i="115"/>
  <c r="C4" i="117" s="1"/>
  <c r="I3" i="115"/>
  <c r="C3" i="117" s="1"/>
  <c r="C45" i="113"/>
  <c r="E10" i="112"/>
  <c r="C41" i="113"/>
  <c r="C42" i="113"/>
  <c r="C43" i="113"/>
  <c r="C46" i="113"/>
  <c r="I8" i="111"/>
  <c r="C8" i="113" s="1"/>
  <c r="E19" i="33"/>
  <c r="C49" i="73" s="1"/>
  <c r="E20" i="33"/>
  <c r="C50" i="73" s="1"/>
  <c r="I17" i="12"/>
  <c r="C17" i="73" s="1"/>
  <c r="I18" i="12"/>
  <c r="C18" i="73" s="1"/>
  <c r="I19" i="12"/>
  <c r="C19" i="73" s="1"/>
  <c r="C41" i="73"/>
  <c r="C42" i="73"/>
  <c r="C43" i="73"/>
  <c r="C44" i="73"/>
  <c r="C45" i="73"/>
  <c r="C40" i="73"/>
  <c r="C13" i="73"/>
  <c r="C16" i="73"/>
  <c r="J26" i="108"/>
  <c r="C34" i="113"/>
  <c r="C31" i="113"/>
  <c r="C30" i="113"/>
  <c r="C2" i="113"/>
  <c r="C1" i="113"/>
  <c r="B13" i="112"/>
  <c r="B12" i="112"/>
  <c r="B11" i="112"/>
  <c r="B10" i="112"/>
  <c r="E9" i="112"/>
  <c r="C39" i="113" s="1"/>
  <c r="B9" i="112"/>
  <c r="C7" i="112" s="1"/>
  <c r="E7" i="112" s="1"/>
  <c r="C36" i="113" s="1"/>
  <c r="E8" i="112"/>
  <c r="C37" i="113" s="1"/>
  <c r="E6" i="112"/>
  <c r="C35" i="113" s="1"/>
  <c r="E5" i="112"/>
  <c r="E4" i="112"/>
  <c r="C33" i="113" s="1"/>
  <c r="E3" i="112"/>
  <c r="C32" i="113" s="1"/>
  <c r="I27" i="111"/>
  <c r="B27" i="111"/>
  <c r="I26" i="111"/>
  <c r="B26" i="111"/>
  <c r="I25" i="111"/>
  <c r="B25" i="111"/>
  <c r="I24" i="111"/>
  <c r="B24" i="111"/>
  <c r="B22" i="111"/>
  <c r="B21" i="111"/>
  <c r="I14" i="111"/>
  <c r="C14" i="113" s="1"/>
  <c r="I13" i="111"/>
  <c r="C13" i="113" s="1"/>
  <c r="I12" i="111"/>
  <c r="C12" i="113" s="1"/>
  <c r="I11" i="111"/>
  <c r="C11" i="113" s="1"/>
  <c r="I10" i="111"/>
  <c r="C10" i="113" s="1"/>
  <c r="I9" i="111"/>
  <c r="C9" i="113" s="1"/>
  <c r="I7" i="111"/>
  <c r="C7" i="113" s="1"/>
  <c r="I6" i="111"/>
  <c r="C6" i="113" s="1"/>
  <c r="I5" i="111"/>
  <c r="C5" i="113" s="1"/>
  <c r="I4" i="111"/>
  <c r="C4" i="113" s="1"/>
  <c r="I3" i="111"/>
  <c r="C3" i="113" s="1"/>
  <c r="B12" i="33"/>
  <c r="B13" i="33"/>
  <c r="B14" i="33"/>
  <c r="B15" i="33"/>
  <c r="B16" i="33"/>
  <c r="B17" i="33"/>
  <c r="E17" i="33" s="1"/>
  <c r="C47" i="73" s="1"/>
  <c r="B18" i="33"/>
  <c r="E18" i="33" s="1"/>
  <c r="C48" i="73" s="1"/>
  <c r="I9" i="12"/>
  <c r="C9" i="73" s="1"/>
  <c r="I10" i="12"/>
  <c r="C10" i="73" s="1"/>
  <c r="I11" i="12"/>
  <c r="C11" i="73" s="1"/>
  <c r="I12" i="12"/>
  <c r="C12" i="73" s="1"/>
  <c r="I13" i="12"/>
  <c r="I14" i="12"/>
  <c r="C14" i="73" s="1"/>
  <c r="I16" i="12"/>
  <c r="I24" i="12"/>
  <c r="I25" i="12"/>
  <c r="I26" i="12"/>
  <c r="I27" i="12"/>
  <c r="I28" i="12"/>
  <c r="I29" i="12"/>
  <c r="I30" i="12"/>
  <c r="I31" i="12"/>
  <c r="I32" i="12"/>
  <c r="I33" i="12"/>
  <c r="B21" i="12"/>
  <c r="B22" i="12"/>
  <c r="B24" i="12"/>
  <c r="B25" i="12"/>
  <c r="B26" i="12"/>
  <c r="B27" i="12"/>
  <c r="B28" i="12"/>
  <c r="B29" i="12"/>
  <c r="B30" i="12"/>
  <c r="B31" i="12"/>
  <c r="B32" i="12"/>
  <c r="B33" i="12"/>
  <c r="E8" i="33"/>
  <c r="C37" i="73" s="1"/>
  <c r="E8" i="109"/>
  <c r="C84" i="110" s="1"/>
  <c r="J9" i="108"/>
  <c r="C9" i="110" s="1"/>
  <c r="J11" i="108"/>
  <c r="C11" i="110" s="1"/>
  <c r="C78" i="110"/>
  <c r="C77" i="110"/>
  <c r="C2" i="110"/>
  <c r="C1" i="110"/>
  <c r="B10" i="109"/>
  <c r="E10" i="109" s="1"/>
  <c r="C87" i="110" s="1"/>
  <c r="E9" i="109"/>
  <c r="C86" i="110" s="1"/>
  <c r="B9" i="109"/>
  <c r="C7" i="109" s="1"/>
  <c r="E7" i="109" s="1"/>
  <c r="C83" i="110" s="1"/>
  <c r="E6" i="109"/>
  <c r="C82" i="110" s="1"/>
  <c r="E5" i="109"/>
  <c r="C81" i="110" s="1"/>
  <c r="E4" i="109"/>
  <c r="C80" i="110" s="1"/>
  <c r="E3" i="109"/>
  <c r="C79" i="110" s="1"/>
  <c r="J8" i="108"/>
  <c r="C8" i="110" s="1"/>
  <c r="J7" i="108"/>
  <c r="C7" i="110" s="1"/>
  <c r="J6" i="108"/>
  <c r="C6" i="110" s="1"/>
  <c r="J5" i="108"/>
  <c r="C5" i="110" s="1"/>
  <c r="J4" i="108"/>
  <c r="C4" i="110" s="1"/>
  <c r="J3" i="108"/>
  <c r="C3" i="110" s="1"/>
  <c r="E9" i="33"/>
  <c r="C39" i="73" s="1"/>
  <c r="E6" i="33"/>
  <c r="C35" i="73" s="1"/>
  <c r="I8" i="12"/>
  <c r="C8" i="73" s="1"/>
  <c r="I7" i="12"/>
  <c r="C7" i="73" s="1"/>
  <c r="I6" i="12"/>
  <c r="C6" i="73" s="1"/>
  <c r="C31" i="73"/>
  <c r="C30" i="73"/>
  <c r="C2" i="73"/>
  <c r="C1" i="73"/>
  <c r="E3" i="33"/>
  <c r="C32" i="73" s="1"/>
  <c r="I3" i="12"/>
  <c r="C3" i="73" s="1"/>
  <c r="E5" i="33"/>
  <c r="C34" i="73" s="1"/>
  <c r="E4" i="33"/>
  <c r="C33" i="73" s="1"/>
  <c r="B9" i="33"/>
  <c r="C7" i="33" s="1"/>
  <c r="E7" i="33" s="1"/>
  <c r="C36" i="73" s="1"/>
  <c r="I5" i="12"/>
  <c r="C5" i="73" s="1"/>
  <c r="I4" i="12"/>
  <c r="C4" i="73" s="1"/>
  <c r="E15" i="33"/>
  <c r="B10" i="33"/>
  <c r="E10" i="33" s="1"/>
  <c r="B11" i="33"/>
  <c r="E11" i="33" s="1"/>
  <c r="E13" i="33"/>
  <c r="Q23" i="137" l="1" a="1"/>
  <c r="Q23" i="137" s="1"/>
  <c r="B33" i="138" s="1"/>
  <c r="Q40" i="137" a="1"/>
  <c r="Q40" i="137" s="1"/>
  <c r="B50" i="138" s="1"/>
  <c r="H10" i="137"/>
  <c r="Q10" i="137" s="1" a="1"/>
  <c r="Q10" i="137" s="1"/>
  <c r="B20" i="138" s="1"/>
  <c r="Q31" i="137" a="1"/>
  <c r="Q31" i="137" s="1"/>
  <c r="B41" i="138" s="1"/>
  <c r="Q47" i="137" a="1"/>
  <c r="Q47" i="137" s="1"/>
  <c r="B57" i="138" s="1"/>
  <c r="B11" i="137"/>
  <c r="H11" i="137" s="1"/>
  <c r="Q15" i="137" s="1" a="1"/>
  <c r="Q15" i="137" s="1"/>
  <c r="B25" i="138" s="1"/>
  <c r="Q29" i="137" a="1"/>
  <c r="Q29" i="137" s="1"/>
  <c r="B39" i="138" s="1"/>
  <c r="Q45" i="137" a="1"/>
  <c r="Q45" i="137" s="1"/>
  <c r="B55" i="138" s="1"/>
  <c r="Q61" i="137" a="1"/>
  <c r="Q61" i="137" s="1"/>
  <c r="Q77" i="137" a="1"/>
  <c r="Q77" i="137" s="1"/>
  <c r="Q93" i="137" a="1"/>
  <c r="Q93" i="137" s="1"/>
  <c r="Q35" i="137" a="1"/>
  <c r="Q35" i="137" s="1"/>
  <c r="B45" i="138" s="1"/>
  <c r="Q27" i="137" a="1"/>
  <c r="Q27" i="137" s="1"/>
  <c r="B37" i="138" s="1"/>
  <c r="Q43" i="137" a="1"/>
  <c r="Q43" i="137" s="1"/>
  <c r="B53" i="138" s="1"/>
  <c r="Q41" i="137" a="1"/>
  <c r="Q41" i="137" s="1"/>
  <c r="B51" i="138" s="1"/>
  <c r="Q39" i="137" a="1"/>
  <c r="Q39" i="137" s="1"/>
  <c r="B49" i="138" s="1"/>
  <c r="Q37" i="137" a="1"/>
  <c r="Q37" i="137" s="1"/>
  <c r="B47" i="138" s="1"/>
  <c r="Q53" i="137" a="1"/>
  <c r="Q53" i="137" s="1"/>
  <c r="Q69" i="137" a="1"/>
  <c r="Q69" i="137" s="1"/>
  <c r="Q85" i="137" a="1"/>
  <c r="Q85" i="137" s="1"/>
  <c r="Q101" i="137" a="1"/>
  <c r="Q101" i="137" s="1"/>
  <c r="L9" i="108"/>
  <c r="L17" i="108"/>
  <c r="L25" i="108"/>
  <c r="L16" i="108"/>
  <c r="L10" i="108"/>
  <c r="L18" i="108"/>
  <c r="L26" i="108"/>
  <c r="L11" i="108"/>
  <c r="L19" i="108"/>
  <c r="L12" i="108"/>
  <c r="L20" i="108"/>
  <c r="L13" i="108"/>
  <c r="L21" i="108"/>
  <c r="L24" i="108"/>
  <c r="L14" i="108"/>
  <c r="L22" i="108"/>
  <c r="L15" i="108"/>
  <c r="L23" i="108"/>
  <c r="E15" i="116"/>
  <c r="B20" i="116"/>
  <c r="E20" i="116" s="1"/>
  <c r="B14" i="116"/>
  <c r="E14" i="116" s="1"/>
  <c r="C40" i="113"/>
  <c r="E12" i="33"/>
  <c r="E16" i="33"/>
  <c r="C46" i="73" s="1"/>
  <c r="E14" i="33"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tc={6DE5AA82-640F-4653-90AA-A807E1102ADA}</author>
  </authors>
  <commentList>
    <comment ref="D9" authorId="0" shapeId="0" xr:uid="{6DE5AA82-640F-4653-90AA-A807E1102AD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Consider to add a order group id ( or make this explicit in the model)</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<sst xmlns="http://schemas.openxmlformats.org/spreadsheetml/2006/main" count="1356" uniqueCount="684">
  <si>
    <t>Identifier</t>
  </si>
  <si>
    <t>CodeableConcept</t>
  </si>
  <si>
    <t>dateTime</t>
  </si>
  <si>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</si>
  <si>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</si>
  <si>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</si>
  <si>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</si>
  <si>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</si>
  <si>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</si>
  <si>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</si>
  <si>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</si>
  <si>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</si>
  <si>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</si>
  <si>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</si>
  <si>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</si>
  <si>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</si>
  <si>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</si>
  <si>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</si>
  <si>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</si>
  <si>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</si>
  <si>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 fhir</t>
  </si>
  <si>
    <t>Id: fhir</t>
  </si>
  <si>
    <t>Title: "FHIR"</t>
  </si>
  <si>
    <t>Source: Subject</t>
  </si>
  <si>
    <t>Target: "hl7.org/fhir/r4"</t>
  </si>
  <si>
    <t>* dateOfBirth -&gt; ".birthDate"</t>
  </si>
  <si>
    <t>* dateOfBirth.date -&gt; ".birthDate"</t>
  </si>
  <si>
    <t>* dateOfBirth.unknown -&gt; ".birthDate.extension('data-absent-reason').where(valueCode = 'unknown')"</t>
  </si>
  <si>
    <t>* maritalStatus -&gt; ".maritalStatus"</t>
  </si>
  <si>
    <t>* sexOrGender -&gt; ".gender"</t>
  </si>
  <si>
    <t>* sexOrGender -&gt; ".extension('individual-recordedSexOrGender').value"</t>
  </si>
  <si>
    <t>* sexOrGender -&gt; ".extension('patient-sexForClinicalUse').value"</t>
  </si>
  <si>
    <t>* race -&gt; ".extension('patient-sexForClinicalUse').value"</t>
  </si>
  <si>
    <t>* countryOfResidence -&gt; ".address.country"</t>
  </si>
  <si>
    <t>Mapping</t>
  </si>
  <si>
    <t>Source</t>
  </si>
  <si>
    <t>//  Logical Model</t>
  </si>
  <si>
    <t>// -------------------------------------------------------------------------------</t>
  </si>
  <si>
    <t>//  Map to FHIR R4</t>
  </si>
  <si>
    <t>Field</t>
  </si>
  <si>
    <t>Field description  </t>
  </si>
  <si>
    <t>Preferred Code System  </t>
  </si>
  <si>
    <t>A.1 Report header data elements</t>
  </si>
  <si>
    <t>A.1.1 Identification of the patient/subject</t>
  </si>
  <si>
    <t>A.1.1.1</t>
  </si>
  <si>
    <t>Family name/surname</t>
  </si>
  <si>
    <t>The family name/surname/last name of the patient. This field can contain more than one element or multiple fields could be present. </t>
  </si>
  <si>
    <t>A.1.1.2</t>
  </si>
  <si>
    <t>Given name </t>
  </si>
  <si>
    <t>The given name/first name of the patient (also known as forename or first name). This field can contain more than one element.  </t>
  </si>
  <si>
    <t>A.1.1.3</t>
  </si>
  <si>
    <t>Date of birth </t>
  </si>
  <si>
    <t>The date of birth of the patient [ISO TS 22220]. As age of the patient might be important for correct interpretation of the test result values, complete date of birth should be provided.</t>
  </si>
  <si>
    <t>Complete date, without time, following the ISO 8601 </t>
  </si>
  <si>
    <t>A.1.1.4</t>
  </si>
  <si>
    <t>Personal identifier </t>
  </si>
  <si>
    <t>An identifier of the patient that is unique within a defined scope. Example: National ID (birth number) for Czech patient. Multiple identifiers could be provided.  </t>
  </si>
  <si>
    <t>A.1.1.5</t>
  </si>
  <si>
    <t>Gender</t>
  </si>
  <si>
    <t>This field must contain a recognised valid value for "administrative gender".</t>
  </si>
  <si>
    <t>HL7 Administrative Gender </t>
  </si>
  <si>
    <t>If different, "physiological gender" should be communicated elsewhere.</t>
  </si>
  <si>
    <t>A.1.2 Patient/subject related contact information  </t>
  </si>
  <si>
    <t>A.1.2.1</t>
  </si>
  <si>
    <t>Address</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</si>
  <si>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t>
  </si>
  <si>
    <t> ISO 3166</t>
  </si>
  <si>
    <t>A.1.2.2</t>
  </si>
  <si>
    <t>Telecom</t>
  </si>
  <si>
    <t>Telecommunication contact information (addresses) associated to a person. Multiple telecommunication addresses might be provided.</t>
  </si>
  <si>
    <t>A.1.3 Health insurance and payment information</t>
  </si>
  <si>
    <t>A.1.3.1</t>
  </si>
  <si>
    <t>Health insurance information</t>
  </si>
  <si>
    <t>Health insurance information is not always required, however, in some jurisdictions, the insurance number is also used as the patient identifier. It is necessary not just for identification but also forms access to funding for care. </t>
  </si>
  <si>
    <t>A.1.3.1.1</t>
  </si>
  <si>
    <t>Health insurance code</t>
  </si>
  <si>
    <t>Unique health insurance company identification code.</t>
  </si>
  <si>
    <t>A.1.3.1.2</t>
  </si>
  <si>
    <t>Health insurance name</t>
  </si>
  <si>
    <t>Full, official name of the healthcare insurance provider.</t>
  </si>
  <si>
    <t>A.1.3.1.3</t>
  </si>
  <si>
    <t>Health insurance number</t>
  </si>
  <si>
    <t>Number or code under which the insured person is registered at the insurance provider.</t>
  </si>
  <si>
    <t>A.1.4 Information recipient (intended recipient or recipients of the report, additional recipients might be identified by the ordering party, e.g. GP, other specialist), if applicable</t>
  </si>
  <si>
    <t>A.1.4.1</t>
  </si>
  <si>
    <t>Recipient identifier</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</si>
  <si>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</si>
  <si>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A.1.4.2</t>
  </si>
  <si>
    <t>Recipient name</t>
  </si>
  <si>
    <t>Person name.</t>
  </si>
  <si>
    <t>A.1.4.3</t>
  </si>
  <si>
    <t>Recipient organization </t>
  </si>
  <si>
    <t>The healthcare provider organization information.</t>
  </si>
  <si>
    <t>A.1.5 Author (by whom the Laboratory result report or a subset of its results was authored)</t>
  </si>
  <si>
    <t>A.1.5.1</t>
  </si>
  <si>
    <t>Author identifier</t>
  </si>
  <si>
    <t>The health professional or authoring device identification number. Either an internal identifier assigned by a healthcare provider institution or (preferably) a national health professional ID such as the license or registration number. </t>
  </si>
  <si>
    <t>A.1.5.2</t>
  </si>
  <si>
    <t>Author name</t>
  </si>
  <si>
    <t>Person or device name.</t>
  </si>
  <si>
    <t>A.1.5.3</t>
  </si>
  <si>
    <t>Author organization </t>
  </si>
  <si>
    <t>A.1.6 Legal authenticator (The person taking responsibility for the medical content of the document)</t>
  </si>
  <si>
    <t>A.1.6.1</t>
  </si>
  <si>
    <t>Legal authenticator identifier</t>
  </si>
  <si>
    <t>The health professional identification number. Either an internal identifier assigned by a healthcare provider institution or (preferably) a national health professional ID such as the license or registration number. </t>
  </si>
  <si>
    <t>A.1.6.2</t>
  </si>
  <si>
    <t>Legal authenticator name</t>
  </si>
  <si>
    <t>A.1.6.3</t>
  </si>
  <si>
    <t>Legal authenticator organization </t>
  </si>
  <si>
    <t>A.1.6.4</t>
  </si>
  <si>
    <t>Authentication date and time</t>
  </si>
  <si>
    <t>Date and time when the document was authorized.</t>
  </si>
  <si>
    <t>ISO 8601</t>
  </si>
  <si>
    <t>A.1.7 Result validator</t>
  </si>
  <si>
    <t>A.1.7.1</t>
  </si>
  <si>
    <t>Result validator identifier</t>
  </si>
  <si>
    <t>The health professional identification number. Either an internal identifier assign by a healthcare provider institution or (preferably) a national health professional ID such as the license or registration number. </t>
  </si>
  <si>
    <t>A.1.7.2</t>
  </si>
  <si>
    <t>Result validator name</t>
  </si>
  <si>
    <t>A.1.7.3</t>
  </si>
  <si>
    <t>Result validator organisation </t>
  </si>
  <si>
    <t>The healthcare provider organisation information.</t>
  </si>
  <si>
    <t>A.1.7.4</t>
  </si>
  <si>
    <t>Validation date and time</t>
  </si>
  <si>
    <t>Date and time when the document was validated.</t>
  </si>
  <si>
    <t>A.1.8 Laboratory report metadata</t>
  </si>
  <si>
    <t>A.1.8.1</t>
  </si>
  <si>
    <t>Document type</t>
  </si>
  <si>
    <t>A coded type of the document. Fixed value "Laboratory report"</t>
  </si>
  <si>
    <t>LOINC</t>
  </si>
  <si>
    <t>A.1.8.2</t>
  </si>
  <si>
    <t>Document status</t>
  </si>
  <si>
    <t>The status of the laboratory test result report. E.g., preliminary, final.</t>
  </si>
  <si>
    <t>hl7:DiagnosticReportStatus</t>
  </si>
  <si>
    <t>A.1.8.3</t>
  </si>
  <si>
    <t>Report date and time</t>
  </si>
  <si>
    <t>Date and time of the result report creation.</t>
  </si>
  <si>
    <t>A.1.8.4</t>
  </si>
  <si>
    <t>Document title</t>
  </si>
  <si>
    <t>Document title, e.g. "Laboratory Result report"</t>
  </si>
  <si>
    <t>A.1.8.5</t>
  </si>
  <si>
    <t>Report custodian</t>
  </si>
  <si>
    <t>Organisation that is in charge of maintaining the laboratory report</t>
  </si>
  <si>
    <t>A.2 Order information (Laboratory Result Report could respond to multiple test orders)</t>
  </si>
  <si>
    <t>A.2.1</t>
  </si>
  <si>
    <t>Order Id</t>
  </si>
  <si>
    <t>An identifier of the laboratory test order. Laboratory Result Report may respond to multiple orders.</t>
  </si>
  <si>
    <t>A.2.2</t>
  </si>
  <si>
    <t>Order date and time</t>
  </si>
  <si>
    <t>Date and time of the order placement.</t>
  </si>
  <si>
    <t>A.2.3</t>
  </si>
  <si>
    <t>Order placer identifier</t>
  </si>
  <si>
    <t>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</si>
  <si>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A.2.4</t>
  </si>
  <si>
    <t>Order placer name</t>
  </si>
  <si>
    <t>A.2.5</t>
  </si>
  <si>
    <t>Order placer contact details</t>
  </si>
  <si>
    <t>Contact details of order placer (address and telecom details).</t>
  </si>
  <si>
    <t>A.2.6</t>
  </si>
  <si>
    <t>Order placer organization </t>
  </si>
  <si>
    <t>Order placer organization information.</t>
  </si>
  <si>
    <t>A.3 Order reason (Laboratory Result Report could respond to multiple reasons)</t>
  </si>
  <si>
    <t>A.3.1</t>
  </si>
  <si>
    <t>Problem / diagnosis / condition description</t>
  </si>
  <si>
    <t>Health conditions affecting the health of the patient and are important to be known for a health professional during a health encounter. Clinical conditions of the subject relevant for the results interpretation.</t>
  </si>
  <si>
    <t>ICD-10 (ICD-11 when available)</t>
  </si>
  <si>
    <t>SNOMED CT</t>
  </si>
  <si>
    <t>Orphacode</t>
  </si>
  <si>
    <t>A.4 Specimen information</t>
  </si>
  <si>
    <t>A.4.1</t>
  </si>
  <si>
    <t>Specimen identifier</t>
  </si>
  <si>
    <t>An identifier of the specimen which is unique within in a defined scope. Example: identifier assigned by ordering system, identifier assigned by laboratory etc. Multiple identifiers can be used.</t>
  </si>
  <si>
    <t>A.4.2</t>
  </si>
  <si>
    <t>Type of species</t>
  </si>
  <si>
    <t>Biologic type of species for laboratory result reports bound to non-human subjects.</t>
  </si>
  <si>
    <t>A.4.3</t>
  </si>
  <si>
    <t>Material</t>
  </si>
  <si>
    <t>Specimen material.</t>
  </si>
  <si>
    <t>A.4.4</t>
  </si>
  <si>
    <t>Collection period</t>
  </si>
  <si>
    <t>Collection date time or period.</t>
  </si>
  <si>
    <t>A.4.5</t>
  </si>
  <si>
    <t>Anatomic location</t>
  </si>
  <si>
    <t>Anatomic location (body location, laterality) where the material is collected, e.g. Elbow, left</t>
  </si>
  <si>
    <t>A.4.6</t>
  </si>
  <si>
    <t>Morphology</t>
  </si>
  <si>
    <t>Morphological abnormalities of the anatomical location where the material is taken, for example wound, ulcer.</t>
  </si>
  <si>
    <t>A.4.7</t>
  </si>
  <si>
    <t>Source Device</t>
  </si>
  <si>
    <t>If the material is not collected directly from the patient but comes from a patient-related object, e.g. a catheter</t>
  </si>
  <si>
    <t>EMDN</t>
  </si>
  <si>
    <t>A.4.8</t>
  </si>
  <si>
    <t>Collection procedure/method</t>
  </si>
  <si>
    <t>If relevant for the results, the method of obtaining the specimen.</t>
  </si>
  <si>
    <t>A.4.9</t>
  </si>
  <si>
    <t>Received date</t>
  </si>
  <si>
    <t>Date and time that the material is handed over at the laboratory or specimen collection centre.</t>
  </si>
  <si>
    <t>A.5 Results data elements</t>
  </si>
  <si>
    <t>A.5.1 Laboratory report narrative </t>
  </si>
  <si>
    <t>A.5.1.1</t>
  </si>
  <si>
    <t>Narrative report</t>
  </si>
  <si>
    <t>Entire report (textual summary inside the laboratory result report document) as issued by the laboratory. </t>
  </si>
  <si>
    <t>A.5.1.2</t>
  </si>
  <si>
    <t>Comments, interpretation and recommendations</t>
  </si>
  <si>
    <t>Comments, such as a textual interpretation or advice accompanying the result report, for example.</t>
  </si>
  <si>
    <t>A.5.2 Observation details (report could consist of multiple observations)</t>
  </si>
  <si>
    <t>A.5.2.1</t>
  </si>
  <si>
    <t>Observation date</t>
  </si>
  <si>
    <t>Date and time of the observation</t>
  </si>
  <si>
    <t>A.5.2.3</t>
  </si>
  <si>
    <t>Observation code</t>
  </si>
  <si>
    <t>Code representing the observation using the agreed code systems.</t>
  </si>
  <si>
    <t>NPU</t>
  </si>
  <si>
    <t>A.5.2.3.1</t>
  </si>
  <si>
    <t>Observation name</t>
  </si>
  <si>
    <t>Full name of the observation according to the used test coding standard.</t>
  </si>
  <si>
    <t>A.5.2.3.2</t>
  </si>
  <si>
    <t>Observation original name</t>
  </si>
  <si>
    <t>Original (conventional) name of the observation as used by the laboratory</t>
  </si>
  <si>
    <t>A.5.2.3.3</t>
  </si>
  <si>
    <t>Observation display name</t>
  </si>
  <si>
    <t>Simplified (short name of the observation) for display.</t>
  </si>
  <si>
    <t>A.5.2.4</t>
  </si>
  <si>
    <t>Observation method</t>
  </si>
  <si>
    <t>Observation method (measurement principle) to obtain the result.</t>
  </si>
  <si>
    <t>A.5.2.5</t>
  </si>
  <si>
    <t>Observation device</t>
  </si>
  <si>
    <t>Device (analyser), laboratory test kit and used calibrator information (identifier, type, name, model, manufacturer)</t>
  </si>
  <si>
    <t>A.5.2.8</t>
  </si>
  <si>
    <t>Order</t>
  </si>
  <si>
    <t>Identifies order and order placer this observation belongs to. </t>
  </si>
  <si>
    <t>A.5.2.9</t>
  </si>
  <si>
    <t>Performer</t>
  </si>
  <si>
    <t>Identifies the originator/author and provides provenance information about the source of the results data that may have not originated with the source of the whole Laboratory Report document. </t>
  </si>
  <si>
    <t>A.5.2.10</t>
  </si>
  <si>
    <t>Reporter</t>
  </si>
  <si>
    <t>With certain observation results, e.g. there may also be an interpreter or a person responsible for validation.</t>
  </si>
  <si>
    <t>A.5.2.11</t>
  </si>
  <si>
    <t>Observation result</t>
  </si>
  <si>
    <t>Result of the observation including text, numeric and coded results of the measurement and measurement uncertainty. Content of the observation result will vary according to the type of the observation.</t>
  </si>
  <si>
    <t>SNOMED CT (for ordinal or nominal scale results and result interpretation)</t>
  </si>
  <si>
    <t>UCUM (for units)</t>
  </si>
  <si>
    <t>A.5.2.12</t>
  </si>
  <si>
    <t>Observation interpretation</t>
  </si>
  <si>
    <t>Information about reference intervals and result interpretation.</t>
  </si>
  <si>
    <t>HL7 v3 Code System ObservationInterpretation</t>
  </si>
  <si>
    <t>A.5.2.13</t>
  </si>
  <si>
    <t>Result description</t>
  </si>
  <si>
    <t>Comments and narrative representation of the observation result and findings.</t>
  </si>
  <si>
    <t>A.5.2.14</t>
  </si>
  <si>
    <t>Accreditation status</t>
  </si>
  <si>
    <t>Accreditation status of the laboratory for the particular observation.</t>
  </si>
  <si>
    <t>LabReportEhn</t>
  </si>
  <si>
    <t>LabReport</t>
  </si>
  <si>
    <t>Laboratory Report</t>
  </si>
  <si>
    <t>header</t>
  </si>
  <si>
    <t>header.subject</t>
  </si>
  <si>
    <t>A.1.4 Information recipient</t>
  </si>
  <si>
    <t>A.1.8.1 Document type</t>
  </si>
  <si>
    <t>A.1.8.2 Document status</t>
  </si>
  <si>
    <t>A.1.8.3 Report date and time</t>
  </si>
  <si>
    <t>A.1.8.4 Document title</t>
  </si>
  <si>
    <t>A.1.8.5 Report custodian</t>
  </si>
  <si>
    <t>A coded type of the document. Fixed value "Laboratory report" - Preferred system(s): LOINC</t>
  </si>
  <si>
    <t>The status of the laboratory test result report. E.g., preliminary, final. - Preferred system(s): hl7:DiagnosticReportStatus</t>
  </si>
  <si>
    <t>Date and time of the result report creation. - Preferred system(s): ISO 8601</t>
  </si>
  <si>
    <t xml:space="preserve">Document title, e.g. "Laboratory Result report" - Preferred system(s): </t>
  </si>
  <si>
    <t xml:space="preserve">Organisation that is in charge of maintaining the laboratory report - Preferred system(s): </t>
  </si>
  <si>
    <t>header.informationRecipient</t>
  </si>
  <si>
    <t>header.validator</t>
  </si>
  <si>
    <t>header.metadata</t>
  </si>
  <si>
    <t>header.metadata.type</t>
  </si>
  <si>
    <t>header.metadata.status</t>
  </si>
  <si>
    <t>header.metadata.dateTime</t>
  </si>
  <si>
    <t>header.metadata.title</t>
  </si>
  <si>
    <t>header.metadata.custodian</t>
  </si>
  <si>
    <t>Composition.conformsTo('http://hl7.eu/fhir/ig/xeh/StructureDefinition/Composition-lab-xeh')</t>
  </si>
  <si>
    <t>Bundle.conformsTo('http://hl7.eu/fhir/ig/xeh/StructureDefinition/Bundle-lab-xeh')</t>
  </si>
  <si>
    <t>Composition.subject</t>
  </si>
  <si>
    <t>Bundle.timestamp</t>
  </si>
  <si>
    <t>Composition.status</t>
  </si>
  <si>
    <t>Composition.title</t>
  </si>
  <si>
    <t>Composition.custodian</t>
  </si>
  <si>
    <t>Composition.type</t>
  </si>
  <si>
    <t>Composition</t>
  </si>
  <si>
    <t>SubjectLabEhn</t>
  </si>
  <si>
    <t>Patient or Subject of care</t>
  </si>
  <si>
    <t>A.1.1.5 Gender</t>
  </si>
  <si>
    <t>A.1.2.1 Address</t>
  </si>
  <si>
    <t>A.1.2.2 Telecom</t>
  </si>
  <si>
    <t xml:space="preserve">Telecommunication contact information (addresses) associated to a person. Multiple telecommunication addresses might be provided. - Preferred system(s): </t>
  </si>
  <si>
    <t>identification</t>
  </si>
  <si>
    <t>The family name/surname/last name of the patient. This field can contain more than one element or multiple fields could be present.</t>
  </si>
  <si>
    <t>identification.familyName</t>
  </si>
  <si>
    <t>identification.givenName</t>
  </si>
  <si>
    <t>identification.dateOfBirth</t>
  </si>
  <si>
    <t>identification.identifier</t>
  </si>
  <si>
    <t>identification.gender</t>
  </si>
  <si>
    <t>Patient.conformsTo('http://hl7.eu/fhir/ig/xeh/StructureDefinition/Patient-eu-xeh')</t>
  </si>
  <si>
    <t>Patient.name.family</t>
  </si>
  <si>
    <t>Patient.name.given</t>
  </si>
  <si>
    <t>Patient.birthDate</t>
  </si>
  <si>
    <t>Patient.identifier</t>
  </si>
  <si>
    <t>Patient.gender</t>
  </si>
  <si>
    <t>Patient.telecom</t>
  </si>
  <si>
    <t>Patient.address</t>
  </si>
  <si>
    <t xml:space="preserve"> </t>
  </si>
  <si>
    <t>A.1.1.1 Familyname/surname</t>
  </si>
  <si>
    <t>A.1.1 Identification of the patient/subject</t>
  </si>
  <si>
    <t xml:space="preserve">The given name/first name of the patient (also known as forename or first name). This field can contain more than one element. </t>
  </si>
  <si>
    <t xml:space="preserve">The date of birth of the patient [ISO TS 22220]. As age of the patient might be important for correct interpretation of the test result values, complete date of birth should be provided. - Preferred system(s): Complete date, without time, following the ISO 8601 </t>
  </si>
  <si>
    <t xml:space="preserve">An identifier of the patient that is unique within a defined scope. Example: National ID (birth number) for Czech patient. Multiple identifiers could be provided. </t>
  </si>
  <si>
    <t xml:space="preserve">This field must contain a recognised valid value for 'administrative gender'. 
If different, 'physiological gender' should be communicated elsewhere
Preferred system(s): - Preferred system(s): HL7 Administrative Gender </t>
  </si>
  <si>
    <t>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t>
  </si>
  <si>
    <t xml:space="preserve">The family name/surname/last name of the patient. This field can contain more than one element or multiple fields could be present. </t>
  </si>
  <si>
    <t xml:space="preserve">Given name </t>
  </si>
  <si>
    <t xml:space="preserve">The given name/first name of the patient (also known as forename or first name). This field can contain more than one element.  </t>
  </si>
  <si>
    <t xml:space="preserve">Date of birth </t>
  </si>
  <si>
    <t xml:space="preserve">Complete date, without time, following the ISO 8601 </t>
  </si>
  <si>
    <t xml:space="preserve">Personal identifier </t>
  </si>
  <si>
    <t xml:space="preserve">An identifier of the patient that is unique within a defined scope. Example: National ID (birth number) for Czech patient. Multiple identifiers could be provided.  </t>
  </si>
  <si>
    <t xml:space="preserve">HL7 Administrative Gender </t>
  </si>
  <si>
    <t xml:space="preserve">A.1.2 Patient/subject related contact information  </t>
  </si>
  <si>
    <t xml:space="preserve"> ISO 3166</t>
  </si>
  <si>
    <t>ContactPoint</t>
  </si>
  <si>
    <t>eHN Lab model to FHIR R4 Map</t>
  </si>
  <si>
    <t>eHNLabSubject2Fhir</t>
  </si>
  <si>
    <t>eHNLab2Fhir</t>
  </si>
  <si>
    <t>http://hl7.eu/fhir/ig/xeh/StructureDefinition/Subject</t>
  </si>
  <si>
    <t xml:space="preserve">A.1.1 Identification of the patient/subject and A.1.2 Patient/subject related contact information  </t>
  </si>
  <si>
    <t>A.1.3 Health insurance and payment information</t>
  </si>
  <si>
    <t>A.1.4 Information recipient (intended recipient or recipients of the report, additional recipients might be identified by the ordering party, e.g. GP, other specialist), if applicable</t>
  </si>
  <si>
    <t>A.1.1 - A1.2 Patient/subject</t>
  </si>
  <si>
    <t>order</t>
  </si>
  <si>
    <t>A.2-A.3 Order</t>
  </si>
  <si>
    <t xml:space="preserve">A.2 Order information (Laboratory Result Report could respond to multiple test orders)
A.3 Order reason (Laboratory Result Report could respond to multiple reasons)
</t>
  </si>
  <si>
    <t>specimen</t>
  </si>
  <si>
    <t>result</t>
  </si>
  <si>
    <t>Composition.extension('http://hl7.eu/fhir/ig/xeh/StructureDefinition/composition-basedOn-order-or-requisition').valueReference.resolve()</t>
  </si>
  <si>
    <t>Observation.conformsTo('http://hl7.eu/fhir/ig/xeh/StructureDefinition/Observation-results-laboratory-eu-xeh').specimen.resolve()</t>
  </si>
  <si>
    <t>*  -&gt; ##34###34#</t>
  </si>
  <si>
    <t>A.1.3.1 Health insurance information</t>
  </si>
  <si>
    <t>A.1.3.1.1 Health insurance code</t>
  </si>
  <si>
    <t>A.1.3.1.2 Health insurance name</t>
  </si>
  <si>
    <t>A.1.3.1.3 Health insurance number</t>
  </si>
  <si>
    <t>insurance</t>
  </si>
  <si>
    <t xml:space="preserve">Unique health insurance company identification code. </t>
  </si>
  <si>
    <t xml:space="preserve">Full, official name of the healthcare insurance provider. </t>
  </si>
  <si>
    <t xml:space="preserve">Number or code under which the insured person is registered at the insurance provider. </t>
  </si>
  <si>
    <t>insurance.identifier</t>
  </si>
  <si>
    <t>insurance.name</t>
  </si>
  <si>
    <t>insurance.subjectIdentifier</t>
  </si>
  <si>
    <t>header.payer</t>
  </si>
  <si>
    <t>to be mapped</t>
  </si>
  <si>
    <t>eHNLabPayer2Fhir</t>
  </si>
  <si>
    <t>eHN Lab Subject model to FHIR R4 Map</t>
  </si>
  <si>
    <t>eHN Lab Payer model to FHIR R4 Map</t>
  </si>
  <si>
    <t>Payer</t>
  </si>
  <si>
    <t>PayerLabEhn</t>
  </si>
  <si>
    <t>lab-payer.fsh</t>
  </si>
  <si>
    <t>lab-subject.fsh</t>
  </si>
  <si>
    <t>lab-report.fsh</t>
  </si>
  <si>
    <t>http://hl7.eu/fhir/ig/xeh/StructureDefinition/Payer</t>
  </si>
  <si>
    <t>RecipientLabEhn</t>
  </si>
  <si>
    <t>A.1.4.1 Recipient identifier</t>
  </si>
  <si>
    <t>A.1.4.2 Recipient name</t>
  </si>
  <si>
    <t>identifier</t>
  </si>
  <si>
    <t>name</t>
  </si>
  <si>
    <t>organization</t>
  </si>
  <si>
    <t>Organization</t>
  </si>
  <si>
    <t>eHNLabRecipient2Fhir</t>
  </si>
  <si>
    <t>eHN Lab Recipient model to FHIR R4 Map</t>
  </si>
  <si>
    <t>lab-recipient.fsh</t>
  </si>
  <si>
    <t>ValidatorLabEhn</t>
  </si>
  <si>
    <t>eHNLabValidator2Fhir</t>
  </si>
  <si>
    <t>eHN Lab Validator model to FHIR R4 Map</t>
  </si>
  <si>
    <t>A.1.7.1 Result validator identifier</t>
  </si>
  <si>
    <t>A.1.7.4 Validation date and time</t>
  </si>
  <si>
    <t xml:space="preserve">Person name. - Preferred system(s): </t>
  </si>
  <si>
    <t xml:space="preserve">The healthcare provider organisation information. - Preferred system(s): </t>
  </si>
  <si>
    <t>Date and time when the document was validated. - Preferred system(s): ISO 8601</t>
  </si>
  <si>
    <t>lab-validator.fsh</t>
  </si>
  <si>
    <t>A.1.6.1 Legal authenticator identifier</t>
  </si>
  <si>
    <t>A.1.6.2 Legal authenticator name</t>
  </si>
  <si>
    <t>A.1.6.4 Authentication date and time</t>
  </si>
  <si>
    <t xml:space="preserve">The healthcare provider organization information. - Preferred system(s): </t>
  </si>
  <si>
    <t>Date and time when the document was authorized. - Preferred system(s): ISO 8601</t>
  </si>
  <si>
    <t>LegalAuthenticatorLabEhn</t>
  </si>
  <si>
    <t>eHNLabLegalAuthenticator2Fhir</t>
  </si>
  <si>
    <t>eHN Lab LegalAuthenticator model to FHIR R4 Map</t>
  </si>
  <si>
    <t>lab-legalAuth.fsh</t>
  </si>
  <si>
    <t>Health insurance information is not always required, however, in some jurisdictions, the insurance number is also used as the patient identifier. It is necessary not just for identification but also forms access to funding for care.</t>
  </si>
  <si>
    <t xml:space="preserve">Health insurance information is not always required, however, in some jurisdictions, the insurance number is also used as the patient identifier. It is necessary not just for identification but also forms access to funding for care. </t>
  </si>
  <si>
    <t>http://hl7.eu/fhir/ig/xeh/StructureDefinition/Recipient</t>
  </si>
  <si>
    <t>http://hl7.eu/fhir/ig/xeh/StructureDefinition/Validator</t>
  </si>
  <si>
    <t>A.1.5 Author</t>
  </si>
  <si>
    <t>header.author</t>
  </si>
  <si>
    <t>header.legalAuthenticator</t>
  </si>
  <si>
    <t>LegalAuthenticator</t>
  </si>
  <si>
    <t>Recipient</t>
  </si>
  <si>
    <t>http://hl7.eu/fhir/ig/xeh/StructureDefinition/LegalAuthenticator</t>
  </si>
  <si>
    <t>http://hl7.eu/fhir/ig/xeh/StructureDefinition/Author</t>
  </si>
  <si>
    <t>A.1.5.1 Author identifier</t>
  </si>
  <si>
    <t>A.1.5.2 Author name</t>
  </si>
  <si>
    <t xml:space="preserve">Person or device name. - Preferred system(s): </t>
  </si>
  <si>
    <t>lab-author.fsh</t>
  </si>
  <si>
    <t>Composition.author</t>
  </si>
  <si>
    <t>Composition.attester.where(mode=http://hl7.org/fhir/composition-attestation-mode#legal)</t>
  </si>
  <si>
    <t>Composition.attester.where(mode=http://hl7.org/fhir/composition-attestation-mode#professional)</t>
  </si>
  <si>
    <t>AuthorLabEhn</t>
  </si>
  <si>
    <t>Author</t>
  </si>
  <si>
    <t>eHNLabAuthor2Fhir</t>
  </si>
  <si>
    <t>eHN Lab Author model to FHIR R4 Map</t>
  </si>
  <si>
    <t>HumanName</t>
  </si>
  <si>
    <t>Validator</t>
  </si>
  <si>
    <t xml:space="preserve">A.2 Order information (Laboratory Result Report could respond to multiple test orders) </t>
  </si>
  <si>
    <t>A.2.1 Order Id</t>
  </si>
  <si>
    <t>A.2.2 Order date and time</t>
  </si>
  <si>
    <t>A.2.3 Order placer identifier</t>
  </si>
  <si>
    <t>A.2.4 Order placer name</t>
  </si>
  <si>
    <t>A.2.5 Order placer contact details</t>
  </si>
  <si>
    <t xml:space="preserve">A.3 Order reason (Laboratory Result Report could respond to multiple reasons) </t>
  </si>
  <si>
    <t>A.3.1 Problem / diagnosis / condition description</t>
  </si>
  <si>
    <t>OrderLabEhn</t>
  </si>
  <si>
    <t>eHNLabOrder2Fhir</t>
  </si>
  <si>
    <t>eHN Lab Order model to FHIR R4 Map</t>
  </si>
  <si>
    <t>Order (A2, A3)</t>
  </si>
  <si>
    <t>Order information (A.2) and reason (A3)</t>
  </si>
  <si>
    <t>Date and time of the order placement. - Preferred system(s): ISO 8601</t>
  </si>
  <si>
    <t>A.3 Order reason</t>
  </si>
  <si>
    <t>A.2 Order information</t>
  </si>
  <si>
    <t>Health conditions affecting the health of the patient and are important to be known for a health professional during a health encounter. Clinical conditions of the subject relevant for the results interpretation. - Preferred system(s): ICD-10 (ICD-11 when available)</t>
  </si>
  <si>
    <t>Subject of care (A1.1 - A1.2)</t>
  </si>
  <si>
    <t>Information recipient (A.1.4)</t>
  </si>
  <si>
    <t>Author (A.1.5)</t>
  </si>
  <si>
    <t>Legal authenticator (A.1.6)</t>
  </si>
  <si>
    <t>reason</t>
  </si>
  <si>
    <t>reason.code</t>
  </si>
  <si>
    <t>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t>
  </si>
  <si>
    <t>orderDetails</t>
  </si>
  <si>
    <t>orderDetails.identifier</t>
  </si>
  <si>
    <t>orderDetails.dateTime</t>
  </si>
  <si>
    <t>orderDetails.orderPlacerIdentifier</t>
  </si>
  <si>
    <t>orderDetails.orderPlacerName</t>
  </si>
  <si>
    <t>orderDetails.orderPlacerContacts</t>
  </si>
  <si>
    <t>orderDetails.orderPlacerOrganization</t>
  </si>
  <si>
    <t>lab-order.fsh</t>
  </si>
  <si>
    <t>http://hl7.eu/fhir/ig/xeh/StructureDefinition/Order</t>
  </si>
  <si>
    <t>A.4.1 Specimen identifier</t>
  </si>
  <si>
    <t>A.4.2 Type of species</t>
  </si>
  <si>
    <t>A.4.3 Material</t>
  </si>
  <si>
    <t>A.4.4 Collection period</t>
  </si>
  <si>
    <t>A.4.5 Anatomic location</t>
  </si>
  <si>
    <t>A.4.6 Morphology</t>
  </si>
  <si>
    <t>A.4.7 Source Device</t>
  </si>
  <si>
    <t>A.4.8 Collection procedure/method</t>
  </si>
  <si>
    <t>A.4.9 Received date</t>
  </si>
  <si>
    <t>Specimen information (A.4)</t>
  </si>
  <si>
    <t>SpecimenLabEhn</t>
  </si>
  <si>
    <t>An identifier of the specimen which is unique within in a defined scope. Example: identifier assigned by Specimening system, identifier assigned by laboratory etc. Multiple identifiers can be used.</t>
  </si>
  <si>
    <t>eHNLabSpecimen2Fhir</t>
  </si>
  <si>
    <t>eHN Lab Specimen model to FHIR R4 Map</t>
  </si>
  <si>
    <t xml:space="preserve">An identifier of the specimen which is unique within in a defined scope. Example: identifier assigned by Specimening system, identifier assigned by laboratory etc. Multiple identifiers can be used. - Preferred system(s): </t>
  </si>
  <si>
    <t>Biologic type of species for laboratory result reports bound to non-human subjects. - Preferred system(s): SNOMED CT</t>
  </si>
  <si>
    <t>Specimen material. - Preferred system(s): SNOMED CT</t>
  </si>
  <si>
    <t>Collection date time or period. - Preferred system(s): ISO 8601</t>
  </si>
  <si>
    <t>Anatomic location (body location, laterality) where the material is collected, e.g. Elbow, left - Preferred system(s): SNOMED CT</t>
  </si>
  <si>
    <t>Morphological abnormalities of the anatomical location where the material is taken, for example wound, ulcer. - Preferred system(s): SNOMED CT</t>
  </si>
  <si>
    <t>If relevant for the results, the method of obtaining the specimen. - Preferred system(s): SNOMED CT</t>
  </si>
  <si>
    <t>Date and time that the material is handed over at the laboratory or specimen collection centre. - Preferred system(s): ISO 8601</t>
  </si>
  <si>
    <t>If the material is not collected directly from the patient but comes from a patient-related object, e.g. a catheter
 - Preferred system(s): SNOMED CT
 - Preferred system(s): EMDN</t>
  </si>
  <si>
    <t>speciesType</t>
  </si>
  <si>
    <t>material</t>
  </si>
  <si>
    <t>anatomicLocation</t>
  </si>
  <si>
    <t>sourceDevice</t>
  </si>
  <si>
    <t>morphology</t>
  </si>
  <si>
    <t>collectionMethod</t>
  </si>
  <si>
    <t>receivedDateTime</t>
  </si>
  <si>
    <t>lab-specimen.fsh</t>
  </si>
  <si>
    <t>ResultLabEhn</t>
  </si>
  <si>
    <t>Result</t>
  </si>
  <si>
    <t>eHNLabResult2Fhir</t>
  </si>
  <si>
    <t>eHN Lab Result model to FHIR R4 Map</t>
  </si>
  <si>
    <t>lab-result.fsh</t>
  </si>
  <si>
    <t>A.5.1.1 Narrative report</t>
  </si>
  <si>
    <t>A.5.1.2 Comments, interpretation and recommendations</t>
  </si>
  <si>
    <t>A.5.2.1 Observation date</t>
  </si>
  <si>
    <t>A.5.2.3 Observation code</t>
  </si>
  <si>
    <t>A.5.2.3.1 Observation name</t>
  </si>
  <si>
    <t>A.5.2.3.2 Observation original name</t>
  </si>
  <si>
    <t>A.5.2.3.3 Observation display name</t>
  </si>
  <si>
    <t>A.5.2.4 Observation method</t>
  </si>
  <si>
    <t>A.5.2.5 Observation device</t>
  </si>
  <si>
    <t>A.5.2.8 Order</t>
  </si>
  <si>
    <t>A.5.2.9 Performer</t>
  </si>
  <si>
    <t>A.5.2.10 Reporter</t>
  </si>
  <si>
    <t>A.5.2.11 Observation result</t>
  </si>
  <si>
    <t>A.5.2.12 Observation interpretation</t>
  </si>
  <si>
    <t>A.5.2.13 Result description</t>
  </si>
  <si>
    <t>A.5.2.14 Accreditation status</t>
  </si>
  <si>
    <t>Date and time of the observation - Preferred system(s): ISO 8601</t>
  </si>
  <si>
    <t>Results data elements (A.5)</t>
  </si>
  <si>
    <t>narrative</t>
  </si>
  <si>
    <t>narrative.report</t>
  </si>
  <si>
    <t>narrative.notes</t>
  </si>
  <si>
    <t>observation</t>
  </si>
  <si>
    <t>Narrative</t>
  </si>
  <si>
    <t>A.5.2 Observation details</t>
  </si>
  <si>
    <t>observation.dateTime</t>
  </si>
  <si>
    <t>observation.code</t>
  </si>
  <si>
    <t>Code representing the observation using the agreed code systems.
- Preferred system(s): LOINC
 - Preferred system(s): NPU
 - Preferred system(s): SNOMED CT</t>
  </si>
  <si>
    <t>observation.code.name</t>
  </si>
  <si>
    <t>observation.code.originalName</t>
  </si>
  <si>
    <t>observation.code.displayName</t>
  </si>
  <si>
    <t>observation.method</t>
  </si>
  <si>
    <t>observation.device</t>
  </si>
  <si>
    <t>Device (analyser), laboratory test kit and used calibrator information (identifier, type, name, model, manufacturer)
- Preferred system(s): SNOMED CT
 - Preferred system(s): EMDN</t>
  </si>
  <si>
    <t>observation.order</t>
  </si>
  <si>
    <t>observation.performer</t>
  </si>
  <si>
    <t>Identifies order and order placer this observation belongs to.</t>
  </si>
  <si>
    <t>observation.reporter</t>
  </si>
  <si>
    <t>observation.result</t>
  </si>
  <si>
    <t>Information about reference intervals and result interpretation.
 - Preferred system(s): SNOMED CT
 - Preferred system(s): HL7 v3 Code System ObservationInterpretation</t>
  </si>
  <si>
    <t>observation.interpretation</t>
  </si>
  <si>
    <t>observation.description</t>
  </si>
  <si>
    <t>observation.accreditationStatus</t>
  </si>
  <si>
    <t>Observation method (measurement principle) to obtain the result.
- Preferred system(s): SNOMED CT</t>
  </si>
  <si>
    <t>http://hl7.eu/fhir/ig/xeh/StructureDefinition/Result</t>
  </si>
  <si>
    <t>A.1.1.2 Given name</t>
  </si>
  <si>
    <t>A.1.1.3 Date of birth</t>
  </si>
  <si>
    <t>A.1.1.4 Personal identifier</t>
  </si>
  <si>
    <t>Health insurance and payment information (A.1.3)</t>
  </si>
  <si>
    <t>A.1.4.3 Recipient organization</t>
  </si>
  <si>
    <t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t>
  </si>
  <si>
    <t xml:space="preserve">Recipient organization </t>
  </si>
  <si>
    <t>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t>
  </si>
  <si>
    <t>A.1.5.3 Author organization</t>
  </si>
  <si>
    <t xml:space="preserve">The health professional or authoring device identification number. Either an internal identifier assigned by a healthcare provider institution or (preferably) a national health professional ID such as the license or registration number.  - Preferred system(s): </t>
  </si>
  <si>
    <t xml:space="preserve">The health professional or authoring device identification number. Either an internal identifier assigned by a healthcare provider institution or (preferably) a national health professional ID such as the license or registration number. </t>
  </si>
  <si>
    <t xml:space="preserve">Author organization </t>
  </si>
  <si>
    <t>A.1.6.3 Legal authenticator organization</t>
  </si>
  <si>
    <t xml:space="preserve">The health professional identification number. Either an internal identifier assigned by a healthcare provider institution or (preferably) a national health professional ID such as the license or registration number.  - Preferred system(s): </t>
  </si>
  <si>
    <t xml:space="preserve">The health professional identification number. Either an internal identifier assigned by a healthcare provider institution or (preferably) a national health professional ID such as the license or registration number. </t>
  </si>
  <si>
    <t xml:space="preserve">Legal authenticator organization </t>
  </si>
  <si>
    <t xml:space="preserve">The health professional identification number. Either an internal identifier assign by a healthcare provider institution or (preferably) a national health professional ID such as the license or registration number.  - Preferred system(s): </t>
  </si>
  <si>
    <t>A.1.7.2 Result validator name</t>
  </si>
  <si>
    <t xml:space="preserve">The health professional identification number. Either an internal identifier assign by a healthcare provider institution or (preferably) a national health professional ID such as the license or registration number. </t>
  </si>
  <si>
    <t>Result validator name</t>
  </si>
  <si>
    <t xml:space="preserve">Result validator organisation </t>
  </si>
  <si>
    <t>A.1.7.3 Result validator organisation</t>
  </si>
  <si>
    <t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t>
  </si>
  <si>
    <t xml:space="preserve">Order placer organization </t>
  </si>
  <si>
    <t>A.2.6 Order placer organization</t>
  </si>
  <si>
    <t>A.5.1 Laboratory report narrative</t>
  </si>
  <si>
    <t xml:space="preserve">A.5.2 Observation details (report could consist of multiple observations) </t>
  </si>
  <si>
    <t>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t>
  </si>
  <si>
    <t xml:space="preserve">A.5.1 Laboratory report narrative </t>
  </si>
  <si>
    <t xml:space="preserve">Entire report (textual summary inside the laboratory result report document) as issued by the laboratory. </t>
  </si>
  <si>
    <t>A.5.2 Observation details (report could consist of multiple observations)</t>
  </si>
  <si>
    <t xml:space="preserve">Identifies order and order placer this observation belongs to. </t>
  </si>
  <si>
    <t xml:space="preserve">Identifies the originator/author and provides provenance information about the source of the results data that may have not originated with the source of the whole Laboratory Report document. </t>
  </si>
  <si>
    <t>Result of the observation including text, numeric and coded results of the measurement and measurement uncertainty. Content of the observation result will vary according to the type of the observation.</t>
  </si>
  <si>
    <t>A.1.2 Patient/subject related contact information</t>
  </si>
  <si>
    <t>A.1.6 Legal authenticator</t>
  </si>
  <si>
    <t>SpecimenLab</t>
  </si>
  <si>
    <t>http://hl7.eu/fhir/ig/xeh/StructureDefinition/SpecimenLab</t>
  </si>
  <si>
    <t>.extension('http://hl7.org/fhir/StructureDefinition/cqf-receivingOrganization') [TBD}</t>
  </si>
  <si>
    <t>Coverage</t>
  </si>
  <si>
    <t>Coverage.policyHolder.resolve().identifier</t>
  </si>
  <si>
    <t>Coverage.beneficiary.resolve().identifier</t>
  </si>
  <si>
    <t>Coverage.subscriber.resolve().identifier</t>
  </si>
  <si>
    <t>Coverage.subscriberId</t>
  </si>
  <si>
    <t>Coverage.payor.ofType(Organization).resolve().identifier</t>
  </si>
  <si>
    <t>Coverage.payor.ofType(Organization).resolve().name</t>
  </si>
  <si>
    <t>Practictioner</t>
  </si>
  <si>
    <t>PractictionerRole</t>
  </si>
  <si>
    <t>.identifier</t>
  </si>
  <si>
    <t>RelatedPerson</t>
  </si>
  <si>
    <t>Organization.name</t>
  </si>
  <si>
    <t>Patientn.name</t>
  </si>
  <si>
    <t>RelatedPerson.name</t>
  </si>
  <si>
    <t>Practictioner.name</t>
  </si>
  <si>
    <t>PractictionerRole.practitioner.resolve().name</t>
  </si>
  <si>
    <t>PractictionerRole.organization.resolve()</t>
  </si>
  <si>
    <t>Composition.author.resolve()</t>
  </si>
  <si>
    <t>Composition.author.resolve().ofType(PractictionerRole).practictioner.resolve().identifier</t>
  </si>
  <si>
    <t>Composition.author.resolve().ofType(PractictionerRole).identifier</t>
  </si>
  <si>
    <t>Composition.author.resolve().ofType(PractictionerRole).practictioner.resolve().name</t>
  </si>
  <si>
    <t>Composition.author.resolve().ofType(PractictionerRole).organization.resolve()</t>
  </si>
  <si>
    <t>.party.resolve().ofType(PractictionerRole).identifier</t>
  </si>
  <si>
    <t>.party.resolve().ofType(PractictionerRole).practictioner.resolve().identifier</t>
  </si>
  <si>
    <t>.party.resolve().ofType(PractictionerRole).practictioner.resolve().name</t>
  </si>
  <si>
    <t>.party.resolve().ofType(PractictionerRole).organization.resolve()</t>
  </si>
  <si>
    <t>.party.resolve().ofType(Organization)</t>
  </si>
  <si>
    <t>.time</t>
  </si>
  <si>
    <t>Composition.section:no-subsections.entry.resolve()</t>
  </si>
  <si>
    <t>Composition.section:subsections.section.entry.resolve()</t>
  </si>
  <si>
    <t>ServiceRequest.identifier</t>
  </si>
  <si>
    <t>ServiceRequest.authoredOn</t>
  </si>
  <si>
    <t>ServiceRequest.requester.resolve().ofType(PractictionerRole).identifier</t>
  </si>
  <si>
    <t>ServiceRequest.requester.resolve().ofType(PractictionerRole).practictioner.resolve().identifier</t>
  </si>
  <si>
    <t>ServiceRequest.requester.resolve().ofType(PractictionerRole).practictioner.resolve().name</t>
  </si>
  <si>
    <t>ServiceRequest.requester.resolve().ofType(PractictionerRole).organization.resolve()</t>
  </si>
  <si>
    <t>ServiceRequest.requester.resolve().ofType(Organization)</t>
  </si>
  <si>
    <t>ServiceRequest.requester.resolve().ofType(PractictionerRole).telecom</t>
  </si>
  <si>
    <t>ServiceRequest.requester.resolve().ofType(PractictionerRole).location</t>
  </si>
  <si>
    <t>ServiceRequest.reasonCode</t>
  </si>
  <si>
    <t>Specimen.identifier</t>
  </si>
  <si>
    <t>Specimen.type</t>
  </si>
  <si>
    <t>Specimen.collection.collected[x]</t>
  </si>
  <si>
    <t>Specimen.collection.bodySite</t>
  </si>
  <si>
    <t>Specimen.collection.bodySite.extension(qualifier) (TBD)</t>
  </si>
  <si>
    <t>Specimen.container</t>
  </si>
  <si>
    <t>Specimen.collection.method</t>
  </si>
  <si>
    <t>Specimen.receivedTime</t>
  </si>
  <si>
    <t>Observation.conformsTo('http://hl7.eu/fhir/ig/xeh/StructureDefinition/Observation-results-laboratory-eu-xeh')</t>
  </si>
  <si>
    <t>Entire report (textual summary inside the laboratory result report document) as issued by the laboratory.</t>
  </si>
  <si>
    <t>Composition.section.text</t>
  </si>
  <si>
    <t>Composition.section.section.text</t>
  </si>
  <si>
    <t>Composition.text</t>
  </si>
  <si>
    <t>Composition.section:annotations.text</t>
  </si>
  <si>
    <t>Observation.hasMember.resolve()</t>
  </si>
  <si>
    <t>Observation.component</t>
  </si>
  <si>
    <t>Observation.effective[x]</t>
  </si>
  <si>
    <t>Observation.code</t>
  </si>
  <si>
    <t>Observation.code.coding.display</t>
  </si>
  <si>
    <t>Observation.code.text</t>
  </si>
  <si>
    <t>Observation.code.coding.display.extension('translation') (TBD)</t>
  </si>
  <si>
    <t>Observation.method</t>
  </si>
  <si>
    <t>Observation.device.resolve()</t>
  </si>
  <si>
    <t>Observation.basedOn.resolve().ofType(ServiceRequest)</t>
  </si>
  <si>
    <t>Observation.performer.resolve()</t>
  </si>
  <si>
    <t>Observation.value[x]</t>
  </si>
  <si>
    <t>Observation.interpretation</t>
  </si>
  <si>
    <t>Observation.text</t>
  </si>
  <si>
    <t>Observation.note</t>
  </si>
  <si>
    <t>ServiceRequest.conformsTo('http://hl7.eu/fhir/ig/xeh/StructureDefinition/ServiceRequest-lab-xeh').insurance.resolve()</t>
  </si>
  <si>
    <t>Composition.extension('http://hl7.eu/fhir/ig/xeh/StructureDefinition/composition-basedOn-order-or-requisition').valueIdentifier</t>
  </si>
  <si>
    <t>ServiceRequest.conformsTo('http://hl7.eu/fhir/ig/xeh/StructureDefinition/ServiceRequest-lab-xeh').insurance.resolve().ofType(Coverage)</t>
  </si>
  <si>
    <t>Result validator (A.1.7)</t>
  </si>
  <si>
    <t>addressTelecom</t>
  </si>
  <si>
    <t>addressTelecom.address</t>
  </si>
  <si>
    <t>addressTelecom.telecom</t>
  </si>
  <si>
    <t>DiagnosticReport.conformsTo('http://hl7.eu/fhir/ig/xeh/StructureDefinition/DiagnosticReport-lab-xeh').specimen.resolve()</t>
  </si>
  <si>
    <t>DiagnosticReport.conformsTo('http://hl7.eu/fhir/ig/xeh/StructureDefinition/DiagnosticReport-lab-xeh').result.resolve()</t>
  </si>
  <si>
    <t>DiagnosticReport.conformsTo('http://hl7.eu/fhir/ig/xeh/StructureDefinition/DiagnosticReport-lab-xeh').basedOn.resolve()</t>
  </si>
  <si>
    <t>DiagnosticReport.conformsTo('http://hl7.eu/fhir/ig/xeh/StructureDefinition/DiagnosticReport-lab-xeh').basedOn.extension('http://hl7.eu/fhir/ig/xeh/StructureDefinition/diagnostic-report-basedOn-requisition').valueIdentifier</t>
  </si>
  <si>
    <t>Comment</t>
  </si>
  <si>
    <t>//  Comments</t>
  </si>
  <si>
    <t>//--------------------------------------------------------------------------------</t>
  </si>
  <si>
    <t>* group[=].element[+].code = #Osiris.Patient.BirthDate</t>
  </si>
  <si>
    <t>* group[=].element[=].display = "Birth Date [C4]"</t>
  </si>
  <si>
    <t>* group[=].element[=].target.code = #Subject.dateOfBirth.date</t>
  </si>
  <si>
    <t>* group[=].element[=].target.display = "Date of birth"</t>
  </si>
  <si>
    <t>* group[=].element[=].target.equivalence = #equivalent</t>
  </si>
  <si>
    <t>Elements</t>
  </si>
  <si>
    <t>source:code</t>
  </si>
  <si>
    <t>source:display</t>
  </si>
  <si>
    <t>code</t>
  </si>
  <si>
    <t>display</t>
  </si>
  <si>
    <t>target to source</t>
  </si>
  <si>
    <t>Osiris</t>
  </si>
  <si>
    <t>equivalent</t>
  </si>
  <si>
    <t>relatedto</t>
  </si>
  <si>
    <t>unmatched</t>
  </si>
  <si>
    <t>narrower</t>
  </si>
  <si>
    <t>wider</t>
  </si>
  <si>
    <t xml:space="preserve">//  Concept Model. File: </t>
  </si>
  <si>
    <t>subject-to-osiris-map.fsh</t>
  </si>
  <si>
    <t>Instance: ConceptMapSubject2Osiris</t>
  </si>
  <si>
    <t>InstanceOf: ConceptMap</t>
  </si>
  <si>
    <t>Usage: #definition</t>
  </si>
  <si>
    <t>* url = ##34#http://terminology.hl7.it/ConceptMap/ConceptMap-subject2osiris##34#</t>
  </si>
  <si>
    <t>* name = ##34#Subject2Osiris##34#</t>
  </si>
  <si>
    <t>* title = ##34#IDEA4RC Subject model to Osiris mapping##34#</t>
  </si>
  <si>
    <t>* status = #draft</t>
  </si>
  <si>
    <t>* experimental = true</t>
  </si>
  <si>
    <t>* description = ##334#IDEA4RC Subject model to Osiris mapping##334#</t>
  </si>
  <si>
    <t>* purpose = ##34#It shows how the IDEA4RC subject model is mapped into Osiris##34#</t>
  </si>
  <si>
    <t>* sourceUri = ##34#http://hl7.eu/fhir/ig/idea4rc/StructureDefinition/Subject##34#</t>
  </si>
  <si>
    <t>* targetUri = ##34#http://hl7.eu/fhir/ig/idea4rc/StructureDefinition/Osiris##34#</t>
  </si>
  <si>
    <t>* group[0].source = ##34#http://hl7.eu/fhir/ig/idea4rc/StructureDefinition/Subject##34#</t>
  </si>
  <si>
    <t>* group[=].target = ##34#http://hl7.eu/fhir/ig/idea4rc/StructureDefinition/Osiris##34#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</si>
</sst>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1"/>
      <name val="Calibri"/>
      <family val="2"/>
    </font>
    <font>
      <sz val="12"/>
      <color theme="1"/>
      <name val="Calibri"/>
      <family val="2"/>
    </font>
    <font>
      <sz val="10"/>
      <color theme="1"/>
      <name val="Times New Roman"/>
      <family val="1"/>
    </font>
    <font>
      <i/>
      <sz val="12"/>
      <color theme="1"/>
      <name val="Calibri"/>
      <family val="2"/>
    </font>
    <font>
      <b/>
      <sz val="12"/>
      <color theme="0"/>
      <name val="Calibri"/>
      <family val="2"/>
      <scheme val="minor"/>
    </font>
    <font>
      <sz val="11"/>
      <color rgb="FF9C5700"/>
      <name val="Calibri"/>
      <family val="2"/>
      <scheme val="minor"/>
    </font>
    <font>
      <sz val="11"/>
      <name val="Calibri"/>
      <family val="2"/>
      <scheme val="minor"/>
    </font>
  </fonts>
  <fills count="15">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rgb="FFFFEB9C"/>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4" tint="0.59999389629810485"/>
        <bgColor indexed="64"/>
      </patternFill>
    </fill>
  </fills>
  <borders count="33">
    <border>
      <left/>
      <right/>
      <top/>
      <bottom/>
      <diagonal/>
    </border>
    <border>
      <left style="thin">
        <color auto="1"/>
      </left>
      <right style="thin">
        <color auto="1"/>
      </right>
      <top style="thin">
        <color auto="1"/>
      </top>
      <bottom style="thin">
        <color auto="1"/>
      </bottom>
      <diagonal/>
    </border>
    <border>
      <left/>
      <right style="medium">
        <color indexed="64"/>
      </right>
      <top/>
      <bottom style="medium">
        <color indexed="64"/>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auto="1"/>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style="thin">
        <color auto="1"/>
      </right>
      <top/>
      <bottom style="thin">
        <color auto="1"/>
      </bottom>
      <diagonal/>
    </border>
    <border>
      <left style="thin">
        <color auto="1"/>
      </left>
      <right/>
      <top style="thin">
        <color auto="1"/>
      </top>
      <bottom/>
      <diagonal/>
    </border>
    <border>
      <left style="medium">
        <color indexed="64"/>
      </left>
      <right style="thin">
        <color indexed="64"/>
      </right>
      <top style="medium">
        <color indexed="64"/>
      </top>
      <bottom/>
      <diagonal/>
    </border>
  </borders>
  <cellStyleXfs count="5">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4" fillId="10" borderId="0" applyNumberFormat="0" applyBorder="0" applyAlignment="0" applyProtection="0"/>
  </cellStyleXfs>
  <cellXfs count="104">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3"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Border="1"/>
    <xf numFmtId="0" fontId="0" fillId="3" borderId="1" xfId="0" applyFill="1" applyBorder="1"/>
    <xf numFmtId="0" fontId="0" fillId="0" borderId="1" xfId="0" applyBorder="1"/>
    <xf numFmtId="0" fontId="3" fillId="0" borderId="0" xfId="0" applyFont="1"/>
    <xf numFmtId="0" fontId="2" fillId="0" borderId="9" xfId="1" applyBorder="1"/>
    <xf numFmtId="0" fontId="4" fillId="2" borderId="0" xfId="0" applyFont="1" applyFill="1" applyAlignment="1">
      <alignment horizontal="center" vertical="top" wrapText="1"/>
    </xf>
    <xf numFmtId="0" fontId="1" fillId="6" borderId="5" xfId="0" applyFont="1" applyFill="1" applyBorder="1"/>
    <xf numFmtId="0" fontId="0" fillId="0" borderId="1" xfId="0" applyBorder="1" applyAlignment="1">
      <alignment wrapText="1"/>
    </xf>
    <xf numFmtId="0" fontId="0" fillId="5" borderId="1" xfId="0" applyFill="1" applyBorder="1" applyAlignment="1">
      <alignment wrapText="1"/>
    </xf>
    <xf numFmtId="0" fontId="0" fillId="0" borderId="10" xfId="0" applyBorder="1"/>
    <xf numFmtId="0" fontId="0" fillId="0" borderId="6" xfId="0" applyBorder="1"/>
    <xf numFmtId="0" fontId="1" fillId="0" borderId="7" xfId="0" applyFont="1" applyBorder="1"/>
    <xf numFmtId="0" fontId="0" fillId="0" borderId="11" xfId="0" applyBorder="1"/>
    <xf numFmtId="0" fontId="1" fillId="0" borderId="12" xfId="0" applyFont="1" applyBorder="1"/>
    <xf numFmtId="0" fontId="0" fillId="0" borderId="13" xfId="0" applyBorder="1"/>
    <xf numFmtId="0" fontId="3" fillId="0" borderId="0" xfId="0" applyFont="1" applyAlignment="1">
      <alignment wrapText="1"/>
    </xf>
    <xf numFmtId="0" fontId="0" fillId="0" borderId="14" xfId="0" applyBorder="1"/>
    <xf numFmtId="0" fontId="6" fillId="7" borderId="15"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6" fillId="7" borderId="0" xfId="2" applyBorder="1" applyAlignment="1">
      <alignment wrapText="1"/>
    </xf>
    <xf numFmtId="0" fontId="8" fillId="7" borderId="15" xfId="2" applyFont="1" applyBorder="1" applyAlignment="1">
      <alignment wrapText="1"/>
    </xf>
    <xf numFmtId="0" fontId="8" fillId="7" borderId="0" xfId="2" applyFont="1" applyBorder="1" applyAlignment="1">
      <alignment wrapText="1"/>
    </xf>
    <xf numFmtId="0" fontId="3" fillId="0" borderId="11" xfId="0" applyFont="1" applyBorder="1"/>
    <xf numFmtId="0" fontId="9" fillId="0" borderId="21" xfId="0" applyFont="1" applyBorder="1" applyAlignment="1">
      <alignment horizontal="center" vertical="center" wrapText="1"/>
    </xf>
    <xf numFmtId="0" fontId="10" fillId="0" borderId="23" xfId="0" applyFont="1" applyBorder="1" applyAlignment="1">
      <alignment horizontal="justify" vertical="center" wrapText="1"/>
    </xf>
    <xf numFmtId="0" fontId="10" fillId="0" borderId="2" xfId="0" applyFont="1" applyBorder="1" applyAlignment="1">
      <alignment horizontal="justify" vertical="center" wrapText="1"/>
    </xf>
    <xf numFmtId="0" fontId="11" fillId="0" borderId="2" xfId="0" applyFont="1" applyBorder="1" applyAlignment="1">
      <alignment vertical="center" wrapText="1"/>
    </xf>
    <xf numFmtId="0" fontId="10" fillId="0" borderId="2" xfId="0" applyFont="1" applyBorder="1" applyAlignment="1">
      <alignment horizontal="left" vertical="center" wrapText="1"/>
    </xf>
    <xf numFmtId="0" fontId="10" fillId="0" borderId="8" xfId="0" applyFont="1" applyBorder="1" applyAlignment="1">
      <alignment horizontal="justify" vertical="center" wrapText="1"/>
    </xf>
    <xf numFmtId="0" fontId="0" fillId="0" borderId="8" xfId="0" applyBorder="1" applyAlignment="1">
      <alignment vertical="center" wrapText="1"/>
    </xf>
    <xf numFmtId="0" fontId="12" fillId="0" borderId="2" xfId="0" applyFont="1" applyBorder="1" applyAlignment="1">
      <alignment horizontal="left" vertical="center" wrapText="1"/>
    </xf>
    <xf numFmtId="0" fontId="10" fillId="0" borderId="8" xfId="0" applyFont="1" applyBorder="1" applyAlignment="1">
      <alignment horizontal="left" vertical="center" wrapText="1"/>
    </xf>
    <xf numFmtId="0" fontId="0" fillId="0" borderId="8" xfId="0" applyBorder="1" applyAlignment="1">
      <alignment horizontal="left" vertical="center" wrapText="1"/>
    </xf>
    <xf numFmtId="0" fontId="0" fillId="0" borderId="26" xfId="0" applyBorder="1"/>
    <xf numFmtId="0" fontId="1" fillId="0" borderId="27" xfId="0" applyFont="1" applyBorder="1"/>
    <xf numFmtId="0" fontId="0" fillId="0" borderId="28" xfId="0" applyBorder="1"/>
    <xf numFmtId="0" fontId="3" fillId="3" borderId="1" xfId="0" applyFont="1" applyFill="1" applyBorder="1" applyAlignment="1">
      <alignment wrapText="1"/>
    </xf>
    <xf numFmtId="0" fontId="9" fillId="0" borderId="20" xfId="0" applyFont="1" applyBorder="1" applyAlignment="1">
      <alignment vertical="center" wrapText="1"/>
    </xf>
    <xf numFmtId="0" fontId="9" fillId="0" borderId="22" xfId="0" applyFont="1" applyBorder="1" applyAlignment="1">
      <alignment vertical="center" wrapText="1"/>
    </xf>
    <xf numFmtId="0" fontId="9" fillId="0" borderId="21" xfId="0" applyFont="1" applyBorder="1" applyAlignment="1">
      <alignment vertical="center" wrapText="1"/>
    </xf>
    <xf numFmtId="0" fontId="0" fillId="0" borderId="10" xfId="0" applyBorder="1" applyAlignment="1">
      <alignment wrapText="1"/>
    </xf>
    <xf numFmtId="0" fontId="3" fillId="0" borderId="1" xfId="0" applyFont="1" applyBorder="1"/>
    <xf numFmtId="0" fontId="1" fillId="0" borderId="4" xfId="0" applyFont="1" applyBorder="1" applyAlignment="1">
      <alignment wrapText="1"/>
    </xf>
    <xf numFmtId="0" fontId="2" fillId="0" borderId="9" xfId="1" applyBorder="1" applyAlignment="1">
      <alignment wrapText="1"/>
    </xf>
    <xf numFmtId="0" fontId="13" fillId="8" borderId="29" xfId="3" applyFont="1" applyBorder="1" applyAlignment="1">
      <alignment horizontal="center" vertical="center"/>
    </xf>
    <xf numFmtId="0" fontId="0" fillId="0" borderId="3" xfId="0" applyBorder="1" applyAlignment="1">
      <alignment wrapText="1"/>
    </xf>
    <xf numFmtId="0" fontId="0" fillId="0" borderId="28" xfId="0" applyBorder="1" applyAlignment="1">
      <alignment wrapText="1"/>
    </xf>
    <xf numFmtId="0" fontId="0" fillId="0" borderId="30" xfId="0" applyBorder="1"/>
    <xf numFmtId="0" fontId="0" fillId="0" borderId="30" xfId="0" applyBorder="1" applyAlignment="1">
      <alignment wrapText="1"/>
    </xf>
    <xf numFmtId="0" fontId="0" fillId="0" borderId="31" xfId="0" applyBorder="1"/>
    <xf numFmtId="0" fontId="0" fillId="9" borderId="1" xfId="0" applyFill="1" applyBorder="1"/>
    <xf numFmtId="0" fontId="3" fillId="0" borderId="1" xfId="0" applyFont="1" applyBorder="1" applyAlignment="1">
      <alignment wrapText="1"/>
    </xf>
    <xf numFmtId="0" fontId="14" fillId="10" borderId="2" xfId="4" applyBorder="1" applyAlignment="1">
      <alignment horizontal="justify" vertical="center" wrapText="1"/>
    </xf>
    <xf numFmtId="0" fontId="0" fillId="11" borderId="1" xfId="0" applyFill="1" applyBorder="1"/>
    <xf numFmtId="0" fontId="0" fillId="12" borderId="1" xfId="0" applyFill="1" applyBorder="1"/>
    <xf numFmtId="0" fontId="0" fillId="13" borderId="1" xfId="0" applyFill="1" applyBorder="1"/>
    <xf numFmtId="0" fontId="9" fillId="0" borderId="20" xfId="0" applyFont="1" applyBorder="1" applyAlignment="1">
      <alignment horizontal="left" vertical="center" wrapText="1"/>
    </xf>
    <xf numFmtId="0" fontId="9" fillId="0" borderId="22" xfId="0" applyFont="1" applyBorder="1" applyAlignment="1">
      <alignment horizontal="left" vertical="center" wrapText="1"/>
    </xf>
    <xf numFmtId="0" fontId="9" fillId="0" borderId="21" xfId="0" applyFont="1" applyBorder="1" applyAlignment="1">
      <alignment horizontal="left" vertical="center" wrapText="1"/>
    </xf>
    <xf numFmtId="0" fontId="9" fillId="0" borderId="20" xfId="0" applyFont="1" applyBorder="1" applyAlignment="1">
      <alignment horizontal="center" vertical="center" wrapText="1"/>
    </xf>
    <xf numFmtId="0" fontId="9" fillId="0" borderId="21" xfId="0" applyFont="1" applyBorder="1" applyAlignment="1">
      <alignment horizontal="center" vertical="center" wrapText="1"/>
    </xf>
    <xf numFmtId="0" fontId="9" fillId="0" borderId="20" xfId="0" applyFont="1" applyBorder="1" applyAlignment="1">
      <alignment horizontal="justify" vertical="center" wrapText="1"/>
    </xf>
    <xf numFmtId="0" fontId="9" fillId="0" borderId="22" xfId="0" applyFont="1" applyBorder="1" applyAlignment="1">
      <alignment horizontal="justify" vertical="center" wrapText="1"/>
    </xf>
    <xf numFmtId="0" fontId="9" fillId="0" borderId="21" xfId="0" applyFont="1" applyBorder="1" applyAlignment="1">
      <alignment horizontal="justify" vertical="center" wrapText="1"/>
    </xf>
    <xf numFmtId="0" fontId="10" fillId="0" borderId="24" xfId="0" applyFont="1" applyBorder="1" applyAlignment="1">
      <alignment horizontal="justify" vertical="center" wrapText="1"/>
    </xf>
    <xf numFmtId="0" fontId="10" fillId="0" borderId="25" xfId="0" applyFont="1" applyBorder="1" applyAlignment="1">
      <alignment horizontal="justify" vertical="center" wrapText="1"/>
    </xf>
    <xf numFmtId="0" fontId="10" fillId="0" borderId="23" xfId="0" applyFont="1" applyBorder="1" applyAlignment="1">
      <alignment horizontal="justify" vertical="center" wrapText="1"/>
    </xf>
    <xf numFmtId="0" fontId="10" fillId="0" borderId="24" xfId="0" applyFont="1" applyBorder="1" applyAlignment="1">
      <alignment horizontal="left" vertical="center" wrapText="1"/>
    </xf>
    <xf numFmtId="0" fontId="10" fillId="0" borderId="25" xfId="0" applyFont="1" applyBorder="1" applyAlignment="1">
      <alignment horizontal="left" vertical="center" wrapText="1"/>
    </xf>
    <xf numFmtId="0" fontId="10" fillId="0" borderId="23" xfId="0" applyFont="1" applyBorder="1" applyAlignment="1">
      <alignment horizontal="left" vertical="center" wrapText="1"/>
    </xf>
    <xf numFmtId="0" fontId="2" fillId="0" borderId="20" xfId="1" applyBorder="1" applyAlignment="1">
      <alignment horizontal="justify" vertical="center" wrapText="1"/>
    </xf>
    <xf numFmtId="0" fontId="2" fillId="0" borderId="22" xfId="1" applyBorder="1" applyAlignment="1">
      <alignment horizontal="justify" vertical="center" wrapText="1"/>
    </xf>
    <xf numFmtId="0" fontId="2" fillId="0" borderId="21" xfId="1" applyBorder="1" applyAlignment="1">
      <alignment horizontal="justify" vertical="center" wrapText="1"/>
    </xf>
    <xf numFmtId="0" fontId="2" fillId="0" borderId="20" xfId="1" applyBorder="1" applyAlignment="1">
      <alignment horizontal="left" vertical="center" wrapText="1"/>
    </xf>
    <xf numFmtId="0" fontId="2" fillId="0" borderId="22" xfId="1" applyBorder="1" applyAlignment="1">
      <alignment horizontal="left" vertical="center" wrapText="1"/>
    </xf>
    <xf numFmtId="0" fontId="2" fillId="0" borderId="21" xfId="1" applyBorder="1" applyAlignment="1">
      <alignment horizontal="left" vertical="center" wrapText="1"/>
    </xf>
    <xf numFmtId="0" fontId="6" fillId="8" borderId="1" xfId="3" applyBorder="1" applyAlignment="1">
      <alignment wrapText="1"/>
    </xf>
    <xf numFmtId="0" fontId="1" fillId="0" borderId="0" xfId="0" applyFont="1"/>
    <xf numFmtId="0" fontId="1" fillId="0" borderId="0" xfId="0" applyFont="1" applyAlignment="1">
      <alignment wrapText="1"/>
    </xf>
    <xf numFmtId="0" fontId="0" fillId="5" borderId="0" xfId="0" applyFill="1" applyAlignment="1">
      <alignment wrapText="1"/>
    </xf>
    <xf numFmtId="0" fontId="1" fillId="0" borderId="1" xfId="0" applyFont="1" applyBorder="1"/>
    <xf numFmtId="0" fontId="1" fillId="0" borderId="1" xfId="0" applyFont="1" applyBorder="1" applyAlignment="1">
      <alignment horizontal="center"/>
    </xf>
    <xf numFmtId="0" fontId="1" fillId="6" borderId="32" xfId="0" applyFont="1" applyFill="1" applyBorder="1"/>
    <xf numFmtId="0" fontId="2" fillId="0" borderId="0" xfId="1" applyBorder="1"/>
    <xf numFmtId="0" fontId="1" fillId="6" borderId="1" xfId="0" applyFont="1" applyFill="1" applyBorder="1"/>
    <xf numFmtId="0" fontId="1" fillId="0" borderId="0" xfId="0" applyFont="1" applyAlignment="1">
      <alignment horizontal="center"/>
    </xf>
    <xf numFmtId="49" fontId="0" fillId="0" borderId="1" xfId="0" applyNumberFormat="1" applyBorder="1"/>
    <xf numFmtId="49" fontId="0" fillId="0" borderId="0" xfId="0" applyNumberFormat="1"/>
    <xf numFmtId="0" fontId="0" fillId="14" borderId="0" xfId="0" applyFill="1"/>
    <xf numFmtId="0" fontId="0" fillId="4" borderId="0" xfId="0" applyFill="1"/>
    <xf numFmtId="0" fontId="15" fillId="12" borderId="0" xfId="0" applyFont="1" applyFill="1"/>
    <xf numFmtId="0" fontId="3" fillId="2" borderId="0" xfId="0" applyFont="1" applyFill="1"/>
  </cellXfs>
  <cellStyles count="5">
    <cellStyle name="Collegamento ipertestuale" xfId="1" builtinId="8"/>
    <cellStyle name="Colore 1" xfId="2" builtinId="29"/>
    <cellStyle name="Colore 2" xfId="3" builtinId="33"/>
    <cellStyle name="Neutrale" xfId="4" builtinId="2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microsoft.com/office/2017/10/relationships/person" Target="persons/perso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86</xdr:row>
          <xdr:rowOff>171450</xdr:rowOff>
        </xdr:from>
        <xdr:to>
          <xdr:col>2</xdr:col>
          <xdr:colOff>1117600</xdr:colOff>
          <xdr:row>88</xdr:row>
          <xdr:rowOff>88900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0500-000002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5603" name="Button 3" hidden="1">
              <a:extLst>
                <a:ext uri="{63B3BB69-23CF-44E3-9099-C40C66FF867C}">
                  <a14:compatExt spid="_x0000_s25603"/>
                </a:ext>
                <a:ext uri="{FF2B5EF4-FFF2-40B4-BE49-F238E27FC236}">
                  <a16:creationId xmlns:a16="http://schemas.microsoft.com/office/drawing/2014/main" id="{00000000-0008-0000-0500-0000036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61793" name="Button 1" hidden="1">
              <a:extLst>
                <a:ext uri="{63B3BB69-23CF-44E3-9099-C40C66FF867C}">
                  <a14:compatExt spid="_x0000_s161793"/>
                </a:ext>
                <a:ext uri="{FF2B5EF4-FFF2-40B4-BE49-F238E27FC236}">
                  <a16:creationId xmlns:a16="http://schemas.microsoft.com/office/drawing/2014/main" id="{67A6E4DB-70D6-400E-8E18-45AE1FAEE627}"/>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8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0B00-000001B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0E00-000001C4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4993" name="Button 1" hidden="1">
              <a:extLst>
                <a:ext uri="{63B3BB69-23CF-44E3-9099-C40C66FF867C}">
                  <a14:compatExt spid="_x0000_s84993"/>
                </a:ext>
                <a:ext uri="{FF2B5EF4-FFF2-40B4-BE49-F238E27FC236}">
                  <a16:creationId xmlns:a16="http://schemas.microsoft.com/office/drawing/2014/main" id="{00000000-0008-0000-1100-0000014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6561" name="Button 1" hidden="1">
              <a:extLst>
                <a:ext uri="{63B3BB69-23CF-44E3-9099-C40C66FF867C}">
                  <a14:compatExt spid="_x0000_s66561"/>
                </a:ext>
                <a:ext uri="{FF2B5EF4-FFF2-40B4-BE49-F238E27FC236}">
                  <a16:creationId xmlns:a16="http://schemas.microsoft.com/office/drawing/2014/main" id="{00000000-0008-0000-1400-0000010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64513" name="Button 1" hidden="1">
              <a:extLst>
                <a:ext uri="{63B3BB69-23CF-44E3-9099-C40C66FF867C}">
                  <a14:compatExt spid="_x0000_s64513"/>
                </a:ext>
                <a:ext uri="{FF2B5EF4-FFF2-40B4-BE49-F238E27FC236}">
                  <a16:creationId xmlns:a16="http://schemas.microsoft.com/office/drawing/2014/main" id="{00000000-0008-0000-1700-000001FC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89089" name="Button 1" hidden="1">
              <a:extLst>
                <a:ext uri="{63B3BB69-23CF-44E3-9099-C40C66FF867C}">
                  <a14:compatExt spid="_x0000_s89089"/>
                </a:ext>
                <a:ext uri="{FF2B5EF4-FFF2-40B4-BE49-F238E27FC236}">
                  <a16:creationId xmlns:a16="http://schemas.microsoft.com/office/drawing/2014/main" id="{00000000-0008-0000-1A00-0000015C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1D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222250</xdr:colOff>
          <xdr:row>0</xdr:row>
          <xdr:rowOff>171450</xdr:rowOff>
        </xdr:from>
        <xdr:to>
          <xdr:col>5</xdr:col>
          <xdr:colOff>558800</xdr:colOff>
          <xdr:row>2</xdr:row>
          <xdr:rowOff>44450</xdr:rowOff>
        </xdr:to>
        <xdr:sp macro="" textlink="">
          <xdr:nvSpPr>
            <xdr:cNvPr id="115713" name="Button 1" hidden="1">
              <a:extLst>
                <a:ext uri="{63B3BB69-23CF-44E3-9099-C40C66FF867C}">
                  <a14:compatExt spid="_x0000_s115713"/>
                </a:ext>
                <a:ext uri="{FF2B5EF4-FFF2-40B4-BE49-F238E27FC236}">
                  <a16:creationId xmlns:a16="http://schemas.microsoft.com/office/drawing/2014/main" id="{00000000-0008-0000-2000-000001C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DR-SK"/>
      <sheetName val="Hospital Discharge Report "/>
      <sheetName val="Common"/>
      <sheetName val="HospitalDischargeReport"/>
      <sheetName val="HospitalDischargeReport-Map-1"/>
      <sheetName val="HospitalDischargeReport-fsh"/>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definedNames>
      <definedName name="export"/>
    </definedNames>
    <sheetDataSet>
      <sheetData sheetId="0"/>
      <sheetData sheetId="1"/>
      <sheetData sheetId="2"/>
      <sheetData sheetId="3">
        <row r="5">
          <cell r="B5" t="str">
            <v>HospitalDischargeReport</v>
          </cell>
        </row>
        <row r="6">
          <cell r="B6" t="str">
            <v>Hospital Discharge Report (eHN)</v>
          </cell>
        </row>
        <row r="8">
          <cell r="B8" t="str">
            <v>header</v>
          </cell>
          <cell r="C8" t="str">
            <v>A.1-Report header data element [Mandatory]</v>
          </cell>
        </row>
        <row r="9">
          <cell r="B9" t="str">
            <v>header.subject-identification</v>
          </cell>
          <cell r="C9" t="str">
            <v>A.1.1-Identification of the patient/subject [Mandatory]</v>
          </cell>
        </row>
        <row r="11">
          <cell r="B11" t="str">
            <v>header.payer</v>
          </cell>
          <cell r="C11" t="str">
            <v>A.1.3-Health insurance and payment information [Required]</v>
          </cell>
        </row>
        <row r="12">
          <cell r="B12" t="str">
            <v>header.informationRecipient</v>
          </cell>
          <cell r="C12" t="str">
            <v>A.1.4-Information recipient [Required]</v>
          </cell>
        </row>
        <row r="13">
          <cell r="B13" t="str">
            <v>header.author</v>
          </cell>
          <cell r="C13" t="str">
            <v>A.1.5-Author (by whom the Hospital discharge report was authored) [Mandatory]</v>
          </cell>
        </row>
        <row r="14">
          <cell r="B14" t="str">
            <v>header.attester</v>
          </cell>
          <cell r="C14" t="str">
            <v>A.1.6-Attester  [Required]</v>
          </cell>
        </row>
        <row r="15">
          <cell r="B15" t="str">
            <v>header.legalAuthenticator</v>
          </cell>
          <cell r="C15" t="str">
            <v>A.1.7-Legal authenticator [Required]</v>
          </cell>
        </row>
      </sheetData>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2">
          <cell r="I2" t="e">
            <v>#REF!</v>
          </cell>
          <cell r="J2" t="e">
            <v>#REF!</v>
          </cell>
        </row>
        <row r="4">
          <cell r="I4" t="e">
            <v>#REF!</v>
          </cell>
          <cell r="J4" t="e">
            <v>#REF!</v>
          </cell>
        </row>
        <row r="5">
          <cell r="I5" t="e">
            <v>#REF!</v>
          </cell>
          <cell r="J5" t="e">
            <v>#REF!</v>
          </cell>
        </row>
        <row r="6">
          <cell r="I6" t="e">
            <v>#REF!</v>
          </cell>
          <cell r="J6" t="e">
            <v>#REF!</v>
          </cell>
        </row>
      </sheetData>
      <sheetData sheetId="24"/>
      <sheetData sheetId="25"/>
      <sheetData sheetId="26"/>
      <sheetData sheetId="27"/>
      <sheetData sheetId="28"/>
      <sheetData sheetId="29"/>
      <sheetData sheetId="30"/>
    </sheetDataSet>
  </externalBook>
</externalLink>
</file>

<file path=xl/persons/person.xml><?xml version="1.0" encoding="utf-8"?>
<personList xmlns="http://schemas.microsoft.com/office/spreadsheetml/2018/threadedcomments" xmlns:x="http://schemas.openxmlformats.org/spreadsheetml/2006/main">
  <person displayName="Giorgio Cangioli" id="{3C83DDFD-8948-4013-AE43-43EFF8DD498C}"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D9" dT="2022-11-18T13:48:38.82" personId="{3C83DDFD-8948-4013-AE43-43EFF8DD498C}" id="{6DE5AA82-640F-4653-90AA-A807E1102ADA}">
    <text>Consider to add a order group id ( or make this explicit in the model)</text>
  </threadedComment>
</ThreadedComment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8.vml"/><Relationship Id="rId1" Type="http://schemas.openxmlformats.org/officeDocument/2006/relationships/drawing" Target="../drawings/drawing8.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9.vml"/><Relationship Id="rId1" Type="http://schemas.openxmlformats.org/officeDocument/2006/relationships/printerSettings" Target="../printerSettings/printerSettings10.bin"/><Relationship Id="rId4" Type="http://schemas.microsoft.com/office/2017/10/relationships/threadedComment" Target="../threadedComments/threadedComment1.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9.xml"/></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0.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72BFC-804B-40AB-9813-9E12017091FD}">
  <sheetPr codeName="Sheet1">
    <tabColor theme="9" tint="0.39997558519241921"/>
  </sheetPr>
  <dimension ref="B2:E44"/>
  <sheetViews>
    <sheetView workbookViewId="0">
      <selection activeCell="E6" sqref="E6:E12"/>
    </sheetView>
  </sheetViews>
  <sheetFormatPr defaultRowHeight="14.75" x14ac:dyDescent="0.75"/>
  <cols>
    <col min="2" max="2" width="7.5" bestFit="1" customWidth="1"/>
    <col min="3" max="3" width="27.86328125" customWidth="1"/>
    <col min="4" max="4" width="57.953125" customWidth="1"/>
    <col min="5" max="5" width="24.6328125" customWidth="1"/>
  </cols>
  <sheetData>
    <row r="2" spans="2:5" ht="15.5" thickBot="1" x14ac:dyDescent="0.9"/>
    <row r="3" spans="2:5" ht="16.75" thickBot="1" x14ac:dyDescent="0.9">
      <c r="B3" s="71" t="s">
        <v>39</v>
      </c>
      <c r="C3" s="72"/>
      <c r="D3" s="35" t="s">
        <v>40</v>
      </c>
      <c r="E3" s="35" t="s">
        <v>41</v>
      </c>
    </row>
    <row r="4" spans="2:5" ht="16.75" thickBot="1" x14ac:dyDescent="0.9">
      <c r="B4" s="73" t="s">
        <v>42</v>
      </c>
      <c r="C4" s="74"/>
      <c r="D4" s="74"/>
      <c r="E4" s="75"/>
    </row>
    <row r="5" spans="2:5" ht="16.75" thickBot="1" x14ac:dyDescent="0.9">
      <c r="B5" s="73" t="s">
        <v>43</v>
      </c>
      <c r="C5" s="74"/>
      <c r="D5" s="74"/>
      <c r="E5" s="75"/>
    </row>
    <row r="6" spans="2:5" ht="48.75" thickBot="1" x14ac:dyDescent="0.9">
      <c r="B6" s="36" t="s">
        <v>44</v>
      </c>
      <c r="C6" s="37" t="s">
        <v>45</v>
      </c>
      <c r="D6" s="37" t="s">
        <v>46</v>
      </c>
      <c r="E6" s="38"/>
    </row>
    <row r="7" spans="2:5" ht="48.75" thickBot="1" x14ac:dyDescent="0.9">
      <c r="B7" s="36" t="s">
        <v>47</v>
      </c>
      <c r="C7" s="37" t="s">
        <v>48</v>
      </c>
      <c r="D7" s="37" t="s">
        <v>49</v>
      </c>
      <c r="E7" s="38"/>
    </row>
    <row r="8" spans="2:5" ht="48.75" thickBot="1" x14ac:dyDescent="0.9">
      <c r="B8" s="36" t="s">
        <v>50</v>
      </c>
      <c r="C8" s="37" t="s">
        <v>51</v>
      </c>
      <c r="D8" s="37" t="s">
        <v>52</v>
      </c>
      <c r="E8" s="39" t="s">
        <v>53</v>
      </c>
    </row>
    <row r="9" spans="2:5" ht="48.75" thickBot="1" x14ac:dyDescent="0.9">
      <c r="B9" s="36" t="s">
        <v>54</v>
      </c>
      <c r="C9" s="37" t="s">
        <v>55</v>
      </c>
      <c r="D9" s="37" t="s">
        <v>56</v>
      </c>
      <c r="E9" s="38"/>
    </row>
    <row r="10" spans="2:5" ht="32" x14ac:dyDescent="0.75">
      <c r="B10" s="76" t="s">
        <v>57</v>
      </c>
      <c r="C10" s="76" t="s">
        <v>58</v>
      </c>
      <c r="D10" s="40" t="s">
        <v>59</v>
      </c>
      <c r="E10" s="79" t="s">
        <v>60</v>
      </c>
    </row>
    <row r="11" spans="2:5" x14ac:dyDescent="0.75">
      <c r="B11" s="77"/>
      <c r="C11" s="77"/>
      <c r="D11" s="41"/>
      <c r="E11" s="80"/>
    </row>
    <row r="12" spans="2:5" ht="32.75" thickBot="1" x14ac:dyDescent="0.9">
      <c r="B12" s="78"/>
      <c r="C12" s="78"/>
      <c r="D12" s="37" t="s">
        <v>61</v>
      </c>
      <c r="E12" s="81"/>
    </row>
    <row r="13" spans="2:5" ht="16.75" thickBot="1" x14ac:dyDescent="0.9">
      <c r="B13" s="68" t="s">
        <v>62</v>
      </c>
      <c r="C13" s="69"/>
      <c r="D13" s="69"/>
      <c r="E13" s="70"/>
    </row>
    <row r="14" spans="2:5" ht="96.75" thickBot="1" x14ac:dyDescent="0.9">
      <c r="B14" s="36" t="s">
        <v>63</v>
      </c>
      <c r="C14" s="37" t="s">
        <v>64</v>
      </c>
      <c r="D14" s="37" t="s">
        <v>65</v>
      </c>
      <c r="E14" s="39" t="s">
        <v>66</v>
      </c>
    </row>
    <row r="15" spans="2:5" ht="48.75" thickBot="1" x14ac:dyDescent="0.9">
      <c r="B15" s="36" t="s">
        <v>67</v>
      </c>
      <c r="C15" s="37" t="s">
        <v>68</v>
      </c>
      <c r="D15" s="37" t="s">
        <v>69</v>
      </c>
      <c r="E15" s="42"/>
    </row>
    <row r="16" spans="2:5" ht="16.75" thickBot="1" x14ac:dyDescent="0.9">
      <c r="B16" s="68" t="s">
        <v>70</v>
      </c>
      <c r="C16" s="69"/>
      <c r="D16" s="69"/>
      <c r="E16" s="70"/>
    </row>
    <row r="17" spans="2:5" ht="64.75" thickBot="1" x14ac:dyDescent="0.9">
      <c r="B17" s="36" t="s">
        <v>71</v>
      </c>
      <c r="C17" s="39" t="s">
        <v>72</v>
      </c>
      <c r="D17" s="37" t="s">
        <v>73</v>
      </c>
      <c r="E17" s="42"/>
    </row>
    <row r="18" spans="2:5" ht="32.75" thickBot="1" x14ac:dyDescent="0.9">
      <c r="B18" s="36" t="s">
        <v>74</v>
      </c>
      <c r="C18" s="39" t="s">
        <v>75</v>
      </c>
      <c r="D18" s="37" t="s">
        <v>76</v>
      </c>
      <c r="E18" s="42"/>
    </row>
    <row r="19" spans="2:5" ht="32.75" thickBot="1" x14ac:dyDescent="0.9">
      <c r="B19" s="36" t="s">
        <v>77</v>
      </c>
      <c r="C19" s="39" t="s">
        <v>78</v>
      </c>
      <c r="D19" s="37" t="s">
        <v>79</v>
      </c>
      <c r="E19" s="42"/>
    </row>
    <row r="20" spans="2:5" ht="32.75" thickBot="1" x14ac:dyDescent="0.9">
      <c r="B20" s="36" t="s">
        <v>80</v>
      </c>
      <c r="C20" s="39" t="s">
        <v>81</v>
      </c>
      <c r="D20" s="37" t="s">
        <v>82</v>
      </c>
      <c r="E20" s="42"/>
    </row>
    <row r="21" spans="2:5" ht="16.75" thickBot="1" x14ac:dyDescent="0.9">
      <c r="B21" s="68" t="s">
        <v>83</v>
      </c>
      <c r="C21" s="69"/>
      <c r="D21" s="69"/>
      <c r="E21" s="70"/>
    </row>
    <row r="22" spans="2:5" ht="96.75" thickBot="1" x14ac:dyDescent="0.9">
      <c r="B22" s="36" t="s">
        <v>84</v>
      </c>
      <c r="C22" s="37" t="s">
        <v>85</v>
      </c>
      <c r="D22" s="37" t="s">
        <v>86</v>
      </c>
      <c r="E22" s="42"/>
    </row>
    <row r="23" spans="2:5" ht="16.75" thickBot="1" x14ac:dyDescent="0.9">
      <c r="B23" s="36" t="s">
        <v>87</v>
      </c>
      <c r="C23" s="37" t="s">
        <v>88</v>
      </c>
      <c r="D23" s="37" t="s">
        <v>89</v>
      </c>
      <c r="E23" s="42"/>
    </row>
    <row r="24" spans="2:5" ht="16.75" thickBot="1" x14ac:dyDescent="0.9">
      <c r="B24" s="36" t="s">
        <v>90</v>
      </c>
      <c r="C24" s="37" t="s">
        <v>91</v>
      </c>
      <c r="D24" s="37" t="s">
        <v>92</v>
      </c>
      <c r="E24" s="42"/>
    </row>
    <row r="25" spans="2:5" ht="16.75" thickBot="1" x14ac:dyDescent="0.9">
      <c r="B25" s="68" t="s">
        <v>93</v>
      </c>
      <c r="C25" s="69"/>
      <c r="D25" s="69"/>
      <c r="E25" s="70"/>
    </row>
    <row r="26" spans="2:5" ht="64.75" thickBot="1" x14ac:dyDescent="0.9">
      <c r="B26" s="36" t="s">
        <v>94</v>
      </c>
      <c r="C26" s="37" t="s">
        <v>95</v>
      </c>
      <c r="D26" s="37" t="s">
        <v>96</v>
      </c>
      <c r="E26" s="42"/>
    </row>
    <row r="27" spans="2:5" ht="16.75" thickBot="1" x14ac:dyDescent="0.9">
      <c r="B27" s="36" t="s">
        <v>97</v>
      </c>
      <c r="C27" s="37" t="s">
        <v>98</v>
      </c>
      <c r="D27" s="37" t="s">
        <v>99</v>
      </c>
      <c r="E27" s="42"/>
    </row>
    <row r="28" spans="2:5" ht="16.75" thickBot="1" x14ac:dyDescent="0.9">
      <c r="B28" s="36" t="s">
        <v>100</v>
      </c>
      <c r="C28" s="37" t="s">
        <v>101</v>
      </c>
      <c r="D28" s="37" t="s">
        <v>92</v>
      </c>
      <c r="E28" s="42"/>
    </row>
    <row r="29" spans="2:5" ht="16.75" thickBot="1" x14ac:dyDescent="0.9">
      <c r="B29" s="68" t="s">
        <v>102</v>
      </c>
      <c r="C29" s="69"/>
      <c r="D29" s="69"/>
      <c r="E29" s="70"/>
    </row>
    <row r="30" spans="2:5" ht="64.75" thickBot="1" x14ac:dyDescent="0.9">
      <c r="B30" s="36" t="s">
        <v>103</v>
      </c>
      <c r="C30" s="39" t="s">
        <v>104</v>
      </c>
      <c r="D30" s="37" t="s">
        <v>105</v>
      </c>
      <c r="E30" s="42"/>
    </row>
    <row r="31" spans="2:5" ht="16.75" thickBot="1" x14ac:dyDescent="0.9">
      <c r="B31" s="36" t="s">
        <v>106</v>
      </c>
      <c r="C31" s="39" t="s">
        <v>107</v>
      </c>
      <c r="D31" s="37" t="s">
        <v>89</v>
      </c>
      <c r="E31" s="42"/>
    </row>
    <row r="32" spans="2:5" ht="32.75" thickBot="1" x14ac:dyDescent="0.9">
      <c r="B32" s="36" t="s">
        <v>108</v>
      </c>
      <c r="C32" s="39" t="s">
        <v>109</v>
      </c>
      <c r="D32" s="37" t="s">
        <v>92</v>
      </c>
      <c r="E32" s="42"/>
    </row>
    <row r="33" spans="2:5" ht="32.75" thickBot="1" x14ac:dyDescent="0.9">
      <c r="B33" s="36" t="s">
        <v>110</v>
      </c>
      <c r="C33" s="39" t="s">
        <v>111</v>
      </c>
      <c r="D33" s="37" t="s">
        <v>112</v>
      </c>
      <c r="E33" s="39" t="s">
        <v>113</v>
      </c>
    </row>
    <row r="34" spans="2:5" ht="16.75" thickBot="1" x14ac:dyDescent="0.9">
      <c r="B34" s="68" t="s">
        <v>114</v>
      </c>
      <c r="C34" s="69"/>
      <c r="D34" s="69"/>
      <c r="E34" s="70"/>
    </row>
    <row r="35" spans="2:5" ht="64.75" thickBot="1" x14ac:dyDescent="0.9">
      <c r="B35" s="36" t="s">
        <v>115</v>
      </c>
      <c r="C35" s="39" t="s">
        <v>116</v>
      </c>
      <c r="D35" s="37" t="s">
        <v>117</v>
      </c>
      <c r="E35" s="42"/>
    </row>
    <row r="36" spans="2:5" ht="16.75" thickBot="1" x14ac:dyDescent="0.9">
      <c r="B36" s="36" t="s">
        <v>118</v>
      </c>
      <c r="C36" s="39" t="s">
        <v>119</v>
      </c>
      <c r="D36" s="37" t="s">
        <v>89</v>
      </c>
      <c r="E36" s="42"/>
    </row>
    <row r="37" spans="2:5" ht="16.75" thickBot="1" x14ac:dyDescent="0.9">
      <c r="B37" s="36" t="s">
        <v>120</v>
      </c>
      <c r="C37" s="39" t="s">
        <v>121</v>
      </c>
      <c r="D37" s="37" t="s">
        <v>122</v>
      </c>
      <c r="E37" s="42"/>
    </row>
    <row r="38" spans="2:5" ht="16.75" thickBot="1" x14ac:dyDescent="0.9">
      <c r="B38" s="36" t="s">
        <v>123</v>
      </c>
      <c r="C38" s="39" t="s">
        <v>124</v>
      </c>
      <c r="D38" s="37" t="s">
        <v>125</v>
      </c>
      <c r="E38" s="39" t="s">
        <v>113</v>
      </c>
    </row>
    <row r="39" spans="2:5" ht="16.75" thickBot="1" x14ac:dyDescent="0.9">
      <c r="B39" s="68" t="s">
        <v>126</v>
      </c>
      <c r="C39" s="69"/>
      <c r="D39" s="69"/>
      <c r="E39" s="70"/>
    </row>
    <row r="40" spans="2:5" ht="32.75" thickBot="1" x14ac:dyDescent="0.9">
      <c r="B40" s="36" t="s">
        <v>127</v>
      </c>
      <c r="C40" s="37" t="s">
        <v>128</v>
      </c>
      <c r="D40" s="37" t="s">
        <v>129</v>
      </c>
      <c r="E40" s="39" t="s">
        <v>130</v>
      </c>
    </row>
    <row r="41" spans="2:5" ht="32.75" thickBot="1" x14ac:dyDescent="0.9">
      <c r="B41" s="36" t="s">
        <v>131</v>
      </c>
      <c r="C41" s="37" t="s">
        <v>132</v>
      </c>
      <c r="D41" s="37" t="s">
        <v>133</v>
      </c>
      <c r="E41" s="39" t="s">
        <v>134</v>
      </c>
    </row>
    <row r="42" spans="2:5" ht="16.75" thickBot="1" x14ac:dyDescent="0.9">
      <c r="B42" s="36" t="s">
        <v>135</v>
      </c>
      <c r="C42" s="37" t="s">
        <v>136</v>
      </c>
      <c r="D42" s="37" t="s">
        <v>137</v>
      </c>
      <c r="E42" s="39" t="s">
        <v>113</v>
      </c>
    </row>
    <row r="43" spans="2:5" ht="16.75" thickBot="1" x14ac:dyDescent="0.9">
      <c r="B43" s="36" t="s">
        <v>138</v>
      </c>
      <c r="C43" s="37" t="s">
        <v>139</v>
      </c>
      <c r="D43" s="37" t="s">
        <v>140</v>
      </c>
      <c r="E43" s="38"/>
    </row>
    <row r="44" spans="2:5" ht="32.75" thickBot="1" x14ac:dyDescent="0.9">
      <c r="B44" s="36" t="s">
        <v>141</v>
      </c>
      <c r="C44" s="37" t="s">
        <v>142</v>
      </c>
      <c r="D44" s="37" t="s">
        <v>143</v>
      </c>
      <c r="E44" s="42"/>
    </row>
  </sheetData>
  <mergeCells count="13">
    <mergeCell ref="B3:C3"/>
    <mergeCell ref="B4:E4"/>
    <mergeCell ref="B5:E5"/>
    <mergeCell ref="B10:B12"/>
    <mergeCell ref="C10:C12"/>
    <mergeCell ref="E10:E12"/>
    <mergeCell ref="B39:E39"/>
    <mergeCell ref="B13:E13"/>
    <mergeCell ref="B16:E16"/>
    <mergeCell ref="B21:E21"/>
    <mergeCell ref="B25:E25"/>
    <mergeCell ref="B29:E29"/>
    <mergeCell ref="B34:E34"/>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9C3DC1-0D5E-4AC4-A993-37D602704244}">
  <sheetPr codeName="Sheet2">
    <tabColor theme="9" tint="0.39997558519241921"/>
  </sheetPr>
  <dimension ref="B2:E53"/>
  <sheetViews>
    <sheetView topLeftCell="A25" workbookViewId="0">
      <selection activeCell="C40" sqref="C40:C42"/>
    </sheetView>
  </sheetViews>
  <sheetFormatPr defaultRowHeight="14.75" x14ac:dyDescent="0.75"/>
  <cols>
    <col min="2" max="2" width="8.40625" bestFit="1" customWidth="1"/>
    <col min="3" max="3" width="24.26953125" bestFit="1" customWidth="1"/>
    <col min="4" max="4" width="101.58984375" bestFit="1" customWidth="1"/>
    <col min="5" max="5" width="21.76953125" customWidth="1"/>
  </cols>
  <sheetData>
    <row r="2" spans="2:5" ht="15.5" thickBot="1" x14ac:dyDescent="0.9"/>
    <row r="3" spans="2:5" ht="32.75" thickBot="1" x14ac:dyDescent="0.9">
      <c r="B3" s="71" t="s">
        <v>39</v>
      </c>
      <c r="C3" s="72"/>
      <c r="D3" s="35" t="s">
        <v>40</v>
      </c>
      <c r="E3" s="35" t="s">
        <v>41</v>
      </c>
    </row>
    <row r="4" spans="2:5" ht="15.5" thickBot="1" x14ac:dyDescent="0.9">
      <c r="B4" s="82" t="s">
        <v>144</v>
      </c>
      <c r="C4" s="83"/>
      <c r="D4" s="83"/>
      <c r="E4" s="84"/>
    </row>
    <row r="5" spans="2:5" ht="16.75" thickBot="1" x14ac:dyDescent="0.9">
      <c r="B5" s="36" t="s">
        <v>145</v>
      </c>
      <c r="C5" s="39" t="s">
        <v>146</v>
      </c>
      <c r="D5" s="37" t="s">
        <v>147</v>
      </c>
      <c r="E5" s="42"/>
    </row>
    <row r="6" spans="2:5" ht="16.75" thickBot="1" x14ac:dyDescent="0.9">
      <c r="B6" s="36" t="s">
        <v>148</v>
      </c>
      <c r="C6" s="39" t="s">
        <v>149</v>
      </c>
      <c r="D6" s="37" t="s">
        <v>150</v>
      </c>
      <c r="E6" s="39" t="s">
        <v>113</v>
      </c>
    </row>
    <row r="7" spans="2:5" ht="64.75" thickBot="1" x14ac:dyDescent="0.9">
      <c r="B7" s="36" t="s">
        <v>151</v>
      </c>
      <c r="C7" s="39" t="s">
        <v>152</v>
      </c>
      <c r="D7" s="37" t="s">
        <v>153</v>
      </c>
      <c r="E7" s="42"/>
    </row>
    <row r="8" spans="2:5" ht="16.75" thickBot="1" x14ac:dyDescent="0.9">
      <c r="B8" s="36" t="s">
        <v>154</v>
      </c>
      <c r="C8" s="39" t="s">
        <v>155</v>
      </c>
      <c r="D8" s="37" t="s">
        <v>89</v>
      </c>
      <c r="E8" s="42"/>
    </row>
    <row r="9" spans="2:5" ht="32.75" thickBot="1" x14ac:dyDescent="0.9">
      <c r="B9" s="36" t="s">
        <v>156</v>
      </c>
      <c r="C9" s="39" t="s">
        <v>157</v>
      </c>
      <c r="D9" s="37" t="s">
        <v>158</v>
      </c>
      <c r="E9" s="38"/>
    </row>
    <row r="10" spans="2:5" ht="32.75" thickBot="1" x14ac:dyDescent="0.9">
      <c r="B10" s="36" t="s">
        <v>159</v>
      </c>
      <c r="C10" s="39" t="s">
        <v>160</v>
      </c>
      <c r="D10" s="37" t="s">
        <v>161</v>
      </c>
      <c r="E10" s="42"/>
    </row>
    <row r="11" spans="2:5" ht="15.5" thickBot="1" x14ac:dyDescent="0.9">
      <c r="B11" s="85" t="s">
        <v>162</v>
      </c>
      <c r="C11" s="86"/>
      <c r="D11" s="86"/>
      <c r="E11" s="87"/>
    </row>
    <row r="12" spans="2:5" ht="32" x14ac:dyDescent="0.75">
      <c r="B12" s="76" t="s">
        <v>163</v>
      </c>
      <c r="C12" s="76" t="s">
        <v>164</v>
      </c>
      <c r="D12" s="76" t="s">
        <v>165</v>
      </c>
      <c r="E12" s="43" t="s">
        <v>166</v>
      </c>
    </row>
    <row r="13" spans="2:5" ht="16" x14ac:dyDescent="0.75">
      <c r="B13" s="77"/>
      <c r="C13" s="77"/>
      <c r="D13" s="77"/>
      <c r="E13" s="43" t="s">
        <v>167</v>
      </c>
    </row>
    <row r="14" spans="2:5" ht="16.75" thickBot="1" x14ac:dyDescent="0.9">
      <c r="B14" s="78"/>
      <c r="C14" s="78"/>
      <c r="D14" s="78"/>
      <c r="E14" s="39" t="s">
        <v>168</v>
      </c>
    </row>
    <row r="15" spans="2:5" ht="15.5" thickBot="1" x14ac:dyDescent="0.9">
      <c r="B15" s="85" t="s">
        <v>169</v>
      </c>
      <c r="C15" s="86"/>
      <c r="D15" s="86"/>
      <c r="E15" s="87"/>
    </row>
    <row r="16" spans="2:5" ht="32.75" thickBot="1" x14ac:dyDescent="0.9">
      <c r="B16" s="36" t="s">
        <v>170</v>
      </c>
      <c r="C16" s="39" t="s">
        <v>171</v>
      </c>
      <c r="D16" s="37" t="s">
        <v>172</v>
      </c>
      <c r="E16" s="42"/>
    </row>
    <row r="17" spans="2:5" ht="16.75" thickBot="1" x14ac:dyDescent="0.9">
      <c r="B17" s="36" t="s">
        <v>173</v>
      </c>
      <c r="C17" s="39" t="s">
        <v>174</v>
      </c>
      <c r="D17" s="37" t="s">
        <v>175</v>
      </c>
      <c r="E17" s="39" t="s">
        <v>167</v>
      </c>
    </row>
    <row r="18" spans="2:5" ht="16.75" thickBot="1" x14ac:dyDescent="0.9">
      <c r="B18" s="36" t="s">
        <v>176</v>
      </c>
      <c r="C18" s="39" t="s">
        <v>177</v>
      </c>
      <c r="D18" s="37" t="s">
        <v>178</v>
      </c>
      <c r="E18" s="39" t="s">
        <v>167</v>
      </c>
    </row>
    <row r="19" spans="2:5" ht="16.75" thickBot="1" x14ac:dyDescent="0.9">
      <c r="B19" s="36" t="s">
        <v>179</v>
      </c>
      <c r="C19" s="39" t="s">
        <v>180</v>
      </c>
      <c r="D19" s="37" t="s">
        <v>181</v>
      </c>
      <c r="E19" s="39" t="s">
        <v>113</v>
      </c>
    </row>
    <row r="20" spans="2:5" ht="16.75" thickBot="1" x14ac:dyDescent="0.9">
      <c r="B20" s="36" t="s">
        <v>182</v>
      </c>
      <c r="C20" s="39" t="s">
        <v>183</v>
      </c>
      <c r="D20" s="37" t="s">
        <v>184</v>
      </c>
      <c r="E20" s="39" t="s">
        <v>167</v>
      </c>
    </row>
    <row r="21" spans="2:5" ht="32.75" thickBot="1" x14ac:dyDescent="0.9">
      <c r="B21" s="36" t="s">
        <v>185</v>
      </c>
      <c r="C21" s="39" t="s">
        <v>186</v>
      </c>
      <c r="D21" s="37" t="s">
        <v>187</v>
      </c>
      <c r="E21" s="39" t="s">
        <v>167</v>
      </c>
    </row>
    <row r="22" spans="2:5" ht="16" x14ac:dyDescent="0.75">
      <c r="B22" s="76" t="s">
        <v>188</v>
      </c>
      <c r="C22" s="79" t="s">
        <v>189</v>
      </c>
      <c r="D22" s="76" t="s">
        <v>190</v>
      </c>
      <c r="E22" s="43" t="s">
        <v>167</v>
      </c>
    </row>
    <row r="23" spans="2:5" x14ac:dyDescent="0.75">
      <c r="B23" s="77"/>
      <c r="C23" s="80"/>
      <c r="D23" s="77"/>
      <c r="E23" s="41"/>
    </row>
    <row r="24" spans="2:5" ht="16.75" thickBot="1" x14ac:dyDescent="0.9">
      <c r="B24" s="78"/>
      <c r="C24" s="81"/>
      <c r="D24" s="78"/>
      <c r="E24" s="39" t="s">
        <v>191</v>
      </c>
    </row>
    <row r="25" spans="2:5" ht="32.75" thickBot="1" x14ac:dyDescent="0.9">
      <c r="B25" s="36" t="s">
        <v>192</v>
      </c>
      <c r="C25" s="39" t="s">
        <v>193</v>
      </c>
      <c r="D25" s="37" t="s">
        <v>194</v>
      </c>
      <c r="E25" s="39" t="s">
        <v>167</v>
      </c>
    </row>
    <row r="26" spans="2:5" ht="16.75" thickBot="1" x14ac:dyDescent="0.9">
      <c r="B26" s="36" t="s">
        <v>195</v>
      </c>
      <c r="C26" s="39" t="s">
        <v>196</v>
      </c>
      <c r="D26" s="37" t="s">
        <v>197</v>
      </c>
      <c r="E26" s="39" t="s">
        <v>113</v>
      </c>
    </row>
    <row r="27" spans="2:5" ht="16.75" thickBot="1" x14ac:dyDescent="0.9">
      <c r="B27" s="68" t="s">
        <v>198</v>
      </c>
      <c r="C27" s="69"/>
      <c r="D27" s="69"/>
      <c r="E27" s="70"/>
    </row>
    <row r="28" spans="2:5" ht="16.75" thickBot="1" x14ac:dyDescent="0.9">
      <c r="B28" s="68" t="s">
        <v>199</v>
      </c>
      <c r="C28" s="69"/>
      <c r="D28" s="69"/>
      <c r="E28" s="70"/>
    </row>
    <row r="29" spans="2:5" ht="16.75" thickBot="1" x14ac:dyDescent="0.9">
      <c r="B29" s="36" t="s">
        <v>200</v>
      </c>
      <c r="C29" s="39" t="s">
        <v>201</v>
      </c>
      <c r="D29" s="37" t="s">
        <v>202</v>
      </c>
      <c r="E29" s="42"/>
    </row>
    <row r="30" spans="2:5" ht="48.75" thickBot="1" x14ac:dyDescent="0.9">
      <c r="B30" s="36" t="s">
        <v>203</v>
      </c>
      <c r="C30" s="39" t="s">
        <v>204</v>
      </c>
      <c r="D30" s="37" t="s">
        <v>205</v>
      </c>
      <c r="E30" s="42"/>
    </row>
    <row r="31" spans="2:5" ht="16.75" thickBot="1" x14ac:dyDescent="0.9">
      <c r="B31" s="68" t="s">
        <v>206</v>
      </c>
      <c r="C31" s="69"/>
      <c r="D31" s="69"/>
      <c r="E31" s="70"/>
    </row>
    <row r="32" spans="2:5" ht="16.75" thickBot="1" x14ac:dyDescent="0.9">
      <c r="B32" s="36" t="s">
        <v>207</v>
      </c>
      <c r="C32" s="39" t="s">
        <v>208</v>
      </c>
      <c r="D32" s="37" t="s">
        <v>209</v>
      </c>
      <c r="E32" s="39" t="s">
        <v>113</v>
      </c>
    </row>
    <row r="33" spans="2:5" ht="16" x14ac:dyDescent="0.75">
      <c r="B33" s="76" t="s">
        <v>210</v>
      </c>
      <c r="C33" s="79" t="s">
        <v>211</v>
      </c>
      <c r="D33" s="76" t="s">
        <v>212</v>
      </c>
      <c r="E33" s="43" t="s">
        <v>130</v>
      </c>
    </row>
    <row r="34" spans="2:5" ht="16" x14ac:dyDescent="0.75">
      <c r="B34" s="77"/>
      <c r="C34" s="80"/>
      <c r="D34" s="77"/>
      <c r="E34" s="43" t="s">
        <v>213</v>
      </c>
    </row>
    <row r="35" spans="2:5" ht="16.75" thickBot="1" x14ac:dyDescent="0.9">
      <c r="B35" s="78"/>
      <c r="C35" s="81"/>
      <c r="D35" s="78"/>
      <c r="E35" s="39" t="s">
        <v>167</v>
      </c>
    </row>
    <row r="36" spans="2:5" ht="32.75" thickBot="1" x14ac:dyDescent="0.9">
      <c r="B36" s="36" t="s">
        <v>214</v>
      </c>
      <c r="C36" s="39" t="s">
        <v>215</v>
      </c>
      <c r="D36" s="37" t="s">
        <v>216</v>
      </c>
      <c r="E36" s="38"/>
    </row>
    <row r="37" spans="2:5" ht="32.75" thickBot="1" x14ac:dyDescent="0.9">
      <c r="B37" s="36" t="s">
        <v>217</v>
      </c>
      <c r="C37" s="39" t="s">
        <v>218</v>
      </c>
      <c r="D37" s="37" t="s">
        <v>219</v>
      </c>
      <c r="E37" s="38"/>
    </row>
    <row r="38" spans="2:5" ht="32.75" thickBot="1" x14ac:dyDescent="0.9">
      <c r="B38" s="36" t="s">
        <v>220</v>
      </c>
      <c r="C38" s="39" t="s">
        <v>221</v>
      </c>
      <c r="D38" s="37" t="s">
        <v>222</v>
      </c>
      <c r="E38" s="38"/>
    </row>
    <row r="39" spans="2:5" ht="16.75" thickBot="1" x14ac:dyDescent="0.9">
      <c r="B39" s="36" t="s">
        <v>223</v>
      </c>
      <c r="C39" s="39" t="s">
        <v>224</v>
      </c>
      <c r="D39" s="37" t="s">
        <v>225</v>
      </c>
      <c r="E39" s="39" t="s">
        <v>167</v>
      </c>
    </row>
    <row r="40" spans="2:5" ht="16" x14ac:dyDescent="0.75">
      <c r="B40" s="76" t="s">
        <v>226</v>
      </c>
      <c r="C40" s="79" t="s">
        <v>227</v>
      </c>
      <c r="D40" s="76" t="s">
        <v>228</v>
      </c>
      <c r="E40" s="43" t="s">
        <v>167</v>
      </c>
    </row>
    <row r="41" spans="2:5" x14ac:dyDescent="0.75">
      <c r="B41" s="77"/>
      <c r="C41" s="80"/>
      <c r="D41" s="77"/>
      <c r="E41" s="41"/>
    </row>
    <row r="42" spans="2:5" ht="16.75" thickBot="1" x14ac:dyDescent="0.9">
      <c r="B42" s="78"/>
      <c r="C42" s="81"/>
      <c r="D42" s="78"/>
      <c r="E42" s="39" t="s">
        <v>191</v>
      </c>
    </row>
    <row r="43" spans="2:5" ht="16.75" thickBot="1" x14ac:dyDescent="0.9">
      <c r="B43" s="36" t="s">
        <v>229</v>
      </c>
      <c r="C43" s="39" t="s">
        <v>230</v>
      </c>
      <c r="D43" s="37" t="s">
        <v>231</v>
      </c>
      <c r="E43" s="38"/>
    </row>
    <row r="44" spans="2:5" ht="32.75" thickBot="1" x14ac:dyDescent="0.9">
      <c r="B44" s="36" t="s">
        <v>232</v>
      </c>
      <c r="C44" s="39" t="s">
        <v>233</v>
      </c>
      <c r="D44" s="37" t="s">
        <v>234</v>
      </c>
      <c r="E44" s="38"/>
    </row>
    <row r="45" spans="2:5" ht="32.75" thickBot="1" x14ac:dyDescent="0.9">
      <c r="B45" s="36" t="s">
        <v>235</v>
      </c>
      <c r="C45" s="39" t="s">
        <v>236</v>
      </c>
      <c r="D45" s="37" t="s">
        <v>237</v>
      </c>
      <c r="E45" s="38"/>
    </row>
    <row r="46" spans="2:5" ht="64" x14ac:dyDescent="0.75">
      <c r="B46" s="76" t="s">
        <v>238</v>
      </c>
      <c r="C46" s="79" t="s">
        <v>239</v>
      </c>
      <c r="D46" s="76" t="s">
        <v>240</v>
      </c>
      <c r="E46" s="43" t="s">
        <v>241</v>
      </c>
    </row>
    <row r="47" spans="2:5" x14ac:dyDescent="0.75">
      <c r="B47" s="77"/>
      <c r="C47" s="80"/>
      <c r="D47" s="77"/>
      <c r="E47" s="44"/>
    </row>
    <row r="48" spans="2:5" ht="16.75" thickBot="1" x14ac:dyDescent="0.9">
      <c r="B48" s="78"/>
      <c r="C48" s="81"/>
      <c r="D48" s="78"/>
      <c r="E48" s="39" t="s">
        <v>242</v>
      </c>
    </row>
    <row r="49" spans="2:5" ht="16" x14ac:dyDescent="0.75">
      <c r="B49" s="76" t="s">
        <v>243</v>
      </c>
      <c r="C49" s="79" t="s">
        <v>244</v>
      </c>
      <c r="D49" s="76" t="s">
        <v>245</v>
      </c>
      <c r="E49" s="43" t="s">
        <v>167</v>
      </c>
    </row>
    <row r="50" spans="2:5" x14ac:dyDescent="0.75">
      <c r="B50" s="77"/>
      <c r="C50" s="80"/>
      <c r="D50" s="77"/>
      <c r="E50" s="41"/>
    </row>
    <row r="51" spans="2:5" ht="48.75" thickBot="1" x14ac:dyDescent="0.9">
      <c r="B51" s="78"/>
      <c r="C51" s="81"/>
      <c r="D51" s="78"/>
      <c r="E51" s="39" t="s">
        <v>246</v>
      </c>
    </row>
    <row r="52" spans="2:5" ht="16.75" thickBot="1" x14ac:dyDescent="0.9">
      <c r="B52" s="36" t="s">
        <v>247</v>
      </c>
      <c r="C52" s="39" t="s">
        <v>248</v>
      </c>
      <c r="D52" s="37" t="s">
        <v>249</v>
      </c>
      <c r="E52" s="38"/>
    </row>
    <row r="53" spans="2:5" ht="16.75" thickBot="1" x14ac:dyDescent="0.9">
      <c r="B53" s="36" t="s">
        <v>250</v>
      </c>
      <c r="C53" s="39" t="s">
        <v>251</v>
      </c>
      <c r="D53" s="37" t="s">
        <v>252</v>
      </c>
      <c r="E53" s="38"/>
    </row>
  </sheetData>
  <mergeCells count="25">
    <mergeCell ref="B28:E28"/>
    <mergeCell ref="B3:C3"/>
    <mergeCell ref="B4:E4"/>
    <mergeCell ref="B11:E11"/>
    <mergeCell ref="B12:B14"/>
    <mergeCell ref="C12:C14"/>
    <mergeCell ref="D12:D14"/>
    <mergeCell ref="B15:E15"/>
    <mergeCell ref="B22:B24"/>
    <mergeCell ref="C22:C24"/>
    <mergeCell ref="D22:D24"/>
    <mergeCell ref="B27:E27"/>
    <mergeCell ref="B31:E31"/>
    <mergeCell ref="B33:B35"/>
    <mergeCell ref="C33:C35"/>
    <mergeCell ref="D33:D35"/>
    <mergeCell ref="B40:B42"/>
    <mergeCell ref="C40:C42"/>
    <mergeCell ref="D40:D42"/>
    <mergeCell ref="B46:B48"/>
    <mergeCell ref="C46:C48"/>
    <mergeCell ref="D46:D48"/>
    <mergeCell ref="B49:B51"/>
    <mergeCell ref="C49:C51"/>
    <mergeCell ref="D49:D51"/>
  </mergeCells>
  <hyperlinks>
    <hyperlink ref="B4:E4" location="Order!A1" display="A.2 Order information (Laboratory Result Report could respond to multiple test orders)" xr:uid="{A6CE0A3E-44BB-4DCB-9E5B-1475B556818A}"/>
    <hyperlink ref="B11:E11" location="Order!A1" display="A.3 Order reason (Laboratory Result Report could respond to multiple reasons)" xr:uid="{85B04399-775D-4C56-83BD-FB93CE752FD2}"/>
    <hyperlink ref="B15:E15" location="'Specimen-fsh'!A1" display="A.4 Specimen information" xr:uid="{EBDE2E24-ECA6-40B2-A8EA-12E322CB903D}"/>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F3137A-BB7B-4B5C-B50C-8D48AD88F26A}">
  <sheetPr codeName="Foglio1"/>
  <dimension ref="A1"/>
  <sheetViews>
    <sheetView workbookViewId="0">
      <selection activeCell="D6" sqref="D6"/>
    </sheetView>
  </sheetViews>
  <sheetFormatPr defaultRowHeight="14.75" x14ac:dyDescent="0.75"/>
  <cols>
    <col min="4" max="4" width="19.36328125" customWidth="1"/>
  </cols>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19A8D5-FCA9-4D98-B177-3721AA02B75D}">
  <sheetPr codeName="Foglio26">
    <tabColor theme="7" tint="0.39997558519241921"/>
  </sheetPr>
  <dimension ref="A1:N31"/>
  <sheetViews>
    <sheetView workbookViewId="0">
      <selection activeCell="H10" sqref="H1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56.58984375" style="1" customWidth="1"/>
    <col min="9" max="9" width="21.76953125" customWidth="1"/>
    <col min="10" max="10" width="67.1796875" style="1" customWidth="1"/>
    <col min="11" max="11" width="19.31640625" customWidth="1"/>
    <col min="12" max="12" width="55.7265625" customWidth="1"/>
    <col min="14" max="14" width="45.81640625" style="1" customWidth="1"/>
    <col min="15" max="15" width="8.7265625" customWidth="1"/>
  </cols>
  <sheetData>
    <row r="1" spans="1:12" x14ac:dyDescent="0.75">
      <c r="J1" s="32" t="s">
        <v>37</v>
      </c>
      <c r="L1" s="32" t="s">
        <v>37</v>
      </c>
    </row>
    <row r="2" spans="1:12" x14ac:dyDescent="0.75">
      <c r="J2" s="33" t="s">
        <v>36</v>
      </c>
      <c r="L2" s="33" t="s">
        <v>649</v>
      </c>
    </row>
    <row r="3" spans="1:12" ht="15.5" thickBot="1" x14ac:dyDescent="0.9">
      <c r="J3" s="33" t="str">
        <f>J1</f>
        <v>// -------------------------------------------------------------------------------</v>
      </c>
      <c r="L3" s="33" t="str">
        <f>L1</f>
        <v>// -------------------------------------------------------------------------------</v>
      </c>
    </row>
    <row r="4" spans="1:12" x14ac:dyDescent="0.75">
      <c r="A4" s="6" t="s">
        <v>14</v>
      </c>
      <c r="B4" s="17" t="s">
        <v>253</v>
      </c>
      <c r="J4" s="25" t="str">
        <f>CONCATENATE("Logical: ",B4)</f>
        <v>Logical: LabReportEhn</v>
      </c>
    </row>
    <row r="5" spans="1:12" x14ac:dyDescent="0.75">
      <c r="A5" s="18" t="s">
        <v>19</v>
      </c>
      <c r="B5" s="34" t="s">
        <v>254</v>
      </c>
      <c r="J5" s="25" t="str">
        <f>CONCATENATE("Id: ",B5)</f>
        <v>Id: LabReport</v>
      </c>
    </row>
    <row r="6" spans="1:12" x14ac:dyDescent="0.75">
      <c r="A6" s="18" t="s">
        <v>13</v>
      </c>
      <c r="B6" s="19" t="s">
        <v>255</v>
      </c>
      <c r="J6" s="26" t="str">
        <f>CONCATENATE("Title: ##34#",B6,"##34#")</f>
        <v>Title: ##34#Laboratory Report##34#</v>
      </c>
    </row>
    <row r="7" spans="1:12" x14ac:dyDescent="0.75">
      <c r="A7" s="46" t="s">
        <v>5</v>
      </c>
      <c r="B7" s="47" t="s">
        <v>255</v>
      </c>
      <c r="C7" s="12" t="s">
        <v>6</v>
      </c>
      <c r="D7" s="2" t="s">
        <v>7</v>
      </c>
      <c r="E7" s="3" t="s">
        <v>8</v>
      </c>
      <c r="F7" s="3" t="s">
        <v>9</v>
      </c>
      <c r="G7" s="3" t="s">
        <v>10</v>
      </c>
      <c r="H7" s="88" t="s">
        <v>648</v>
      </c>
      <c r="J7" s="26" t="str">
        <f>CONCATENATE("Description: "," ##334#",B7,"##334#",)</f>
        <v>Description:  ##334#Laboratory Report##334#</v>
      </c>
    </row>
    <row r="8" spans="1:12" ht="29.5" x14ac:dyDescent="0.75">
      <c r="A8" s="9">
        <v>1</v>
      </c>
      <c r="B8" s="9" t="s">
        <v>256</v>
      </c>
      <c r="C8" s="9" t="s">
        <v>42</v>
      </c>
      <c r="D8" s="14" t="s">
        <v>42</v>
      </c>
      <c r="E8" s="9">
        <v>1</v>
      </c>
      <c r="F8" s="9">
        <v>1</v>
      </c>
      <c r="G8" s="9" t="s">
        <v>4</v>
      </c>
      <c r="H8" s="14"/>
      <c r="I8" s="45"/>
      <c r="J8" s="14" t="str">
        <f t="shared" ref="J8:J26" si="0">CONCATENATE("* ",B8, " ",E8,"..",F8," ",G8," ##34#",C8,"##34# ##334#",D8,"##334#")</f>
        <v>* header 1..1 BackboneElement ##34#A.1 Report header data elements##34# ##334#A.1 Report header data elements##334#</v>
      </c>
      <c r="L8" s="14" t="str">
        <f>IF(H8="",IF(J8="*  ..  ##34###34# ##334###334#",J8,""),IF(J8="*  ..  ##34###34# ##334###334#",J8,CONCATENATE("* ",B8," ^comment = ##334#",H8,"##334#")))</f>
        <v/>
      </c>
    </row>
    <row r="9" spans="1:12" ht="44.25" x14ac:dyDescent="0.75">
      <c r="A9" s="9">
        <v>2</v>
      </c>
      <c r="B9" s="9" t="s">
        <v>257</v>
      </c>
      <c r="C9" s="9" t="s">
        <v>333</v>
      </c>
      <c r="D9" s="9" t="s">
        <v>330</v>
      </c>
      <c r="E9" s="9">
        <v>1</v>
      </c>
      <c r="F9" s="9">
        <v>1</v>
      </c>
      <c r="G9" s="9" t="s">
        <v>329</v>
      </c>
      <c r="H9" s="14"/>
      <c r="I9" s="45"/>
      <c r="J9" s="14" t="str">
        <f t="shared" si="0"/>
        <v>* header.subject 1..1 http://hl7.eu/fhir/ig/xeh/StructureDefinition/Subject ##34#A.1.1 - A1.2 Patient/subject##34# ##334#A.1.1 Identification of the patient/subject and A.1.2 Patient/subject related contact information  ##334#</v>
      </c>
      <c r="L9" s="14" t="str">
        <f t="shared" ref="L9:L31" si="1">IF(H9="",IF(J9="*  ..  ##34###34# ##334###334#",J9,""),IF(J9="*  ..  ##34###34# ##334###334#",J9,CONCATENATE("* ",B9," ^comment = ##334#",H9,"##334#")))</f>
        <v/>
      </c>
    </row>
    <row r="10" spans="1:12" ht="44.25" x14ac:dyDescent="0.75">
      <c r="A10" s="9">
        <v>3</v>
      </c>
      <c r="B10" s="9" t="s">
        <v>353</v>
      </c>
      <c r="C10" s="9" t="s">
        <v>331</v>
      </c>
      <c r="D10" s="9" t="s">
        <v>331</v>
      </c>
      <c r="E10" s="9">
        <v>0</v>
      </c>
      <c r="F10" s="9">
        <v>1</v>
      </c>
      <c r="G10" s="9" t="s">
        <v>363</v>
      </c>
      <c r="H10" s="14"/>
      <c r="I10" s="45"/>
      <c r="J10" s="14" t="str">
        <f t="shared" si="0"/>
        <v>* header.payer 0..1 http://hl7.eu/fhir/ig/xeh/StructureDefinition/Payer ##34#A.1.3 Health insurance and payment information##34# ##334#A.1.3 Health insurance and payment information##334#</v>
      </c>
      <c r="L10" s="14" t="str">
        <f t="shared" si="1"/>
        <v/>
      </c>
    </row>
    <row r="11" spans="1:12" ht="73.75" x14ac:dyDescent="0.75">
      <c r="A11" s="9">
        <v>4</v>
      </c>
      <c r="B11" s="9" t="s">
        <v>269</v>
      </c>
      <c r="C11" s="14" t="s">
        <v>258</v>
      </c>
      <c r="D11" s="14" t="s">
        <v>332</v>
      </c>
      <c r="E11" s="9">
        <v>0</v>
      </c>
      <c r="F11" s="9">
        <v>1</v>
      </c>
      <c r="G11" s="9" t="s">
        <v>394</v>
      </c>
      <c r="H11" s="14"/>
      <c r="I11" s="45"/>
      <c r="J11" s="14" t="str">
        <f t="shared" si="0"/>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c r="L11" s="14" t="str">
        <f t="shared" si="1"/>
        <v/>
      </c>
    </row>
    <row r="12" spans="1:12" ht="44.25" x14ac:dyDescent="0.75">
      <c r="A12" s="9">
        <v>5</v>
      </c>
      <c r="B12" s="9" t="s">
        <v>397</v>
      </c>
      <c r="C12" s="14" t="s">
        <v>396</v>
      </c>
      <c r="D12" s="14" t="s">
        <v>93</v>
      </c>
      <c r="E12" s="9">
        <v>0</v>
      </c>
      <c r="F12" s="9" t="s">
        <v>11</v>
      </c>
      <c r="G12" s="9" t="s">
        <v>402</v>
      </c>
      <c r="H12" s="14"/>
      <c r="I12" s="45"/>
      <c r="J12" s="14" t="str">
        <f t="shared" si="0"/>
        <v>* header.author 0..* http://hl7.eu/fhir/ig/xeh/StructureDefinition/Author ##34#A.1.5 Author##34# ##334#A.1.5 Author (by whom the Laboratory result report or a subset of its results was authored)##334#</v>
      </c>
      <c r="L12" s="14" t="str">
        <f t="shared" si="1"/>
        <v/>
      </c>
    </row>
    <row r="13" spans="1:12" ht="59" x14ac:dyDescent="0.75">
      <c r="A13" s="9">
        <v>6</v>
      </c>
      <c r="B13" s="9" t="s">
        <v>398</v>
      </c>
      <c r="C13" s="14" t="s">
        <v>564</v>
      </c>
      <c r="D13" s="14" t="s">
        <v>102</v>
      </c>
      <c r="E13" s="9">
        <v>0</v>
      </c>
      <c r="F13" s="9" t="s">
        <v>11</v>
      </c>
      <c r="G13" s="9" t="s">
        <v>401</v>
      </c>
      <c r="H13" s="14"/>
      <c r="I13" s="45"/>
      <c r="J13" s="14" t="str">
        <f t="shared" si="0"/>
        <v>* header.legalAuthenticator 0..* http://hl7.eu/fhir/ig/xeh/StructureDefinition/LegalAuthenticator ##34#A.1.6 Legal authenticator##34# ##334#A.1.6 Legal authenticator (The person taking responsibility for the medical content of the document)##334#</v>
      </c>
      <c r="L13" s="14" t="str">
        <f t="shared" si="1"/>
        <v/>
      </c>
    </row>
    <row r="14" spans="1:12" ht="29.5" x14ac:dyDescent="0.75">
      <c r="A14" s="9">
        <v>7</v>
      </c>
      <c r="B14" s="9" t="s">
        <v>270</v>
      </c>
      <c r="C14" s="14" t="s">
        <v>114</v>
      </c>
      <c r="D14" s="14" t="s">
        <v>114</v>
      </c>
      <c r="E14" s="9">
        <v>0</v>
      </c>
      <c r="F14" s="9" t="s">
        <v>11</v>
      </c>
      <c r="G14" s="53" t="s">
        <v>395</v>
      </c>
      <c r="H14" s="14"/>
      <c r="I14" s="45"/>
      <c r="J14" s="14" t="str">
        <f t="shared" si="0"/>
        <v>* header.validator 0..* http://hl7.eu/fhir/ig/xeh/StructureDefinition/Validator ##34#A.1.7 Result validator##34# ##334#A.1.7 Result validator##334#</v>
      </c>
      <c r="L14" s="14" t="str">
        <f t="shared" si="1"/>
        <v/>
      </c>
    </row>
    <row r="15" spans="1:12" ht="29.5" x14ac:dyDescent="0.75">
      <c r="A15" s="9">
        <v>8</v>
      </c>
      <c r="B15" s="9" t="s">
        <v>271</v>
      </c>
      <c r="C15" s="9" t="s">
        <v>126</v>
      </c>
      <c r="D15" s="9" t="s">
        <v>126</v>
      </c>
      <c r="E15" s="9">
        <v>1</v>
      </c>
      <c r="F15" s="9">
        <v>1</v>
      </c>
      <c r="G15" s="9" t="s">
        <v>4</v>
      </c>
      <c r="H15" s="14"/>
      <c r="I15" s="45"/>
      <c r="J15" s="14" t="str">
        <f t="shared" si="0"/>
        <v>* header.metadata 1..1 BackboneElement ##34#A.1.8 Laboratory report metadata##34# ##334#A.1.8 Laboratory report metadata##334#</v>
      </c>
      <c r="L15" s="14" t="str">
        <f t="shared" si="1"/>
        <v/>
      </c>
    </row>
    <row r="16" spans="1:12" ht="44.25" x14ac:dyDescent="0.75">
      <c r="A16" s="9">
        <v>9</v>
      </c>
      <c r="B16" s="9" t="s">
        <v>272</v>
      </c>
      <c r="C16" s="9" t="s">
        <v>259</v>
      </c>
      <c r="D16" s="14" t="s">
        <v>264</v>
      </c>
      <c r="E16" s="9">
        <v>1</v>
      </c>
      <c r="F16" s="9">
        <v>1</v>
      </c>
      <c r="G16" s="9" t="s">
        <v>1</v>
      </c>
      <c r="H16" s="14"/>
      <c r="I16" s="45"/>
      <c r="J16" s="14" t="str">
        <f t="shared" si="0"/>
        <v>* header.metadata.type 1..1 CodeableConcept ##34#A.1.8.1 Document type##34# ##334#A coded type of the document. Fixed value "Laboratory report" - Preferred system(s): LOINC##334#</v>
      </c>
      <c r="L16" s="14" t="str">
        <f t="shared" si="1"/>
        <v/>
      </c>
    </row>
    <row r="17" spans="1:13" ht="44.25" x14ac:dyDescent="0.75">
      <c r="A17" s="9">
        <v>10</v>
      </c>
      <c r="B17" s="9" t="s">
        <v>273</v>
      </c>
      <c r="C17" s="9" t="s">
        <v>260</v>
      </c>
      <c r="D17" s="14" t="s">
        <v>265</v>
      </c>
      <c r="E17" s="9">
        <v>1</v>
      </c>
      <c r="F17" s="9">
        <v>1</v>
      </c>
      <c r="G17" s="9" t="s">
        <v>1</v>
      </c>
      <c r="H17" s="14"/>
      <c r="I17" s="45"/>
      <c r="J17" s="14" t="str">
        <f t="shared" si="0"/>
        <v>* header.metadata.status 1..1 CodeableConcept ##34#A.1.8.2 Document status##34# ##334#The status of the laboratory test result report. E.g., preliminary, final. - Preferred system(s): hl7:DiagnosticReportStatus##334#</v>
      </c>
      <c r="K17" s="16"/>
      <c r="L17" s="14" t="str">
        <f t="shared" si="1"/>
        <v/>
      </c>
      <c r="M17" s="9"/>
    </row>
    <row r="18" spans="1:13" ht="44.25" x14ac:dyDescent="0.75">
      <c r="A18" s="9">
        <v>11</v>
      </c>
      <c r="B18" s="9" t="s">
        <v>274</v>
      </c>
      <c r="C18" s="9" t="s">
        <v>261</v>
      </c>
      <c r="D18" s="14" t="s">
        <v>266</v>
      </c>
      <c r="E18" s="9">
        <v>1</v>
      </c>
      <c r="F18" s="9">
        <v>1</v>
      </c>
      <c r="G18" s="9" t="s">
        <v>2</v>
      </c>
      <c r="H18" s="14"/>
      <c r="J18" s="14" t="str">
        <f t="shared" si="0"/>
        <v>* header.metadata.dateTime 1..1 dateTime ##34#A.1.8.3 Report date and time##34# ##334#Date and time of the result report creation. - Preferred system(s): ISO 8601##334#</v>
      </c>
      <c r="L18" s="14" t="str">
        <f t="shared" si="1"/>
        <v/>
      </c>
    </row>
    <row r="19" spans="1:13" ht="44.25" x14ac:dyDescent="0.75">
      <c r="A19" s="9">
        <v>12</v>
      </c>
      <c r="B19" s="9" t="s">
        <v>275</v>
      </c>
      <c r="C19" s="9" t="s">
        <v>262</v>
      </c>
      <c r="D19" s="14" t="s">
        <v>267</v>
      </c>
      <c r="E19" s="9">
        <v>0</v>
      </c>
      <c r="F19" s="9">
        <v>1</v>
      </c>
      <c r="G19" s="9" t="s">
        <v>3</v>
      </c>
      <c r="H19" s="14"/>
      <c r="J19" s="14" t="str">
        <f t="shared" si="0"/>
        <v>* header.metadata.title 0..1 string ##34#A.1.8.4 Document title##34# ##334#Document title, e.g. "Laboratory Result report" - Preferred system(s): ##334#</v>
      </c>
      <c r="L19" s="14" t="str">
        <f t="shared" si="1"/>
        <v/>
      </c>
    </row>
    <row r="20" spans="1:13" ht="44.25" x14ac:dyDescent="0.75">
      <c r="A20" s="9">
        <v>13</v>
      </c>
      <c r="B20" s="9" t="s">
        <v>276</v>
      </c>
      <c r="C20" s="9" t="s">
        <v>263</v>
      </c>
      <c r="D20" s="14" t="s">
        <v>268</v>
      </c>
      <c r="E20" s="9">
        <v>0</v>
      </c>
      <c r="F20" s="9">
        <v>1</v>
      </c>
      <c r="G20" s="9" t="s">
        <v>4</v>
      </c>
      <c r="H20" s="14"/>
      <c r="J20" s="14" t="str">
        <f t="shared" si="0"/>
        <v>* header.metadata.custodian 0..1 BackboneElement ##34#A.1.8.5 Report custodian##34# ##334#Organisation that is in charge of maintaining the laboratory report - Preferred system(s): ##334#</v>
      </c>
      <c r="L20" s="14" t="str">
        <f t="shared" si="1"/>
        <v/>
      </c>
    </row>
    <row r="21" spans="1:13" ht="73.75" x14ac:dyDescent="0.75">
      <c r="A21" s="9">
        <v>14</v>
      </c>
      <c r="B21" s="9" t="s">
        <v>334</v>
      </c>
      <c r="C21" s="9" t="s">
        <v>335</v>
      </c>
      <c r="D21" s="4" t="s">
        <v>336</v>
      </c>
      <c r="E21" s="9">
        <v>0</v>
      </c>
      <c r="F21" s="9" t="s">
        <v>11</v>
      </c>
      <c r="G21" s="9" t="s">
        <v>448</v>
      </c>
      <c r="H21" s="14"/>
      <c r="J21" s="14" t="str">
        <f t="shared" si="0"/>
        <v>* order 0..* http://hl7.eu/fhir/ig/xeh/StructureDefinition/Order ##34#A.2-A.3 Order##34# ##334#A.2 Order information (Laboratory Result Report could respond to multiple test orders)
A.3 Order reason (Laboratory Result Report could respond to multiple reasons)
##334#</v>
      </c>
      <c r="L21" s="14" t="str">
        <f t="shared" si="1"/>
        <v/>
      </c>
    </row>
    <row r="22" spans="1:13" ht="44.25" x14ac:dyDescent="0.75">
      <c r="A22" s="9">
        <v>15</v>
      </c>
      <c r="B22" s="9" t="s">
        <v>337</v>
      </c>
      <c r="C22" s="9" t="s">
        <v>169</v>
      </c>
      <c r="D22" s="9" t="s">
        <v>169</v>
      </c>
      <c r="E22" s="9">
        <v>0</v>
      </c>
      <c r="F22" s="9" t="s">
        <v>11</v>
      </c>
      <c r="G22" s="9" t="s">
        <v>566</v>
      </c>
      <c r="H22" s="14"/>
      <c r="J22" s="14" t="str">
        <f t="shared" si="0"/>
        <v>* specimen 0..* http://hl7.eu/fhir/ig/xeh/StructureDefinition/SpecimenLab ##34#A.4 Specimen information##34# ##334#A.4 Specimen information##334#</v>
      </c>
      <c r="L22" s="14" t="str">
        <f t="shared" si="1"/>
        <v/>
      </c>
    </row>
    <row r="23" spans="1:13" ht="29.5" x14ac:dyDescent="0.75">
      <c r="A23" s="9">
        <v>16</v>
      </c>
      <c r="B23" s="9" t="s">
        <v>338</v>
      </c>
      <c r="C23" s="9" t="s">
        <v>198</v>
      </c>
      <c r="D23" s="9" t="s">
        <v>198</v>
      </c>
      <c r="E23" s="9">
        <v>0</v>
      </c>
      <c r="F23" s="9" t="s">
        <v>11</v>
      </c>
      <c r="G23" s="9" t="s">
        <v>528</v>
      </c>
      <c r="H23" s="14"/>
      <c r="J23" s="14" t="str">
        <f t="shared" si="0"/>
        <v>* result 0..* http://hl7.eu/fhir/ig/xeh/StructureDefinition/Result ##34#A.5 Results data elements##34# ##334#A.5 Results data elements##334#</v>
      </c>
      <c r="L23" s="14" t="str">
        <f t="shared" si="1"/>
        <v/>
      </c>
    </row>
    <row r="24" spans="1:13" x14ac:dyDescent="0.75">
      <c r="H24" s="14"/>
      <c r="J24" s="14" t="str">
        <f t="shared" si="0"/>
        <v>*  ..  ##34###34# ##334###334#</v>
      </c>
      <c r="L24" s="14" t="str">
        <f t="shared" si="1"/>
        <v>*  ..  ##34###34# ##334###334#</v>
      </c>
    </row>
    <row r="25" spans="1:13" x14ac:dyDescent="0.75">
      <c r="H25" s="14"/>
      <c r="J25" s="14" t="str">
        <f t="shared" si="0"/>
        <v>*  ..  ##34###34# ##334###334#</v>
      </c>
      <c r="L25" s="14" t="str">
        <f t="shared" si="1"/>
        <v>*  ..  ##34###34# ##334###334#</v>
      </c>
    </row>
    <row r="26" spans="1:13" x14ac:dyDescent="0.75">
      <c r="B26" s="10"/>
      <c r="F26" s="10"/>
      <c r="H26" s="14"/>
      <c r="J26" s="14" t="str">
        <f t="shared" si="0"/>
        <v>*  ..  ##34###34# ##334###334#</v>
      </c>
      <c r="L26" s="14" t="str">
        <f t="shared" si="1"/>
        <v>*  ..  ##34###34# ##334###334#</v>
      </c>
    </row>
    <row r="27" spans="1:13" x14ac:dyDescent="0.75">
      <c r="J27" s="14"/>
      <c r="L27" s="14" t="str">
        <f t="shared" si="1"/>
        <v/>
      </c>
    </row>
    <row r="28" spans="1:13" x14ac:dyDescent="0.75">
      <c r="L28" s="14" t="str">
        <f t="shared" si="1"/>
        <v/>
      </c>
    </row>
    <row r="29" spans="1:13" x14ac:dyDescent="0.75">
      <c r="L29" s="14" t="str">
        <f t="shared" si="1"/>
        <v/>
      </c>
    </row>
    <row r="30" spans="1:13" x14ac:dyDescent="0.75">
      <c r="C30" s="10"/>
      <c r="L30" s="14" t="str">
        <f t="shared" si="1"/>
        <v/>
      </c>
    </row>
    <row r="31" spans="1:13" x14ac:dyDescent="0.75">
      <c r="L31" s="14" t="str">
        <f t="shared" si="1"/>
        <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991FB4-4CA7-4343-9026-8B0D932F6E21}">
  <sheetPr codeName="Foglio40"/>
  <dimension ref="A1:O47"/>
  <sheetViews>
    <sheetView workbookViewId="0">
      <selection activeCell="B26" sqref="B26"/>
    </sheetView>
  </sheetViews>
  <sheetFormatPr defaultRowHeight="14.75" x14ac:dyDescent="0.75"/>
  <cols>
    <col min="2" max="2" width="31.6796875" bestFit="1" customWidth="1"/>
    <col min="3" max="3" width="76.40625" style="1" customWidth="1"/>
    <col min="4" max="4" width="8.04296875" customWidth="1"/>
    <col min="5" max="5" width="101.226562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54" t="s">
        <v>328</v>
      </c>
      <c r="E4" s="28" t="str">
        <f>CONCATENATE("Mapping: ",C4)</f>
        <v>Mapping: eHNLab2Fhir</v>
      </c>
      <c r="H4" s="10"/>
      <c r="I4" s="10"/>
      <c r="J4" s="10"/>
      <c r="K4" s="10"/>
      <c r="L4" s="10"/>
      <c r="M4" s="10"/>
      <c r="N4" s="10"/>
      <c r="O4" s="10"/>
    </row>
    <row r="5" spans="1:15" ht="15.5" thickBot="1" x14ac:dyDescent="0.9">
      <c r="B5" s="13" t="s">
        <v>19</v>
      </c>
      <c r="C5" s="15" t="s">
        <v>16</v>
      </c>
      <c r="E5" s="29" t="str">
        <f>CONCATENATE("Id: ",C5)</f>
        <v>Id: fhir</v>
      </c>
      <c r="H5" s="10"/>
      <c r="I5" s="10"/>
      <c r="J5" s="10"/>
      <c r="K5" s="10"/>
      <c r="L5" s="10"/>
      <c r="M5" s="10"/>
      <c r="N5" s="10"/>
      <c r="O5" s="10"/>
    </row>
    <row r="6" spans="1:15" ht="15.5" thickBot="1" x14ac:dyDescent="0.9">
      <c r="B6" s="13" t="s">
        <v>13</v>
      </c>
      <c r="C6" s="22" t="s">
        <v>326</v>
      </c>
      <c r="E6" s="29" t="str">
        <f>CONCATENATE("Title: ##34#",C6,"##34#")</f>
        <v>Title: ##34#eHN Lab model to FHIR R4 Map##34#</v>
      </c>
      <c r="H6" s="10"/>
      <c r="I6" s="10"/>
      <c r="J6" s="10"/>
      <c r="K6" s="10"/>
      <c r="L6" s="10"/>
      <c r="M6" s="10"/>
      <c r="N6" s="10"/>
      <c r="O6" s="10"/>
    </row>
    <row r="7" spans="1:15" ht="15.5" thickBot="1" x14ac:dyDescent="0.9">
      <c r="B7" s="13" t="s">
        <v>35</v>
      </c>
      <c r="C7" s="55" t="str">
        <f>B9</f>
        <v>LabReport</v>
      </c>
      <c r="E7" s="29" t="str">
        <f>CONCATENATE("Source: ",C7)</f>
        <v>Source: LabReport</v>
      </c>
      <c r="H7" s="10"/>
      <c r="I7" s="10"/>
      <c r="J7" s="10"/>
      <c r="K7" s="10"/>
      <c r="L7" s="10"/>
      <c r="M7" s="10"/>
      <c r="N7" s="10"/>
      <c r="O7" s="10"/>
    </row>
    <row r="8" spans="1:15" ht="15.5" thickBot="1" x14ac:dyDescent="0.9">
      <c r="B8" s="27" t="s">
        <v>18</v>
      </c>
      <c r="C8" s="1" t="s">
        <v>15</v>
      </c>
      <c r="E8" s="30" t="str">
        <f>CONCATENATE("Target: ##34#",C8,"##34#")</f>
        <v>Target: ##34#hl7.org/fhir/r4##34#</v>
      </c>
      <c r="H8" s="10"/>
      <c r="I8" s="10"/>
      <c r="J8" s="10"/>
      <c r="K8" s="10"/>
      <c r="L8" s="10"/>
      <c r="M8" s="10"/>
      <c r="N8" s="10"/>
      <c r="O8" s="10"/>
    </row>
    <row r="9" spans="1:15" x14ac:dyDescent="0.75">
      <c r="A9" s="9"/>
      <c r="B9" s="8" t="str">
        <f>Report!B5</f>
        <v>LabReport</v>
      </c>
      <c r="C9" s="4" t="s">
        <v>278</v>
      </c>
      <c r="E9" s="48" t="str">
        <f>CONCATENATE("* -&gt; ##34#",C9,"##34#")</f>
        <v>* -&gt; ##34#Bundle.conformsTo('http://hl7.eu/fhir/ig/xeh/StructureDefinition/Bundle-lab-xeh')##34#</v>
      </c>
      <c r="H9" s="10"/>
      <c r="I9" s="10"/>
      <c r="J9" s="10"/>
      <c r="K9" s="10"/>
      <c r="L9" s="10"/>
      <c r="M9" s="10"/>
      <c r="N9" s="10"/>
      <c r="O9" s="10"/>
    </row>
    <row r="10" spans="1:15" ht="29.5" x14ac:dyDescent="0.75">
      <c r="A10" s="9"/>
      <c r="B10" s="9" t="str">
        <f>Report!B8</f>
        <v>header</v>
      </c>
      <c r="C10" s="14" t="s">
        <v>277</v>
      </c>
      <c r="E10" s="14" t="str">
        <f t="shared" ref="E10:E35" si="0">IF(B10=0,"*  -&gt; ##34###34#",CONCATENATE("* ",B10," -&gt; ##34#",C10,"##34#"))</f>
        <v>* header -&gt; ##34#Composition.conformsTo('http://hl7.eu/fhir/ig/xeh/StructureDefinition/Composition-lab-xeh')##34#</v>
      </c>
      <c r="H10" s="10"/>
      <c r="I10" s="10"/>
      <c r="J10" s="10"/>
      <c r="K10" s="10"/>
      <c r="L10" s="10"/>
      <c r="M10" s="10"/>
      <c r="N10" s="10"/>
      <c r="O10" s="10"/>
    </row>
    <row r="11" spans="1:15" x14ac:dyDescent="0.75">
      <c r="A11" s="9"/>
      <c r="B11" s="9" t="str">
        <f>Report!B9</f>
        <v>header.subject</v>
      </c>
      <c r="C11" s="14" t="s">
        <v>279</v>
      </c>
      <c r="E11" s="14" t="str">
        <f t="shared" si="0"/>
        <v>* header.subject -&gt; ##34#Composition.subject##34#</v>
      </c>
      <c r="H11" s="10"/>
      <c r="I11" s="10"/>
      <c r="J11" s="10"/>
      <c r="K11" s="10"/>
      <c r="L11" s="10"/>
      <c r="M11" s="10"/>
      <c r="N11" s="10"/>
      <c r="O11" s="10"/>
    </row>
    <row r="12" spans="1:15" ht="29.5" x14ac:dyDescent="0.75">
      <c r="A12" s="9"/>
      <c r="B12" s="9" t="str">
        <f>Report!B10</f>
        <v>header.payer</v>
      </c>
      <c r="C12" s="14" t="s">
        <v>637</v>
      </c>
      <c r="E12" s="14" t="str">
        <f t="shared" si="0"/>
        <v>* header.payer -&gt; ##34#ServiceRequest.conformsTo('http://hl7.eu/fhir/ig/xeh/StructureDefinition/ServiceRequest-lab-xeh').insurance.resolve()##34#</v>
      </c>
      <c r="H12" s="10"/>
      <c r="I12" s="10"/>
      <c r="J12" s="10"/>
      <c r="K12" s="10"/>
      <c r="L12" s="10"/>
      <c r="M12" s="10"/>
      <c r="N12" s="10"/>
      <c r="O12" s="10"/>
    </row>
    <row r="13" spans="1:15" ht="29.5" x14ac:dyDescent="0.75">
      <c r="A13" s="9"/>
      <c r="B13" s="9" t="str">
        <f>Report!B11</f>
        <v>header.informationRecipient</v>
      </c>
      <c r="C13" s="14" t="s">
        <v>567</v>
      </c>
      <c r="E13" s="14" t="str">
        <f t="shared" si="0"/>
        <v>* header.informationRecipient -&gt; ##34#.extension('http://hl7.org/fhir/StructureDefinition/cqf-receivingOrganization') [TBD}##34#</v>
      </c>
      <c r="H13" s="10"/>
      <c r="I13" s="10"/>
      <c r="J13" s="10"/>
      <c r="K13" s="10"/>
      <c r="L13" s="10"/>
      <c r="M13" s="10"/>
      <c r="N13" s="10"/>
      <c r="O13" s="10"/>
    </row>
    <row r="14" spans="1:15" x14ac:dyDescent="0.75">
      <c r="A14" s="9"/>
      <c r="B14" s="9" t="str">
        <f>Report!B12</f>
        <v>header.author</v>
      </c>
      <c r="C14" s="14" t="s">
        <v>407</v>
      </c>
      <c r="E14" s="14" t="str">
        <f t="shared" si="0"/>
        <v>* header.author -&gt; ##34#Composition.author##34#</v>
      </c>
      <c r="H14" s="10"/>
      <c r="I14" s="10"/>
      <c r="J14" s="10"/>
      <c r="K14" s="10"/>
      <c r="L14" s="10"/>
      <c r="M14" s="10"/>
      <c r="N14" s="10"/>
      <c r="O14" s="10"/>
    </row>
    <row r="15" spans="1:15" ht="29.5" x14ac:dyDescent="0.75">
      <c r="A15" s="9"/>
      <c r="B15" s="9" t="str">
        <f>Report!B13</f>
        <v>header.legalAuthenticator</v>
      </c>
      <c r="C15" s="14" t="s">
        <v>408</v>
      </c>
      <c r="E15" s="14" t="str">
        <f t="shared" si="0"/>
        <v>* header.legalAuthenticator -&gt; ##34#Composition.attester.where(mode=http://hl7.org/fhir/composition-attestation-mode#legal)##34#</v>
      </c>
      <c r="H15" s="10"/>
      <c r="I15" s="10"/>
      <c r="J15" s="10"/>
      <c r="K15" s="10"/>
      <c r="L15" s="10"/>
      <c r="M15" s="10"/>
      <c r="N15" s="10"/>
      <c r="O15" s="10"/>
    </row>
    <row r="16" spans="1:15" ht="29.5" x14ac:dyDescent="0.75">
      <c r="A16" s="9"/>
      <c r="B16" s="9" t="str">
        <f>Report!B14</f>
        <v>header.validator</v>
      </c>
      <c r="C16" s="14" t="s">
        <v>409</v>
      </c>
      <c r="E16" s="14" t="str">
        <f t="shared" si="0"/>
        <v>* header.validator -&gt; ##34#Composition.attester.where(mode=http://hl7.org/fhir/composition-attestation-mode#professional)##34#</v>
      </c>
      <c r="H16" s="10"/>
      <c r="I16" s="10"/>
      <c r="J16" s="10"/>
      <c r="K16" s="10"/>
      <c r="L16" s="10"/>
      <c r="M16" s="10"/>
      <c r="N16" s="10"/>
      <c r="O16" s="10"/>
    </row>
    <row r="17" spans="1:5" x14ac:dyDescent="0.75">
      <c r="A17" s="9"/>
      <c r="B17" s="9" t="str">
        <f>Report!B15</f>
        <v>header.metadata</v>
      </c>
      <c r="C17" s="14" t="s">
        <v>285</v>
      </c>
      <c r="E17" s="14" t="str">
        <f t="shared" si="0"/>
        <v>* header.metadata -&gt; ##34#Composition##34#</v>
      </c>
    </row>
    <row r="18" spans="1:5" x14ac:dyDescent="0.75">
      <c r="A18" s="9"/>
      <c r="B18" s="9" t="str">
        <f>Report!B16</f>
        <v>header.metadata.type</v>
      </c>
      <c r="C18" s="14" t="s">
        <v>284</v>
      </c>
      <c r="E18" s="14" t="str">
        <f t="shared" si="0"/>
        <v>* header.metadata.type -&gt; ##34#Composition.type##34#</v>
      </c>
    </row>
    <row r="19" spans="1:5" x14ac:dyDescent="0.75">
      <c r="A19" s="9"/>
      <c r="B19" s="9" t="str">
        <f>Report!B17</f>
        <v>header.metadata.status</v>
      </c>
      <c r="C19" s="14" t="s">
        <v>281</v>
      </c>
      <c r="E19" s="14" t="str">
        <f t="shared" si="0"/>
        <v>* header.metadata.status -&gt; ##34#Composition.status##34#</v>
      </c>
    </row>
    <row r="20" spans="1:5" x14ac:dyDescent="0.75">
      <c r="A20" s="9"/>
      <c r="B20" s="9" t="str">
        <f>Report!B18</f>
        <v>header.metadata.dateTime</v>
      </c>
      <c r="C20" s="14" t="s">
        <v>280</v>
      </c>
      <c r="E20" s="14" t="str">
        <f t="shared" si="0"/>
        <v>* header.metadata.dateTime -&gt; ##34#Bundle.timestamp##34#</v>
      </c>
    </row>
    <row r="21" spans="1:5" x14ac:dyDescent="0.75">
      <c r="B21" s="9" t="str">
        <f>Report!B19</f>
        <v>header.metadata.title</v>
      </c>
      <c r="C21" s="14" t="s">
        <v>282</v>
      </c>
      <c r="E21" s="14" t="str">
        <f t="shared" si="0"/>
        <v>* header.metadata.title -&gt; ##34#Composition.title##34#</v>
      </c>
    </row>
    <row r="22" spans="1:5" x14ac:dyDescent="0.75">
      <c r="B22" s="9" t="str">
        <f>Report!B20</f>
        <v>header.metadata.custodian</v>
      </c>
      <c r="C22" s="14" t="s">
        <v>283</v>
      </c>
      <c r="E22" s="14" t="str">
        <f t="shared" si="0"/>
        <v>* header.metadata.custodian -&gt; ##34#Composition.custodian##34#</v>
      </c>
    </row>
    <row r="23" spans="1:5" ht="29.5" x14ac:dyDescent="0.75">
      <c r="B23" s="62" t="str">
        <f>Report!B21</f>
        <v>order</v>
      </c>
      <c r="C23" s="14" t="s">
        <v>339</v>
      </c>
      <c r="E23" s="14" t="str">
        <f t="shared" si="0"/>
        <v>* order -&gt; ##34#Composition.extension('http://hl7.eu/fhir/ig/xeh/StructureDefinition/composition-basedOn-order-or-requisition').valueReference.resolve()##34#</v>
      </c>
    </row>
    <row r="24" spans="1:5" ht="29.5" x14ac:dyDescent="0.75">
      <c r="B24" s="62" t="str">
        <f>Report!B21</f>
        <v>order</v>
      </c>
      <c r="C24" s="14" t="s">
        <v>638</v>
      </c>
      <c r="E24" s="14" t="str">
        <f t="shared" si="0"/>
        <v>* order -&gt; ##34#Composition.extension('http://hl7.eu/fhir/ig/xeh/StructureDefinition/composition-basedOn-order-or-requisition').valueIdentifier##34#</v>
      </c>
    </row>
    <row r="25" spans="1:5" ht="59" x14ac:dyDescent="0.75">
      <c r="B25" s="62" t="str">
        <f>Report!B21</f>
        <v>order</v>
      </c>
      <c r="C25" s="14" t="s">
        <v>647</v>
      </c>
      <c r="E25" s="14" t="str">
        <f t="shared" si="0"/>
        <v>* order -&gt; ##34#DiagnosticReport.conformsTo('http://hl7.eu/fhir/ig/xeh/StructureDefinition/DiagnosticReport-lab-xeh').basedOn.extension('http://hl7.eu/fhir/ig/xeh/StructureDefinition/diagnostic-report-basedOn-requisition').valueIdentifier##34#</v>
      </c>
    </row>
    <row r="26" spans="1:5" ht="29.5" x14ac:dyDescent="0.75">
      <c r="B26" s="62" t="str">
        <f>Report!B21</f>
        <v>order</v>
      </c>
      <c r="C26" s="14" t="s">
        <v>646</v>
      </c>
      <c r="E26" s="14" t="str">
        <f t="shared" si="0"/>
        <v>* order -&gt; ##34#DiagnosticReport.conformsTo('http://hl7.eu/fhir/ig/xeh/StructureDefinition/DiagnosticReport-lab-xeh').basedOn.resolve()##34#</v>
      </c>
    </row>
    <row r="27" spans="1:5" ht="29.5" x14ac:dyDescent="0.75">
      <c r="B27" s="9" t="str">
        <f>Report!B22</f>
        <v>specimen</v>
      </c>
      <c r="C27" s="14" t="s">
        <v>340</v>
      </c>
      <c r="E27" s="14" t="str">
        <f t="shared" si="0"/>
        <v>* specimen -&gt; ##34#Observation.conformsTo('http://hl7.eu/fhir/ig/xeh/StructureDefinition/Observation-results-laboratory-eu-xeh').specimen.resolve()##34#</v>
      </c>
    </row>
    <row r="28" spans="1:5" ht="29.5" x14ac:dyDescent="0.75">
      <c r="B28" s="9" t="str">
        <f>Report!B22</f>
        <v>specimen</v>
      </c>
      <c r="C28" s="14" t="s">
        <v>644</v>
      </c>
      <c r="E28" s="14" t="str">
        <f t="shared" si="0"/>
        <v>* specimen -&gt; ##34#DiagnosticReport.conformsTo('http://hl7.eu/fhir/ig/xeh/StructureDefinition/DiagnosticReport-lab-xeh').specimen.resolve()##34#</v>
      </c>
    </row>
    <row r="29" spans="1:5" x14ac:dyDescent="0.75">
      <c r="B29" s="62" t="str">
        <f>Report!$B$23</f>
        <v>result</v>
      </c>
      <c r="C29" s="14" t="s">
        <v>596</v>
      </c>
      <c r="E29" s="14" t="str">
        <f t="shared" si="0"/>
        <v>* result -&gt; ##34#Composition.section:no-subsections.entry.resolve()##34#</v>
      </c>
    </row>
    <row r="30" spans="1:5" x14ac:dyDescent="0.75">
      <c r="B30" s="62" t="str">
        <f>Report!$B$23</f>
        <v>result</v>
      </c>
      <c r="C30" s="14" t="s">
        <v>597</v>
      </c>
      <c r="E30" s="14" t="str">
        <f t="shared" si="0"/>
        <v>* result -&gt; ##34#Composition.section:subsections.section.entry.resolve()##34#</v>
      </c>
    </row>
    <row r="31" spans="1:5" ht="29.5" x14ac:dyDescent="0.75">
      <c r="B31" s="62" t="str">
        <f>Report!$B$23</f>
        <v>result</v>
      </c>
      <c r="C31" s="14" t="s">
        <v>645</v>
      </c>
      <c r="E31" s="14" t="str">
        <f t="shared" si="0"/>
        <v>* result -&gt; ##34#DiagnosticReport.conformsTo('http://hl7.eu/fhir/ig/xeh/StructureDefinition/DiagnosticReport-lab-xeh').result.resolve()##34#</v>
      </c>
    </row>
    <row r="32" spans="1:5" x14ac:dyDescent="0.75">
      <c r="B32" s="9">
        <f>Report!B26</f>
        <v>0</v>
      </c>
      <c r="C32" s="14"/>
      <c r="E32" s="14" t="str">
        <f t="shared" si="0"/>
        <v>*  -&gt; ##34###34#</v>
      </c>
    </row>
    <row r="33" spans="2:5" x14ac:dyDescent="0.75">
      <c r="B33" s="9">
        <f>Report!B27</f>
        <v>0</v>
      </c>
      <c r="E33" s="14" t="str">
        <f t="shared" si="0"/>
        <v>*  -&gt; ##34###34#</v>
      </c>
    </row>
    <row r="34" spans="2:5" x14ac:dyDescent="0.75">
      <c r="B34" s="9">
        <f>Report!B28</f>
        <v>0</v>
      </c>
      <c r="E34" s="14" t="str">
        <f t="shared" si="0"/>
        <v>*  -&gt; ##34###34#</v>
      </c>
    </row>
    <row r="35" spans="2:5" x14ac:dyDescent="0.75">
      <c r="B35" s="9">
        <f>Report!B29</f>
        <v>0</v>
      </c>
      <c r="E35" s="14" t="str">
        <f t="shared" si="0"/>
        <v>*  -&gt; ##34###34#</v>
      </c>
    </row>
    <row r="36" spans="2:5" x14ac:dyDescent="0.75">
      <c r="B36" s="9">
        <f>Report!B30</f>
        <v>0</v>
      </c>
    </row>
    <row r="37" spans="2:5" x14ac:dyDescent="0.75">
      <c r="B37" s="9">
        <f>Report!B31</f>
        <v>0</v>
      </c>
    </row>
    <row r="38" spans="2:5" x14ac:dyDescent="0.75">
      <c r="B38" s="9">
        <f>Report!B32</f>
        <v>0</v>
      </c>
    </row>
    <row r="39" spans="2:5" x14ac:dyDescent="0.75">
      <c r="B39" s="9">
        <f>Report!B35</f>
        <v>0</v>
      </c>
    </row>
    <row r="40" spans="2:5" x14ac:dyDescent="0.75">
      <c r="B40" s="9">
        <f>Report!B36</f>
        <v>0</v>
      </c>
    </row>
    <row r="41" spans="2:5" x14ac:dyDescent="0.75">
      <c r="B41" s="9">
        <f>Report!B37</f>
        <v>0</v>
      </c>
      <c r="E41" s="1" t="s">
        <v>341</v>
      </c>
    </row>
    <row r="42" spans="2:5" x14ac:dyDescent="0.75">
      <c r="B42" s="9">
        <f>Report!B38</f>
        <v>0</v>
      </c>
    </row>
    <row r="43" spans="2:5" x14ac:dyDescent="0.75">
      <c r="B43" s="9">
        <f>Report!B35</f>
        <v>0</v>
      </c>
    </row>
    <row r="44" spans="2:5" x14ac:dyDescent="0.75">
      <c r="B44" s="9">
        <f>Report!B38</f>
        <v>0</v>
      </c>
    </row>
    <row r="45" spans="2:5" x14ac:dyDescent="0.75">
      <c r="B45" s="9">
        <f>Report!B39</f>
        <v>0</v>
      </c>
    </row>
    <row r="46" spans="2:5" x14ac:dyDescent="0.75">
      <c r="B46" s="9">
        <f>Report!B40</f>
        <v>0</v>
      </c>
    </row>
    <row r="47" spans="2:5" x14ac:dyDescent="0.75">
      <c r="B47" s="9">
        <f>Report!B41</f>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2C0F41-1152-4DFF-9CD8-BC89965887DB}">
  <sheetPr codeName="Foglio16">
    <tabColor theme="8" tint="-0.249977111117893"/>
  </sheetPr>
  <dimension ref="C1:G112"/>
  <sheetViews>
    <sheetView workbookViewId="0">
      <selection activeCell="C60" sqref="C60:C76"/>
    </sheetView>
  </sheetViews>
  <sheetFormatPr defaultRowHeight="14.75" x14ac:dyDescent="0.75"/>
  <cols>
    <col min="3" max="3" width="108.2265625" style="14" customWidth="1"/>
    <col min="7" max="7" width="29.54296875" customWidth="1"/>
  </cols>
  <sheetData>
    <row r="1" spans="3:7" ht="15.5" thickBot="1" x14ac:dyDescent="0.9">
      <c r="C1" s="32" t="str">
        <f>Report!J1</f>
        <v>// -------------------------------------------------------------------------------</v>
      </c>
    </row>
    <row r="2" spans="3:7" ht="16.75" thickBot="1" x14ac:dyDescent="0.9">
      <c r="C2" s="33" t="str">
        <f>Report!J2</f>
        <v>//  Logical Model</v>
      </c>
      <c r="G2" s="56" t="s">
        <v>362</v>
      </c>
    </row>
    <row r="3" spans="3:7" x14ac:dyDescent="0.75">
      <c r="C3" s="33" t="str">
        <f>Report!J3</f>
        <v>// -------------------------------------------------------------------------------</v>
      </c>
    </row>
    <row r="4" spans="3:7" x14ac:dyDescent="0.75">
      <c r="C4" s="25" t="str">
        <f>Report!J4</f>
        <v>Logical: LabReportEhn</v>
      </c>
    </row>
    <row r="5" spans="3:7" x14ac:dyDescent="0.75">
      <c r="C5" s="25" t="str">
        <f>Report!J5</f>
        <v>Id: LabReport</v>
      </c>
    </row>
    <row r="6" spans="3:7" x14ac:dyDescent="0.75">
      <c r="C6" s="25" t="str">
        <f>Report!J6</f>
        <v>Title: ##34#Laboratory Report##34#</v>
      </c>
    </row>
    <row r="7" spans="3:7" ht="29.5" x14ac:dyDescent="0.75">
      <c r="C7" s="25" t="str">
        <f>Report!J7</f>
        <v>Description:  ##334#Laboratory Report##334#</v>
      </c>
    </row>
    <row r="8" spans="3:7" ht="29.5" x14ac:dyDescent="0.75">
      <c r="C8" s="14" t="str">
        <f>IF(Report!J8="*  ..  ##34###34# ##334###334#","//--- END",Report!J8)</f>
        <v>* header 1..1 BackboneElement ##34#A.1 Report header data elements##34# ##334#A.1 Report header data elements##334#</v>
      </c>
    </row>
    <row r="9" spans="3:7" x14ac:dyDescent="0.75">
      <c r="C9" s="14" t="str">
        <f>IF(Report!J9="*  ..  ##34###34# ##334###334#","//--- END",Report!J9)</f>
        <v>* header.subject 1..1 http://hl7.eu/fhir/ig/xeh/StructureDefinition/Subject ##34#A.1.1 - A1.2 Patient/subject##34# ##334#A.1.1 Identification of the patient/subject and A.1.2 Patient/subject related contact information  ##334#</v>
      </c>
    </row>
    <row r="10" spans="3:7" x14ac:dyDescent="0.75">
      <c r="C10" s="14" t="str">
        <f>IF(Report!J10="*  ..  ##34###34# ##334###334#","//--- END",Report!J10)</f>
        <v>* header.payer 0..1 http://hl7.eu/fhir/ig/xeh/StructureDefinition/Payer ##34#A.1.3 Health insurance and payment information##34# ##334#A.1.3 Health insurance and payment information##334#</v>
      </c>
    </row>
    <row r="11" spans="3:7" x14ac:dyDescent="0.75">
      <c r="C11" s="14" t="str">
        <f>IF(Report!J11="*  ..  ##34###34# ##334###334#","//--- END",Report!J11)</f>
        <v>* header.informationRecipient 0..1 http://hl7.eu/fhir/ig/xeh/StructureDefinition/Recipient ##34#A.1.4 Information recipient##34# ##334#A.1.4 Information recipient (intended recipient or recipients of the report, additional recipients might be identified by the ordering party, e.g. GP, other specialist), if applicable##334#</v>
      </c>
    </row>
    <row r="12" spans="3:7" x14ac:dyDescent="0.75">
      <c r="C12" s="14" t="str">
        <f>IF(Report!J12="*  ..  ##34###34# ##334###334#","//--- END",Report!J12)</f>
        <v>* header.author 0..* http://hl7.eu/fhir/ig/xeh/StructureDefinition/Author ##34#A.1.5 Author##34# ##334#A.1.5 Author (by whom the Laboratory result report or a subset of its results was authored)##334#</v>
      </c>
    </row>
    <row r="13" spans="3:7" x14ac:dyDescent="0.75">
      <c r="C13" s="14" t="str">
        <f>IF(Report!J13="*  ..  ##34###34# ##334###334#","//--- END",Report!J13)</f>
        <v>* header.legalAuthenticator 0..* http://hl7.eu/fhir/ig/xeh/StructureDefinition/LegalAuthenticator ##34#A.1.6 Legal authenticator##34# ##334#A.1.6 Legal authenticator (The person taking responsibility for the medical content of the document)##334#</v>
      </c>
    </row>
    <row r="14" spans="3:7" x14ac:dyDescent="0.75">
      <c r="C14" s="14" t="str">
        <f>IF(Report!J14="*  ..  ##34###34# ##334###334#","//--- END",Report!J14)</f>
        <v>* header.validator 0..* http://hl7.eu/fhir/ig/xeh/StructureDefinition/Validator ##34#A.1.7 Result validator##34# ##334#A.1.7 Result validator##334#</v>
      </c>
    </row>
    <row r="15" spans="3:7" x14ac:dyDescent="0.75">
      <c r="C15" s="14" t="str">
        <f>IF(Report!J15="*  ..  ##34###34# ##334###334#","//--- END",Report!J15)</f>
        <v>* header.metadata 1..1 BackboneElement ##34#A.1.8 Laboratory report metadata##34# ##334#A.1.8 Laboratory report metadata##334#</v>
      </c>
    </row>
    <row r="16" spans="3:7" x14ac:dyDescent="0.75">
      <c r="C16" s="14" t="str">
        <f>IF(Report!J16="*  ..  ##34###34# ##334###334#","//--- END",Report!J16)</f>
        <v>* header.metadata.type 1..1 CodeableConcept ##34#A.1.8.1 Document type##34# ##334#A coded type of the document. Fixed value "Laboratory report" - Preferred system(s): LOINC##334#</v>
      </c>
    </row>
    <row r="17" spans="3:3" x14ac:dyDescent="0.75">
      <c r="C17" s="14" t="str">
        <f>IF(Report!J17="*  ..  ##34###34# ##334###334#","//--- END",Report!J17)</f>
        <v>* header.metadata.status 1..1 CodeableConcept ##34#A.1.8.2 Document status##34# ##334#The status of the laboratory test result report. E.g., preliminary, final. - Preferred system(s): hl7:DiagnosticReportStatus##334#</v>
      </c>
    </row>
    <row r="18" spans="3:3" x14ac:dyDescent="0.75">
      <c r="C18" s="14" t="str">
        <f>IF(Report!J18="*  ..  ##34###34# ##334###334#","//--- END",Report!J18)</f>
        <v>* header.metadata.dateTime 1..1 dateTime ##34#A.1.8.3 Report date and time##34# ##334#Date and time of the result report creation. - Preferred system(s): ISO 8601##334#</v>
      </c>
    </row>
    <row r="19" spans="3:3" x14ac:dyDescent="0.75">
      <c r="C19" s="14" t="str">
        <f>IF(Report!J19="*  ..  ##34###34# ##334###334#","//--- END",Report!J19)</f>
        <v>* header.metadata.title 0..1 string ##34#A.1.8.4 Document title##34# ##334#Document title, e.g. "Laboratory Result report" - Preferred system(s): ##334#</v>
      </c>
    </row>
    <row r="20" spans="3:3" x14ac:dyDescent="0.75">
      <c r="C20" s="14" t="str">
        <f>IF(Report!J20="*  ..  ##34###34# ##334###334#","//--- END",Report!J20)</f>
        <v>* header.metadata.custodian 0..1 BackboneElement ##34#A.1.8.5 Report custodian##34# ##334#Organisation that is in charge of maintaining the laboratory report - Preferred system(s): ##334#</v>
      </c>
    </row>
    <row r="21" spans="3:3" x14ac:dyDescent="0.75">
      <c r="C21" s="14" t="str">
        <f>IF(Report!J21="*  ..  ##34###34# ##334###334#","//--- END",Report!J21)</f>
        <v>* order 0..* http://hl7.eu/fhir/ig/xeh/StructureDefinition/Order ##34#A.2-A.3 Order##34# ##334#A.2 Order information (Laboratory Result Report could respond to multiple test orders)
A.3 Order reason (Laboratory Result Report could respond to multiple reasons)
##334#</v>
      </c>
    </row>
    <row r="22" spans="3:3" x14ac:dyDescent="0.75">
      <c r="C22" s="14" t="str">
        <f>IF(Report!J22="*  ..  ##34###34# ##334###334#","//--- END",Report!J22)</f>
        <v>* specimen 0..* http://hl7.eu/fhir/ig/xeh/StructureDefinition/SpecimenLab ##34#A.4 Specimen information##34# ##334#A.4 Specimen information##334#</v>
      </c>
    </row>
    <row r="23" spans="3:3" x14ac:dyDescent="0.75">
      <c r="C23" s="14" t="str">
        <f>IF(Report!J23="*  ..  ##34###34# ##334###334#","//--- END",Report!J23)</f>
        <v>* result 0..* http://hl7.eu/fhir/ig/xeh/StructureDefinition/Result ##34#A.5 Results data elements##34# ##334#A.5 Results data elements##334#</v>
      </c>
    </row>
    <row r="24" spans="3:3" x14ac:dyDescent="0.75">
      <c r="C24" s="14" t="str">
        <f>IF(Report!J24="*  ..  ##34###34# ##334###334#","//--- END",Report!J24)</f>
        <v>//--- END</v>
      </c>
    </row>
    <row r="25" spans="3:3" x14ac:dyDescent="0.75">
      <c r="C25" s="14" t="str">
        <f>IF(Report!J25="*  ..  ##34###34# ##334###334#","//--- END",Report!J25)</f>
        <v>//--- END</v>
      </c>
    </row>
    <row r="26" spans="3:3" x14ac:dyDescent="0.75">
      <c r="C26" s="14" t="str">
        <f>IF(Report!J26="*  ..  ##34###34# ##334###334#","//--- END",Report!J26)</f>
        <v>//--- END</v>
      </c>
    </row>
    <row r="35" spans="3:3" x14ac:dyDescent="0.75">
      <c r="C35" s="32" t="s">
        <v>650</v>
      </c>
    </row>
    <row r="36" spans="3:3" x14ac:dyDescent="0.75">
      <c r="C36" s="33" t="s">
        <v>36</v>
      </c>
    </row>
    <row r="37" spans="3:3" x14ac:dyDescent="0.75">
      <c r="C37" s="33" t="s">
        <v>650</v>
      </c>
    </row>
    <row r="38" spans="3:3" x14ac:dyDescent="0.75">
      <c r="C38" s="14" t="str">
        <f>IF(Report!L8="*  ..  ##34###34# ##334###334#","//--- END",Report!L8)</f>
        <v/>
      </c>
    </row>
    <row r="39" spans="3:3" x14ac:dyDescent="0.75">
      <c r="C39" s="14" t="str">
        <f>IF(Report!L9="*  ..  ##34###34# ##334###334#","//--- END",Report!L9)</f>
        <v/>
      </c>
    </row>
    <row r="40" spans="3:3" x14ac:dyDescent="0.75">
      <c r="C40" s="14" t="str">
        <f>IF(Report!L10="*  ..  ##34###34# ##334###334#","//--- END",Report!L10)</f>
        <v/>
      </c>
    </row>
    <row r="41" spans="3:3" x14ac:dyDescent="0.75">
      <c r="C41" s="14" t="str">
        <f>IF(Report!L11="*  ..  ##34###34# ##334###334#","//--- END",Report!L11)</f>
        <v/>
      </c>
    </row>
    <row r="42" spans="3:3" x14ac:dyDescent="0.75">
      <c r="C42" s="14" t="str">
        <f>IF(Report!L12="*  ..  ##34###34# ##334###334#","//--- END",Report!L12)</f>
        <v/>
      </c>
    </row>
    <row r="43" spans="3:3" x14ac:dyDescent="0.75">
      <c r="C43" s="14" t="str">
        <f>IF(Report!L13="*  ..  ##34###34# ##334###334#","//--- END",Report!L13)</f>
        <v/>
      </c>
    </row>
    <row r="44" spans="3:3" x14ac:dyDescent="0.75">
      <c r="C44" s="14" t="str">
        <f>IF(Report!L14="*  ..  ##34###34# ##334###334#","//--- END",Report!L14)</f>
        <v/>
      </c>
    </row>
    <row r="45" spans="3:3" x14ac:dyDescent="0.75">
      <c r="C45" s="14" t="str">
        <f>IF(Report!L15="*  ..  ##34###34# ##334###334#","//--- END",Report!L15)</f>
        <v/>
      </c>
    </row>
    <row r="46" spans="3:3" x14ac:dyDescent="0.75">
      <c r="C46" s="14" t="str">
        <f>IF(Report!L16="*  ..  ##34###34# ##334###334#","//--- END",Report!L16)</f>
        <v/>
      </c>
    </row>
    <row r="47" spans="3:3" x14ac:dyDescent="0.75">
      <c r="C47" s="14" t="str">
        <f>IF(Report!L17="*  ..  ##34###34# ##334###334#","//--- END",Report!L17)</f>
        <v/>
      </c>
    </row>
    <row r="48" spans="3:3" x14ac:dyDescent="0.75">
      <c r="C48" s="14" t="str">
        <f>IF(Report!L18="*  ..  ##34###34# ##334###334#","//--- END",Report!L18)</f>
        <v/>
      </c>
    </row>
    <row r="49" spans="3:3" x14ac:dyDescent="0.75">
      <c r="C49" s="14" t="str">
        <f>IF(Report!L19="*  ..  ##34###34# ##334###334#","//--- END",Report!L19)</f>
        <v/>
      </c>
    </row>
    <row r="50" spans="3:3" x14ac:dyDescent="0.75">
      <c r="C50" s="14" t="str">
        <f>IF(Report!L20="*  ..  ##34###34# ##334###334#","//--- END",Report!L20)</f>
        <v/>
      </c>
    </row>
    <row r="51" spans="3:3" x14ac:dyDescent="0.75">
      <c r="C51" s="14" t="str">
        <f>IF(Report!L21="*  ..  ##34###34# ##334###334#","//--- END",Report!L21)</f>
        <v/>
      </c>
    </row>
    <row r="52" spans="3:3" x14ac:dyDescent="0.75">
      <c r="C52" s="14" t="str">
        <f>IF(Report!L22="*  ..  ##34###34# ##334###334#","//--- END",Report!L22)</f>
        <v/>
      </c>
    </row>
    <row r="53" spans="3:3" x14ac:dyDescent="0.75">
      <c r="C53" s="14" t="str">
        <f>IF(Report!L23="*  ..  ##34###34# ##334###334#","//--- END",Report!L23)</f>
        <v/>
      </c>
    </row>
    <row r="54" spans="3:3" x14ac:dyDescent="0.75">
      <c r="C54" s="14" t="str">
        <f>IF(Report!L24="*  ..  ##34###34# ##334###334#","//--- END",Report!L24)</f>
        <v>//--- END</v>
      </c>
    </row>
    <row r="55" spans="3:3" x14ac:dyDescent="0.75">
      <c r="C55" s="14" t="str">
        <f>IF(Report!L25="*  ..  ##34###34# ##334###334#","//--- END",Report!L25)</f>
        <v>//--- END</v>
      </c>
    </row>
    <row r="56" spans="3:3" x14ac:dyDescent="0.75">
      <c r="C56" s="14" t="str">
        <f>IF(Report!L26="*  ..  ##34###34# ##334###334#","//--- END",Report!L26)</f>
        <v>//--- END</v>
      </c>
    </row>
    <row r="57" spans="3:3" x14ac:dyDescent="0.75">
      <c r="C57" s="14" t="str">
        <f>IF(Report!L27="*  ..  ##34###34# ##334###334#","//--- END",Report!L27)</f>
        <v/>
      </c>
    </row>
    <row r="58" spans="3:3" x14ac:dyDescent="0.75">
      <c r="C58" s="14" t="str">
        <f>IF(Report!L28="*  ..  ##34###34# ##334###334#","//--- END",Report!L28)</f>
        <v/>
      </c>
    </row>
    <row r="59" spans="3:3" x14ac:dyDescent="0.75">
      <c r="C59" s="14" t="str">
        <f>IF(Report!L29="*  ..  ##34###34# ##334###334#","//--- END",Report!L29)</f>
        <v/>
      </c>
    </row>
    <row r="77" spans="3:3" x14ac:dyDescent="0.75">
      <c r="C77" s="32" t="str">
        <f>'Report-Map-1'!E1</f>
        <v>// -------------------------------------------------------------------------------</v>
      </c>
    </row>
    <row r="78" spans="3:3" x14ac:dyDescent="0.75">
      <c r="C78" s="33" t="str">
        <f>'Report-Map-1'!E2</f>
        <v>//  Map to FHIR R4</v>
      </c>
    </row>
    <row r="79" spans="3:3" x14ac:dyDescent="0.75">
      <c r="C79" s="33" t="str">
        <f>'Report-Map-1'!E3</f>
        <v>// -------------------------------------------------------------------------------</v>
      </c>
    </row>
    <row r="80" spans="3:3" x14ac:dyDescent="0.75">
      <c r="C80" s="14" t="str">
        <f>'Report-Map-1'!E4</f>
        <v>Mapping: eHNLab2Fhir</v>
      </c>
    </row>
    <row r="81" spans="3:3" x14ac:dyDescent="0.75">
      <c r="C81" s="14" t="str">
        <f>'Report-Map-1'!E5</f>
        <v>Id: fhir</v>
      </c>
    </row>
    <row r="82" spans="3:3" x14ac:dyDescent="0.75">
      <c r="C82" s="14" t="str">
        <f>'Report-Map-1'!E6</f>
        <v>Title: ##34#eHN Lab model to FHIR R4 Map##34#</v>
      </c>
    </row>
    <row r="83" spans="3:3" x14ac:dyDescent="0.75">
      <c r="C83" s="14" t="str">
        <f>'Report-Map-1'!E7</f>
        <v>Source: LabReport</v>
      </c>
    </row>
    <row r="84" spans="3:3" x14ac:dyDescent="0.75">
      <c r="C84" s="14" t="str">
        <f>'Report-Map-1'!E8</f>
        <v>Target: ##34#hl7.org/fhir/r4##34#</v>
      </c>
    </row>
    <row r="86" spans="3:3" x14ac:dyDescent="0.75">
      <c r="C86" s="4" t="str">
        <f>'Report-Map-1'!E9</f>
        <v>* -&gt; ##34#Bundle.conformsTo('http://hl7.eu/fhir/ig/xeh/StructureDefinition/Bundle-lab-xeh')##34#</v>
      </c>
    </row>
    <row r="87" spans="3:3" x14ac:dyDescent="0.75">
      <c r="C87" s="14" t="str">
        <f>IF('Report-Map-1'!E10="*  -&gt; ##34###34#","// --END",'Report-Map-1'!E10)</f>
        <v>* header -&gt; ##34#Composition.conformsTo('http://hl7.eu/fhir/ig/xeh/StructureDefinition/Composition-lab-xeh')##34#</v>
      </c>
    </row>
    <row r="88" spans="3:3" x14ac:dyDescent="0.75">
      <c r="C88" s="14" t="str">
        <f>IF('Report-Map-1'!E11="*  -&gt; ##34###34#","// --END",'Report-Map-1'!E11)</f>
        <v>* header.subject -&gt; ##34#Composition.subject##34#</v>
      </c>
    </row>
    <row r="89" spans="3:3" x14ac:dyDescent="0.75">
      <c r="C89" s="14" t="str">
        <f>IF('Report-Map-1'!E12="*  -&gt; ##34###34#","// --END",'Report-Map-1'!E12)</f>
        <v>* header.payer -&gt; ##34#ServiceRequest.conformsTo('http://hl7.eu/fhir/ig/xeh/StructureDefinition/ServiceRequest-lab-xeh').insurance.resolve()##34#</v>
      </c>
    </row>
    <row r="90" spans="3:3" x14ac:dyDescent="0.75">
      <c r="C90" s="14" t="str">
        <f>IF('Report-Map-1'!E13="*  -&gt; ##34###34#","// --END",'Report-Map-1'!E13)</f>
        <v>* header.informationRecipient -&gt; ##34#.extension('http://hl7.org/fhir/StructureDefinition/cqf-receivingOrganization') [TBD}##34#</v>
      </c>
    </row>
    <row r="91" spans="3:3" x14ac:dyDescent="0.75">
      <c r="C91" s="14" t="str">
        <f>IF('Report-Map-1'!E14="*  -&gt; ##34###34#","// --END",'Report-Map-1'!E14)</f>
        <v>* header.author -&gt; ##34#Composition.author##34#</v>
      </c>
    </row>
    <row r="92" spans="3:3" x14ac:dyDescent="0.75">
      <c r="C92" s="14" t="str">
        <f>IF('Report-Map-1'!E15="*  -&gt; ##34###34#","// --END",'Report-Map-1'!E15)</f>
        <v>* header.legalAuthenticator -&gt; ##34#Composition.attester.where(mode=http://hl7.org/fhir/composition-attestation-mode#legal)##34#</v>
      </c>
    </row>
    <row r="93" spans="3:3" x14ac:dyDescent="0.75">
      <c r="C93" s="14" t="str">
        <f>IF('Report-Map-1'!E16="*  -&gt; ##34###34#","// --END",'Report-Map-1'!E16)</f>
        <v>* header.validator -&gt; ##34#Composition.attester.where(mode=http://hl7.org/fhir/composition-attestation-mode#professional)##34#</v>
      </c>
    </row>
    <row r="94" spans="3:3" x14ac:dyDescent="0.75">
      <c r="C94" s="14" t="str">
        <f>IF('Report-Map-1'!E17="*  -&gt; ##34###34#","// --END",'Report-Map-1'!E17)</f>
        <v>* header.metadata -&gt; ##34#Composition##34#</v>
      </c>
    </row>
    <row r="95" spans="3:3" x14ac:dyDescent="0.75">
      <c r="C95" s="14" t="str">
        <f>IF('Report-Map-1'!E18="*  -&gt; ##34###34#","// --END",'Report-Map-1'!E18)</f>
        <v>* header.metadata.type -&gt; ##34#Composition.type##34#</v>
      </c>
    </row>
    <row r="96" spans="3:3" x14ac:dyDescent="0.75">
      <c r="C96" s="14" t="str">
        <f>IF('Report-Map-1'!E19="*  -&gt; ##34###34#","// --END",'Report-Map-1'!E19)</f>
        <v>* header.metadata.status -&gt; ##34#Composition.status##34#</v>
      </c>
    </row>
    <row r="97" spans="3:3" x14ac:dyDescent="0.75">
      <c r="C97" s="14" t="str">
        <f>IF('Report-Map-1'!E20="*  -&gt; ##34###34#","// --END",'Report-Map-1'!E20)</f>
        <v>* header.metadata.dateTime -&gt; ##34#Bundle.timestamp##34#</v>
      </c>
    </row>
    <row r="98" spans="3:3" x14ac:dyDescent="0.75">
      <c r="C98" s="14" t="str">
        <f>IF('Report-Map-1'!E21="*  -&gt; ##34###34#","// --END",'Report-Map-1'!E21)</f>
        <v>* header.metadata.title -&gt; ##34#Composition.title##34#</v>
      </c>
    </row>
    <row r="99" spans="3:3" x14ac:dyDescent="0.75">
      <c r="C99" s="14" t="str">
        <f>IF('Report-Map-1'!E22="*  -&gt; ##34###34#","// --END",'Report-Map-1'!E22)</f>
        <v>* header.metadata.custodian -&gt; ##34#Composition.custodian##34#</v>
      </c>
    </row>
    <row r="100" spans="3:3" ht="29.5" x14ac:dyDescent="0.75">
      <c r="C100" s="14" t="str">
        <f>IF('Report-Map-1'!E23="*  -&gt; ##34###34#","// --END",'Report-Map-1'!E23)</f>
        <v>* order -&gt; ##34#Composition.extension('http://hl7.eu/fhir/ig/xeh/StructureDefinition/composition-basedOn-order-or-requisition').valueReference.resolve()##34#</v>
      </c>
    </row>
    <row r="101" spans="3:3" ht="29.5" x14ac:dyDescent="0.75">
      <c r="C101" s="14" t="str">
        <f>IF('Report-Map-1'!E24="*  -&gt; ##34###34#","// --END",'Report-Map-1'!E24)</f>
        <v>* order -&gt; ##34#Composition.extension('http://hl7.eu/fhir/ig/xeh/StructureDefinition/composition-basedOn-order-or-requisition').valueIdentifier##34#</v>
      </c>
    </row>
    <row r="102" spans="3:3" ht="44.25" x14ac:dyDescent="0.75">
      <c r="C102" s="14" t="str">
        <f>IF('Report-Map-1'!E25="*  -&gt; ##34###34#","// --END",'Report-Map-1'!E25)</f>
        <v>* order -&gt; ##34#DiagnosticReport.conformsTo('http://hl7.eu/fhir/ig/xeh/StructureDefinition/DiagnosticReport-lab-xeh').basedOn.extension('http://hl7.eu/fhir/ig/xeh/StructureDefinition/diagnostic-report-basedOn-requisition').valueIdentifier##34#</v>
      </c>
    </row>
    <row r="103" spans="3:3" ht="29.5" x14ac:dyDescent="0.75">
      <c r="C103" s="14" t="str">
        <f>IF('Report-Map-1'!E26="*  -&gt; ##34###34#","// --END",'Report-Map-1'!E26)</f>
        <v>* order -&gt; ##34#DiagnosticReport.conformsTo('http://hl7.eu/fhir/ig/xeh/StructureDefinition/DiagnosticReport-lab-xeh').basedOn.resolve()##34#</v>
      </c>
    </row>
    <row r="104" spans="3:3" ht="29.5" x14ac:dyDescent="0.75">
      <c r="C104" s="14" t="str">
        <f>IF('Report-Map-1'!E27="*  -&gt; ##34###34#","// --END",'Report-Map-1'!E27)</f>
        <v>* specimen -&gt; ##34#Observation.conformsTo('http://hl7.eu/fhir/ig/xeh/StructureDefinition/Observation-results-laboratory-eu-xeh').specimen.resolve()##34#</v>
      </c>
    </row>
    <row r="105" spans="3:3" ht="29.5" x14ac:dyDescent="0.75">
      <c r="C105" s="14" t="str">
        <f>IF('Report-Map-1'!E28="*  -&gt; ##34###34#","// --END",'Report-Map-1'!E28)</f>
        <v>* specimen -&gt; ##34#DiagnosticReport.conformsTo('http://hl7.eu/fhir/ig/xeh/StructureDefinition/DiagnosticReport-lab-xeh').specimen.resolve()##34#</v>
      </c>
    </row>
    <row r="106" spans="3:3" x14ac:dyDescent="0.75">
      <c r="C106" s="14" t="str">
        <f>IF('Report-Map-1'!E29="*  -&gt; ##34###34#","// --END",'Report-Map-1'!E29)</f>
        <v>* result -&gt; ##34#Composition.section:no-subsections.entry.resolve()##34#</v>
      </c>
    </row>
    <row r="107" spans="3:3" x14ac:dyDescent="0.75">
      <c r="C107" s="14" t="str">
        <f>IF('Report-Map-1'!E30="*  -&gt; ##34###34#","// --END",'Report-Map-1'!E30)</f>
        <v>* result -&gt; ##34#Composition.section:subsections.section.entry.resolve()##34#</v>
      </c>
    </row>
    <row r="108" spans="3:3" ht="29.5" x14ac:dyDescent="0.75">
      <c r="C108" s="14" t="str">
        <f>IF('Report-Map-1'!E31="*  -&gt; ##34###34#","// --END",'Report-Map-1'!E31)</f>
        <v>* result -&gt; ##34#DiagnosticReport.conformsTo('http://hl7.eu/fhir/ig/xeh/StructureDefinition/DiagnosticReport-lab-xeh').result.resolve()##34#</v>
      </c>
    </row>
    <row r="109" spans="3:3" x14ac:dyDescent="0.75">
      <c r="C109" s="14" t="str">
        <f>IF('Report-Map-1'!E32="*  -&gt; ##34###34#","// --END",'Report-Map-1'!E32)</f>
        <v>// --END</v>
      </c>
    </row>
    <row r="110" spans="3:3" x14ac:dyDescent="0.75">
      <c r="C110" s="14" t="str">
        <f>IF('Report-Map-1'!E33="*  -&gt; ##34###34#","// --END",'Report-Map-1'!E33)</f>
        <v>// --END</v>
      </c>
    </row>
    <row r="111" spans="3:3" x14ac:dyDescent="0.75">
      <c r="C111" s="14" t="str">
        <f>IF('Report-Map-1'!E34="*  -&gt; ##34###34#","// --END",'Report-Map-1'!E34)</f>
        <v>// --END</v>
      </c>
    </row>
    <row r="112" spans="3:3" x14ac:dyDescent="0.75">
      <c r="C112" s="14" t="str">
        <f>IF('Report-Map-1'!E35="*  -&gt; ##34###34#","// --END",'Report-Map-1'!E35)</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2" r:id="rId4" name="Button 2">
              <controlPr defaultSize="0" print="0" autoFill="0" autoPict="0" macro="[0]!export">
                <anchor moveWithCells="1">
                  <from>
                    <xdr:col>2</xdr:col>
                    <xdr:colOff>444500</xdr:colOff>
                    <xdr:row>86</xdr:row>
                    <xdr:rowOff>171450</xdr:rowOff>
                  </from>
                  <to>
                    <xdr:col>2</xdr:col>
                    <xdr:colOff>1117600</xdr:colOff>
                    <xdr:row>88</xdr:row>
                    <xdr:rowOff>88900</xdr:rowOff>
                  </to>
                </anchor>
              </controlPr>
            </control>
          </mc:Choice>
        </mc:AlternateContent>
        <mc:AlternateContent xmlns:mc="http://schemas.openxmlformats.org/markup-compatibility/2006">
          <mc:Choice Requires="x14">
            <control shapeId="25603" r:id="rId5" name="Button 3">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940F3B-399D-4989-8402-B6703206CF8F}">
  <sheetPr codeName="Foglio45">
    <tabColor theme="0" tint="-0.499984740745262"/>
  </sheetPr>
  <dimension ref="A3:Q184"/>
  <sheetViews>
    <sheetView tabSelected="1" workbookViewId="0">
      <selection activeCell="B7" sqref="B7"/>
    </sheetView>
  </sheetViews>
  <sheetFormatPr defaultRowHeight="14.75" x14ac:dyDescent="0.75"/>
  <cols>
    <col min="2" max="2" width="31.6796875" bestFit="1" customWidth="1"/>
    <col min="3" max="3" width="31.6796875" customWidth="1"/>
    <col min="4" max="4" width="41.6796875" style="1" customWidth="1"/>
    <col min="5" max="5" width="23.2265625" style="1" customWidth="1"/>
    <col min="6" max="6" width="29.1328125" customWidth="1"/>
    <col min="7" max="7" width="13.2265625" customWidth="1"/>
    <col min="8" max="8" width="46.76953125" style="1" bestFit="1" customWidth="1"/>
    <col min="9" max="9" width="44.953125" customWidth="1"/>
    <col min="10" max="12" width="29.1328125" customWidth="1"/>
    <col min="13" max="13" width="33.6796875" style="1" customWidth="1"/>
    <col min="14" max="16" width="28.90625" customWidth="1"/>
    <col min="17" max="17" width="72.81640625" customWidth="1"/>
    <col min="18" max="22" width="28.90625" customWidth="1"/>
  </cols>
  <sheetData>
    <row r="3" spans="1:17" ht="45" thickBot="1" x14ac:dyDescent="0.9">
      <c r="H3" s="14" t="s">
        <v>651</v>
      </c>
      <c r="I3" s="14" t="s">
        <v>652</v>
      </c>
      <c r="J3" s="14" t="s">
        <v>653</v>
      </c>
      <c r="K3" s="14" t="s">
        <v>654</v>
      </c>
      <c r="L3" s="9" t="s">
        <v>655</v>
      </c>
      <c r="N3" s="89" t="s">
        <v>656</v>
      </c>
      <c r="O3" s="89">
        <v>5</v>
      </c>
    </row>
    <row r="4" spans="1:17" ht="15.5" thickBot="1" x14ac:dyDescent="0.9">
      <c r="B4" s="13" t="s">
        <v>34</v>
      </c>
      <c r="C4" s="54"/>
      <c r="E4" s="90"/>
      <c r="H4" s="14"/>
      <c r="I4" s="9"/>
      <c r="J4" s="9"/>
      <c r="K4" s="9"/>
      <c r="L4" s="9"/>
    </row>
    <row r="5" spans="1:17" ht="15.5" thickBot="1" x14ac:dyDescent="0.9">
      <c r="B5" s="13" t="s">
        <v>19</v>
      </c>
      <c r="C5" s="15"/>
      <c r="E5" s="91"/>
      <c r="H5" s="14"/>
      <c r="I5" s="9"/>
      <c r="J5" s="9"/>
      <c r="K5" s="9"/>
      <c r="L5" s="9"/>
    </row>
    <row r="6" spans="1:17" ht="15.5" thickBot="1" x14ac:dyDescent="0.9">
      <c r="B6" s="13" t="s">
        <v>13</v>
      </c>
      <c r="C6" s="10"/>
      <c r="E6" s="10"/>
      <c r="H6" s="25" t="s">
        <v>657</v>
      </c>
      <c r="I6" s="92" t="s">
        <v>658</v>
      </c>
      <c r="J6" s="25" t="s">
        <v>659</v>
      </c>
      <c r="K6" s="92" t="s">
        <v>660</v>
      </c>
      <c r="L6" s="93" t="s">
        <v>661</v>
      </c>
    </row>
    <row r="7" spans="1:17" x14ac:dyDescent="0.75">
      <c r="B7" s="94" t="s">
        <v>35</v>
      </c>
      <c r="C7" s="95"/>
      <c r="E7" s="95"/>
      <c r="H7" s="14"/>
      <c r="I7" s="9"/>
      <c r="J7" s="9"/>
      <c r="K7" s="9"/>
      <c r="L7" s="9"/>
    </row>
    <row r="8" spans="1:17" x14ac:dyDescent="0.75">
      <c r="B8" s="96" t="s">
        <v>18</v>
      </c>
      <c r="C8" s="9"/>
      <c r="D8" s="14"/>
      <c r="E8" s="9"/>
      <c r="F8" s="93" t="s">
        <v>661</v>
      </c>
      <c r="G8" s="97"/>
      <c r="H8" s="14"/>
      <c r="I8" s="9"/>
      <c r="J8" s="93"/>
      <c r="K8" s="93"/>
      <c r="L8" s="93"/>
    </row>
    <row r="9" spans="1:17" x14ac:dyDescent="0.75">
      <c r="A9" s="23"/>
      <c r="B9" s="8"/>
      <c r="C9" s="9"/>
      <c r="D9" s="8" t="s">
        <v>662</v>
      </c>
      <c r="E9" s="8"/>
      <c r="F9" s="9"/>
      <c r="H9" s="14"/>
      <c r="I9" s="9"/>
      <c r="J9" s="9"/>
      <c r="K9" s="9"/>
      <c r="L9" s="93"/>
    </row>
    <row r="10" spans="1:17" ht="44.25" x14ac:dyDescent="0.75">
      <c r="A10" s="23"/>
      <c r="B10" s="8" t="str">
        <f>[1]HospitalDischargeReport!B5</f>
        <v>HospitalDischargeReport</v>
      </c>
      <c r="C10" s="8" t="str">
        <f>[1]HospitalDischargeReport!B6</f>
        <v>Hospital Discharge Report (eHN)</v>
      </c>
      <c r="D10" s="62" t="e">
        <f>[1]ConvertOsiris!I2</f>
        <v>#REF!</v>
      </c>
      <c r="E10" s="62" t="e">
        <f>[1]ConvertOsiris!J2</f>
        <v>#REF!</v>
      </c>
      <c r="F10" s="98" t="s">
        <v>663</v>
      </c>
      <c r="G10" s="99"/>
      <c r="H10" s="14" t="str">
        <f>"* group[=].element[+].code = #"&amp;B10</f>
        <v>* group[=].element[+].code = #HospitalDischargeReport</v>
      </c>
      <c r="I10" s="14" t="str">
        <f>"* group[=].element[=].display = ##34#"&amp;C10&amp;"##34#"</f>
        <v>* group[=].element[=].display = ##34#Hospital Discharge Report (eHN)##34#</v>
      </c>
      <c r="J10" s="14" t="e">
        <f>IF(F10="unmatched","//-- unmatched","* group[=].element[=].target.code = #"&amp;$D$9&amp;"."&amp;D10)</f>
        <v>#REF!</v>
      </c>
      <c r="K10" s="14" t="e">
        <f>IF(F10="unmatched","//-- unmatched","* group[=].element[=].target.display = ##34#"&amp;E10&amp;"##34#")</f>
        <v>#REF!</v>
      </c>
      <c r="L10" s="14" t="str">
        <f>"* group[=].element[=].target.equivalence = #"&amp;F10</f>
        <v>* group[=].element[=].target.equivalence = #equivalent</v>
      </c>
      <c r="N10" s="9">
        <v>1</v>
      </c>
      <c r="O10" s="9">
        <f>IF(MOD(N10,$O$3)=0,N10/$O$3-1,INT(N10/$O$3))</f>
        <v>0</v>
      </c>
      <c r="P10" s="9">
        <f>IF(MOD(N10,$O$3)=0,$O$3,MOD(N10,$O$3))</f>
        <v>1</v>
      </c>
      <c r="Q10" s="14" t="str" cm="1">
        <f t="array" ref="Q10">INDEX('HospitalDischargeRep-ConceptMap'!$H$10:$L$264,O10+1,P10)</f>
        <v>* group[=].element[+].code = #HospitalDischargeReport</v>
      </c>
    </row>
    <row r="11" spans="1:17" ht="44.25" x14ac:dyDescent="0.75">
      <c r="A11" s="23"/>
      <c r="B11" s="9" t="str">
        <f>$B$10&amp;"."&amp;[1]HospitalDischargeReport!B8</f>
        <v>HospitalDischargeReport.header</v>
      </c>
      <c r="C11" s="9" t="str">
        <f>[1]HospitalDischargeReport!C8</f>
        <v>A.1-Report header data element [Mandatory]</v>
      </c>
      <c r="D11" s="9" t="e">
        <f>[1]ConvertOsiris!I6</f>
        <v>#REF!</v>
      </c>
      <c r="E11" s="9" t="e">
        <f>[1]ConvertOsiris!J6</f>
        <v>#REF!</v>
      </c>
      <c r="F11" s="98" t="s">
        <v>664</v>
      </c>
      <c r="G11" s="99"/>
      <c r="H11" s="14" t="str">
        <f t="shared" ref="H11:H17" si="0">"* group[=].element[+].code = #"&amp;B11</f>
        <v>* group[=].element[+].code = #HospitalDischargeReport.header</v>
      </c>
      <c r="I11" s="14" t="str">
        <f t="shared" ref="I11:I17" si="1">"* group[=].element[=].display = ##34#"&amp;C11&amp;"##34#"</f>
        <v>* group[=].element[=].display = ##34#A.1-Report header data element [Mandatory]##34#</v>
      </c>
      <c r="J11" s="14" t="e">
        <f t="shared" ref="J11:J17" si="2">IF(F11="unmatched","//-- unmatched","* group[=].element[=].target.code = #"&amp;$D$9&amp;"."&amp;D11)</f>
        <v>#REF!</v>
      </c>
      <c r="K11" s="14" t="e">
        <f t="shared" ref="K11:K17" si="3">IF(F11="unmatched","//-- unmatched","* group[=].element[=].target.display = ##34#"&amp;E11&amp;"##34#")</f>
        <v>#REF!</v>
      </c>
      <c r="L11" s="14" t="str">
        <f t="shared" ref="L11:L17" si="4">"* group[=].element[=].target.equivalence = #"&amp;F11</f>
        <v>* group[=].element[=].target.equivalence = #relatedto</v>
      </c>
      <c r="N11" s="9">
        <v>2</v>
      </c>
      <c r="O11" s="9">
        <f t="shared" ref="O11:O74" si="5">IF(MOD(N11,$O$3)=0,N11/$O$3-1,INT(N11/$O$3))</f>
        <v>0</v>
      </c>
      <c r="P11" s="9">
        <f t="shared" ref="P11:P74" si="6">IF(MOD(N11,$O$3)=0,$O$3,MOD(N11,$O$3))</f>
        <v>2</v>
      </c>
      <c r="Q11" s="14" t="str" cm="1">
        <f t="array" ref="Q11">INDEX('HospitalDischargeRep-ConceptMap'!$H$10:$L$264,O11+1,P11)</f>
        <v>* group[=].element[=].display = ##34#Hospital Discharge Report (eHN)##34#</v>
      </c>
    </row>
    <row r="12" spans="1:17" ht="44.25" x14ac:dyDescent="0.75">
      <c r="A12" s="23"/>
      <c r="B12" s="9" t="str">
        <f>$B$10&amp;"."&amp;[1]HospitalDischargeReport!B9</f>
        <v>HospitalDischargeReport.header.subject-identification</v>
      </c>
      <c r="C12" s="9" t="str">
        <f>[1]HospitalDischargeReport!C9</f>
        <v>A.1.1-Identification of the patient/subject [Mandatory]</v>
      </c>
      <c r="D12" s="9" t="e">
        <f>[1]ConvertOsiris!I6</f>
        <v>#REF!</v>
      </c>
      <c r="E12" s="9" t="e">
        <f>[1]ConvertOsiris!J6</f>
        <v>#REF!</v>
      </c>
      <c r="F12" s="98" t="s">
        <v>663</v>
      </c>
      <c r="G12" s="99"/>
      <c r="H12" s="14" t="str">
        <f t="shared" si="0"/>
        <v>* group[=].element[+].code = #HospitalDischargeReport.header.subject-identification</v>
      </c>
      <c r="I12" s="14" t="str">
        <f t="shared" si="1"/>
        <v>* group[=].element[=].display = ##34#A.1.1-Identification of the patient/subject [Mandatory]##34#</v>
      </c>
      <c r="J12" s="14" t="e">
        <f t="shared" si="2"/>
        <v>#REF!</v>
      </c>
      <c r="K12" s="14" t="e">
        <f t="shared" si="3"/>
        <v>#REF!</v>
      </c>
      <c r="L12" s="14" t="str">
        <f t="shared" si="4"/>
        <v>* group[=].element[=].target.equivalence = #equivalent</v>
      </c>
      <c r="N12" s="9">
        <v>3</v>
      </c>
      <c r="O12" s="9">
        <f t="shared" si="5"/>
        <v>0</v>
      </c>
      <c r="P12" s="9">
        <f t="shared" si="6"/>
        <v>3</v>
      </c>
      <c r="Q12" s="14" t="e" cm="1">
        <f t="array" ref="Q12">INDEX('HospitalDischargeRep-ConceptMap'!$H$10:$L$264,O12+1,P12)</f>
        <v>#REF!</v>
      </c>
    </row>
    <row r="13" spans="1:17" ht="44.25" x14ac:dyDescent="0.75">
      <c r="A13" s="23"/>
      <c r="B13" s="9" t="str">
        <f>$B$10&amp;"."&amp;[1]HospitalDischargeReport!B11</f>
        <v>HospitalDischargeReport.header.payer</v>
      </c>
      <c r="C13" s="9" t="str">
        <f>[1]HospitalDischargeReport!C11</f>
        <v>A.1.3-Health insurance and payment information [Required]</v>
      </c>
      <c r="D13" s="9"/>
      <c r="E13" s="9"/>
      <c r="F13" s="98" t="s">
        <v>665</v>
      </c>
      <c r="G13" s="99"/>
      <c r="H13" s="14" t="str">
        <f t="shared" si="0"/>
        <v>* group[=].element[+].code = #HospitalDischargeReport.header.payer</v>
      </c>
      <c r="I13" s="14" t="str">
        <f t="shared" si="1"/>
        <v>* group[=].element[=].display = ##34#A.1.3-Health insurance and payment information [Required]##34#</v>
      </c>
      <c r="J13" s="14" t="str">
        <f t="shared" si="2"/>
        <v>//-- unmatched</v>
      </c>
      <c r="K13" s="14" t="str">
        <f t="shared" si="3"/>
        <v>//-- unmatched</v>
      </c>
      <c r="L13" s="14" t="str">
        <f t="shared" si="4"/>
        <v>* group[=].element[=].target.equivalence = #unmatched</v>
      </c>
      <c r="N13" s="9">
        <v>4</v>
      </c>
      <c r="O13" s="9">
        <f t="shared" si="5"/>
        <v>0</v>
      </c>
      <c r="P13" s="9">
        <f t="shared" si="6"/>
        <v>4</v>
      </c>
      <c r="Q13" s="14" t="e" cm="1">
        <f t="array" ref="Q13">INDEX('HospitalDischargeRep-ConceptMap'!$H$10:$L$264,O13+1,P13)</f>
        <v>#REF!</v>
      </c>
    </row>
    <row r="14" spans="1:17" ht="44.25" x14ac:dyDescent="0.75">
      <c r="A14" s="23"/>
      <c r="B14" s="9" t="str">
        <f>$B$10&amp;"."&amp;[1]HospitalDischargeReport!B12</f>
        <v>HospitalDischargeReport.header.informationRecipient</v>
      </c>
      <c r="C14" s="9" t="str">
        <f>[1]HospitalDischargeReport!C12</f>
        <v>A.1.4-Information recipient [Required]</v>
      </c>
      <c r="D14" s="9"/>
      <c r="E14" s="9"/>
      <c r="F14" s="98" t="s">
        <v>665</v>
      </c>
      <c r="G14" s="99"/>
      <c r="H14" s="14" t="str">
        <f t="shared" si="0"/>
        <v>* group[=].element[+].code = #HospitalDischargeReport.header.informationRecipient</v>
      </c>
      <c r="I14" s="14" t="str">
        <f t="shared" si="1"/>
        <v>* group[=].element[=].display = ##34#A.1.4-Information recipient [Required]##34#</v>
      </c>
      <c r="J14" s="14" t="str">
        <f t="shared" si="2"/>
        <v>//-- unmatched</v>
      </c>
      <c r="K14" s="14" t="str">
        <f t="shared" si="3"/>
        <v>//-- unmatched</v>
      </c>
      <c r="L14" s="14" t="str">
        <f t="shared" si="4"/>
        <v>* group[=].element[=].target.equivalence = #unmatched</v>
      </c>
      <c r="N14" s="9">
        <v>5</v>
      </c>
      <c r="O14" s="9">
        <f t="shared" si="5"/>
        <v>0</v>
      </c>
      <c r="P14" s="9">
        <f t="shared" si="6"/>
        <v>5</v>
      </c>
      <c r="Q14" s="14" t="str" cm="1">
        <f t="array" ref="Q14">INDEX('HospitalDischargeRep-ConceptMap'!$H$10:$L$264,O14+1,P14)</f>
        <v>* group[=].element[=].target.equivalence = #equivalent</v>
      </c>
    </row>
    <row r="15" spans="1:17" ht="44.25" x14ac:dyDescent="0.75">
      <c r="A15" s="23"/>
      <c r="B15" s="9" t="str">
        <f>$B$10&amp;"."&amp;[1]HospitalDischargeReport!B13</f>
        <v>HospitalDischargeReport.header.author</v>
      </c>
      <c r="C15" s="9" t="str">
        <f>[1]HospitalDischargeReport!C13</f>
        <v>A.1.5-Author (by whom the Hospital discharge report was authored) [Mandatory]</v>
      </c>
      <c r="D15" s="9" t="e">
        <f>[1]ConvertOsiris!I4</f>
        <v>#REF!</v>
      </c>
      <c r="E15" s="9" t="e">
        <f>[1]ConvertOsiris!J4</f>
        <v>#REF!</v>
      </c>
      <c r="F15" s="98" t="s">
        <v>666</v>
      </c>
      <c r="G15" s="99"/>
      <c r="H15" s="14" t="str">
        <f t="shared" si="0"/>
        <v>* group[=].element[+].code = #HospitalDischargeReport.header.author</v>
      </c>
      <c r="I15" s="14" t="str">
        <f t="shared" si="1"/>
        <v>* group[=].element[=].display = ##34#A.1.5-Author (by whom the Hospital discharge report was authored) [Mandatory]##34#</v>
      </c>
      <c r="J15" s="14" t="e">
        <f t="shared" si="2"/>
        <v>#REF!</v>
      </c>
      <c r="K15" s="14" t="e">
        <f t="shared" si="3"/>
        <v>#REF!</v>
      </c>
      <c r="L15" s="14" t="str">
        <f t="shared" si="4"/>
        <v>* group[=].element[=].target.equivalence = #narrower</v>
      </c>
      <c r="N15" s="9">
        <v>6</v>
      </c>
      <c r="O15" s="9">
        <f t="shared" si="5"/>
        <v>1</v>
      </c>
      <c r="P15" s="9">
        <f t="shared" si="6"/>
        <v>1</v>
      </c>
      <c r="Q15" s="14" t="str" cm="1">
        <f t="array" ref="Q15">INDEX('HospitalDischargeRep-ConceptMap'!$H$10:$L$264,O15+1,P15)</f>
        <v>* group[=].element[+].code = #HospitalDischargeReport.header</v>
      </c>
    </row>
    <row r="16" spans="1:17" ht="44.25" x14ac:dyDescent="0.75">
      <c r="A16" s="23"/>
      <c r="B16" s="9" t="str">
        <f>$B$10&amp;"."&amp;[1]HospitalDischargeReport!B14</f>
        <v>HospitalDischargeReport.header.attester</v>
      </c>
      <c r="C16" s="9" t="str">
        <f>[1]HospitalDischargeReport!C14</f>
        <v>A.1.6-Attester  [Required]</v>
      </c>
      <c r="D16" s="9" t="e">
        <f>[1]ConvertOsiris!I5</f>
        <v>#REF!</v>
      </c>
      <c r="E16" s="9" t="e">
        <f>[1]ConvertOsiris!J5</f>
        <v>#REF!</v>
      </c>
      <c r="F16" s="98" t="s">
        <v>667</v>
      </c>
      <c r="G16" s="99"/>
      <c r="H16" s="14" t="str">
        <f t="shared" si="0"/>
        <v>* group[=].element[+].code = #HospitalDischargeReport.header.attester</v>
      </c>
      <c r="I16" s="14" t="str">
        <f t="shared" si="1"/>
        <v>* group[=].element[=].display = ##34#A.1.6-Attester  [Required]##34#</v>
      </c>
      <c r="J16" s="14" t="e">
        <f t="shared" si="2"/>
        <v>#REF!</v>
      </c>
      <c r="K16" s="14" t="e">
        <f t="shared" si="3"/>
        <v>#REF!</v>
      </c>
      <c r="L16" s="14" t="str">
        <f t="shared" si="4"/>
        <v>* group[=].element[=].target.equivalence = #wider</v>
      </c>
      <c r="N16" s="9">
        <v>7</v>
      </c>
      <c r="O16" s="9">
        <f t="shared" si="5"/>
        <v>1</v>
      </c>
      <c r="P16" s="9">
        <f t="shared" si="6"/>
        <v>2</v>
      </c>
      <c r="Q16" s="14" t="str" cm="1">
        <f t="array" ref="Q16">INDEX('HospitalDischargeRep-ConceptMap'!$H$10:$L$264,O16+1,P16)</f>
        <v>* group[=].element[=].display = ##34#A.1-Report header data element [Mandatory]##34#</v>
      </c>
    </row>
    <row r="17" spans="1:17" ht="44.25" x14ac:dyDescent="0.75">
      <c r="A17" s="23"/>
      <c r="B17" s="9" t="str">
        <f>$B$10&amp;"."&amp;[1]HospitalDischargeReport!B15</f>
        <v>HospitalDischargeReport.header.legalAuthenticator</v>
      </c>
      <c r="C17" s="9" t="str">
        <f>[1]HospitalDischargeReport!C15</f>
        <v>A.1.7-Legal authenticator [Required]</v>
      </c>
      <c r="D17" s="9"/>
      <c r="E17" s="14"/>
      <c r="F17" s="98" t="s">
        <v>665</v>
      </c>
      <c r="G17" s="99"/>
      <c r="H17" s="14" t="str">
        <f t="shared" si="0"/>
        <v>* group[=].element[+].code = #HospitalDischargeReport.header.legalAuthenticator</v>
      </c>
      <c r="I17" s="14" t="str">
        <f t="shared" si="1"/>
        <v>* group[=].element[=].display = ##34#A.1.7-Legal authenticator [Required]##34#</v>
      </c>
      <c r="J17" s="14" t="str">
        <f t="shared" si="2"/>
        <v>//-- unmatched</v>
      </c>
      <c r="K17" s="14" t="str">
        <f t="shared" si="3"/>
        <v>//-- unmatched</v>
      </c>
      <c r="L17" s="14" t="str">
        <f t="shared" si="4"/>
        <v>* group[=].element[=].target.equivalence = #unmatched</v>
      </c>
      <c r="N17" s="9">
        <v>8</v>
      </c>
      <c r="O17" s="9">
        <f t="shared" si="5"/>
        <v>1</v>
      </c>
      <c r="P17" s="9">
        <f t="shared" si="6"/>
        <v>3</v>
      </c>
      <c r="Q17" s="14" t="e" cm="1">
        <f t="array" ref="Q17">INDEX('HospitalDischargeRep-ConceptMap'!$H$10:$L$264,O17+1,P17)</f>
        <v>#REF!</v>
      </c>
    </row>
    <row r="18" spans="1:17" x14ac:dyDescent="0.75">
      <c r="A18" s="23"/>
      <c r="B18" s="9"/>
      <c r="C18" s="9"/>
      <c r="D18" s="9"/>
      <c r="E18" s="14"/>
      <c r="F18" s="98"/>
      <c r="G18" s="99"/>
      <c r="H18" s="14"/>
      <c r="I18" s="14"/>
      <c r="J18" s="14"/>
      <c r="K18" s="14"/>
      <c r="L18" s="14"/>
      <c r="N18" s="9">
        <v>9</v>
      </c>
      <c r="O18" s="9">
        <f t="shared" si="5"/>
        <v>1</v>
      </c>
      <c r="P18" s="9">
        <f t="shared" si="6"/>
        <v>4</v>
      </c>
      <c r="Q18" s="14" t="e" cm="1">
        <f t="array" ref="Q18">INDEX('HospitalDischargeRep-ConceptMap'!$H$10:$L$264,O18+1,P18)</f>
        <v>#REF!</v>
      </c>
    </row>
    <row r="19" spans="1:17" x14ac:dyDescent="0.75">
      <c r="B19" s="9"/>
      <c r="C19" s="9"/>
      <c r="D19" s="9"/>
      <c r="E19" s="14"/>
      <c r="F19" s="98"/>
      <c r="G19" s="99"/>
      <c r="H19" s="14"/>
      <c r="I19" s="14"/>
      <c r="J19" s="14"/>
      <c r="K19" s="14"/>
      <c r="L19" s="14"/>
      <c r="N19" s="9">
        <v>10</v>
      </c>
      <c r="O19" s="9">
        <f t="shared" si="5"/>
        <v>1</v>
      </c>
      <c r="P19" s="9">
        <f t="shared" si="6"/>
        <v>5</v>
      </c>
      <c r="Q19" s="14" t="str" cm="1">
        <f t="array" ref="Q19">INDEX('HospitalDischargeRep-ConceptMap'!$H$10:$L$264,O19+1,P19)</f>
        <v>* group[=].element[=].target.equivalence = #relatedto</v>
      </c>
    </row>
    <row r="20" spans="1:17" x14ac:dyDescent="0.75">
      <c r="B20" s="9"/>
      <c r="C20" s="9"/>
      <c r="D20" s="9"/>
      <c r="E20" s="14"/>
      <c r="F20" s="98"/>
      <c r="G20" s="99"/>
      <c r="H20" s="14"/>
      <c r="I20" s="14"/>
      <c r="J20" s="14"/>
      <c r="K20" s="14"/>
      <c r="L20" s="14"/>
      <c r="N20" s="9">
        <v>11</v>
      </c>
      <c r="O20" s="9">
        <f t="shared" si="5"/>
        <v>2</v>
      </c>
      <c r="P20" s="9">
        <f t="shared" si="6"/>
        <v>1</v>
      </c>
      <c r="Q20" s="14" t="str" cm="1">
        <f t="array" ref="Q20">INDEX('HospitalDischargeRep-ConceptMap'!$H$10:$L$264,O20+1,P20)</f>
        <v>* group[=].element[+].code = #HospitalDischargeReport.header.subject-identification</v>
      </c>
    </row>
    <row r="21" spans="1:17" ht="29.5" x14ac:dyDescent="0.75">
      <c r="B21" s="9"/>
      <c r="C21" s="9"/>
      <c r="D21" s="9"/>
      <c r="E21" s="14"/>
      <c r="F21" s="98"/>
      <c r="G21" s="99"/>
      <c r="J21" s="99"/>
      <c r="K21" s="99"/>
      <c r="L21" s="97"/>
      <c r="N21" s="9">
        <v>12</v>
      </c>
      <c r="O21" s="9">
        <f t="shared" si="5"/>
        <v>2</v>
      </c>
      <c r="P21" s="9">
        <f t="shared" si="6"/>
        <v>2</v>
      </c>
      <c r="Q21" s="14" t="str" cm="1">
        <f t="array" ref="Q21">INDEX('HospitalDischargeRep-ConceptMap'!$H$10:$L$264,O21+1,P21)</f>
        <v>* group[=].element[=].display = ##34#A.1.1-Identification of the patient/subject [Mandatory]##34#</v>
      </c>
    </row>
    <row r="22" spans="1:17" x14ac:dyDescent="0.75">
      <c r="B22" s="9"/>
      <c r="C22" s="9"/>
      <c r="D22" s="9"/>
      <c r="E22" s="14"/>
      <c r="F22" s="98"/>
      <c r="G22" s="99"/>
      <c r="J22" s="99"/>
      <c r="K22" s="99"/>
      <c r="L22" s="97"/>
      <c r="N22" s="9">
        <v>13</v>
      </c>
      <c r="O22" s="9">
        <f t="shared" si="5"/>
        <v>2</v>
      </c>
      <c r="P22" s="9">
        <f t="shared" si="6"/>
        <v>3</v>
      </c>
      <c r="Q22" s="14" t="e" cm="1">
        <f t="array" ref="Q22">INDEX('HospitalDischargeRep-ConceptMap'!$H$10:$L$264,O22+1,P22)</f>
        <v>#REF!</v>
      </c>
    </row>
    <row r="23" spans="1:17" x14ac:dyDescent="0.75">
      <c r="B23" s="9"/>
      <c r="C23" s="9"/>
      <c r="D23" s="9"/>
      <c r="E23" s="14"/>
      <c r="F23" s="98"/>
      <c r="G23" s="99"/>
      <c r="J23" s="99"/>
      <c r="K23" s="99"/>
      <c r="L23" s="97"/>
      <c r="N23" s="9">
        <v>14</v>
      </c>
      <c r="O23" s="9">
        <f t="shared" si="5"/>
        <v>2</v>
      </c>
      <c r="P23" s="9">
        <f t="shared" si="6"/>
        <v>4</v>
      </c>
      <c r="Q23" s="14" t="e" cm="1">
        <f t="array" ref="Q23">INDEX('HospitalDischargeRep-ConceptMap'!$H$10:$L$264,O23+1,P23)</f>
        <v>#REF!</v>
      </c>
    </row>
    <row r="24" spans="1:17" x14ac:dyDescent="0.75">
      <c r="B24" s="9"/>
      <c r="C24" s="9"/>
      <c r="D24" s="9"/>
      <c r="E24" s="14"/>
      <c r="F24" s="98"/>
      <c r="G24" s="99"/>
      <c r="J24" s="99"/>
      <c r="K24" s="99"/>
      <c r="L24" s="97"/>
      <c r="N24" s="9">
        <v>15</v>
      </c>
      <c r="O24" s="9">
        <f t="shared" si="5"/>
        <v>2</v>
      </c>
      <c r="P24" s="9">
        <f t="shared" si="6"/>
        <v>5</v>
      </c>
      <c r="Q24" s="14" t="str" cm="1">
        <f t="array" ref="Q24">INDEX('HospitalDischargeRep-ConceptMap'!$H$10:$L$264,O24+1,P24)</f>
        <v>* group[=].element[=].target.equivalence = #equivalent</v>
      </c>
    </row>
    <row r="25" spans="1:17" x14ac:dyDescent="0.75">
      <c r="B25" s="9"/>
      <c r="C25" s="9"/>
      <c r="D25" s="9"/>
      <c r="E25" s="14"/>
      <c r="F25" s="98"/>
      <c r="G25" s="99"/>
      <c r="J25" s="99"/>
      <c r="K25" s="99"/>
      <c r="L25" s="97"/>
      <c r="N25" s="9">
        <v>16</v>
      </c>
      <c r="O25" s="9">
        <f t="shared" si="5"/>
        <v>3</v>
      </c>
      <c r="P25" s="9">
        <f t="shared" si="6"/>
        <v>1</v>
      </c>
      <c r="Q25" s="14" t="str" cm="1">
        <f t="array" ref="Q25">INDEX('HospitalDischargeRep-ConceptMap'!$H$10:$L$264,O25+1,P25)</f>
        <v>* group[=].element[+].code = #HospitalDischargeReport.header.payer</v>
      </c>
    </row>
    <row r="26" spans="1:17" ht="29.5" x14ac:dyDescent="0.75">
      <c r="B26" s="9"/>
      <c r="C26" s="9"/>
      <c r="D26" s="9"/>
      <c r="E26" s="14"/>
      <c r="F26" s="98"/>
      <c r="G26" s="99"/>
      <c r="J26" s="99"/>
      <c r="K26" s="99"/>
      <c r="L26" s="97"/>
      <c r="N26" s="9">
        <v>17</v>
      </c>
      <c r="O26" s="9">
        <f t="shared" si="5"/>
        <v>3</v>
      </c>
      <c r="P26" s="9">
        <f t="shared" si="6"/>
        <v>2</v>
      </c>
      <c r="Q26" s="14" t="str" cm="1">
        <f t="array" ref="Q26">INDEX('HospitalDischargeRep-ConceptMap'!$H$10:$L$264,O26+1,P26)</f>
        <v>* group[=].element[=].display = ##34#A.1.3-Health insurance and payment information [Required]##34#</v>
      </c>
    </row>
    <row r="27" spans="1:17" x14ac:dyDescent="0.75">
      <c r="B27" s="9"/>
      <c r="C27" s="9"/>
      <c r="D27" s="9"/>
      <c r="E27" s="14"/>
      <c r="F27" s="98"/>
      <c r="G27" s="99"/>
      <c r="J27" s="99"/>
      <c r="K27" s="99"/>
      <c r="L27" s="97"/>
      <c r="N27" s="9">
        <v>18</v>
      </c>
      <c r="O27" s="9">
        <f t="shared" si="5"/>
        <v>3</v>
      </c>
      <c r="P27" s="9">
        <f t="shared" si="6"/>
        <v>3</v>
      </c>
      <c r="Q27" s="14" t="str" cm="1">
        <f t="array" ref="Q27">INDEX('HospitalDischargeRep-ConceptMap'!$H$10:$L$264,O27+1,P27)</f>
        <v>//-- unmatched</v>
      </c>
    </row>
    <row r="28" spans="1:17" x14ac:dyDescent="0.75">
      <c r="B28" s="9"/>
      <c r="C28" s="9"/>
      <c r="D28" s="9"/>
      <c r="E28" s="14"/>
      <c r="F28" s="98"/>
      <c r="G28" s="99"/>
      <c r="J28" s="99"/>
      <c r="K28" s="99"/>
      <c r="L28" s="97"/>
      <c r="N28" s="9">
        <v>19</v>
      </c>
      <c r="O28" s="9">
        <f t="shared" si="5"/>
        <v>3</v>
      </c>
      <c r="P28" s="9">
        <f t="shared" si="6"/>
        <v>4</v>
      </c>
      <c r="Q28" s="14" t="str" cm="1">
        <f t="array" ref="Q28">INDEX('HospitalDischargeRep-ConceptMap'!$H$10:$L$264,O28+1,P28)</f>
        <v>//-- unmatched</v>
      </c>
    </row>
    <row r="29" spans="1:17" x14ac:dyDescent="0.75">
      <c r="B29" s="9"/>
      <c r="C29" s="9"/>
      <c r="D29" s="9"/>
      <c r="E29" s="14"/>
      <c r="F29" s="98"/>
      <c r="G29" s="99"/>
      <c r="J29" s="99"/>
      <c r="K29" s="99"/>
      <c r="L29" s="97"/>
      <c r="N29" s="9">
        <v>20</v>
      </c>
      <c r="O29" s="9">
        <f t="shared" si="5"/>
        <v>3</v>
      </c>
      <c r="P29" s="9">
        <f t="shared" si="6"/>
        <v>5</v>
      </c>
      <c r="Q29" s="14" t="str" cm="1">
        <f t="array" ref="Q29">INDEX('HospitalDischargeRep-ConceptMap'!$H$10:$L$264,O29+1,P29)</f>
        <v>* group[=].element[=].target.equivalence = #unmatched</v>
      </c>
    </row>
    <row r="30" spans="1:17" x14ac:dyDescent="0.75">
      <c r="B30" s="9"/>
      <c r="C30" s="9"/>
      <c r="D30" s="9"/>
      <c r="E30" s="14"/>
      <c r="F30" s="98"/>
      <c r="G30" s="99"/>
      <c r="J30" s="99"/>
      <c r="K30" s="99"/>
      <c r="L30" s="97"/>
      <c r="N30" s="9">
        <v>21</v>
      </c>
      <c r="O30" s="9">
        <f t="shared" si="5"/>
        <v>4</v>
      </c>
      <c r="P30" s="9">
        <f t="shared" si="6"/>
        <v>1</v>
      </c>
      <c r="Q30" s="14" t="str" cm="1">
        <f t="array" ref="Q30">INDEX('HospitalDischargeRep-ConceptMap'!$H$10:$L$264,O30+1,P30)</f>
        <v>* group[=].element[+].code = #HospitalDischargeReport.header.informationRecipient</v>
      </c>
    </row>
    <row r="31" spans="1:17" s="1" customFormat="1" x14ac:dyDescent="0.75">
      <c r="A31"/>
      <c r="B31" s="9"/>
      <c r="C31" s="9"/>
      <c r="D31" s="9"/>
      <c r="E31" s="14"/>
      <c r="F31" s="98"/>
      <c r="G31" s="99"/>
      <c r="I31"/>
      <c r="J31" s="99"/>
      <c r="K31" s="99"/>
      <c r="L31" s="97"/>
      <c r="N31" s="9">
        <v>22</v>
      </c>
      <c r="O31" s="9">
        <f t="shared" si="5"/>
        <v>4</v>
      </c>
      <c r="P31" s="9">
        <f t="shared" si="6"/>
        <v>2</v>
      </c>
      <c r="Q31" s="14" t="str" cm="1">
        <f t="array" ref="Q31">INDEX('HospitalDischargeRep-ConceptMap'!$H$10:$L$264,O31+1,P31)</f>
        <v>* group[=].element[=].display = ##34#A.1.4-Information recipient [Required]##34#</v>
      </c>
    </row>
    <row r="32" spans="1:17" s="1" customFormat="1" x14ac:dyDescent="0.75">
      <c r="A32"/>
      <c r="B32" s="59"/>
      <c r="C32" s="59"/>
      <c r="D32" s="59"/>
      <c r="F32" s="99"/>
      <c r="G32" s="99"/>
      <c r="I32"/>
      <c r="J32" s="99"/>
      <c r="K32" s="99"/>
      <c r="L32" s="97"/>
      <c r="N32" s="9">
        <v>23</v>
      </c>
      <c r="O32" s="9">
        <f t="shared" si="5"/>
        <v>4</v>
      </c>
      <c r="P32" s="9">
        <f t="shared" si="6"/>
        <v>3</v>
      </c>
      <c r="Q32" s="14" t="str" cm="1">
        <f t="array" ref="Q32">INDEX('HospitalDischargeRep-ConceptMap'!$H$10:$L$264,O32+1,P32)</f>
        <v>//-- unmatched</v>
      </c>
    </row>
    <row r="33" spans="1:17" s="1" customFormat="1" x14ac:dyDescent="0.75">
      <c r="A33"/>
      <c r="B33" s="9"/>
      <c r="C33" s="9"/>
      <c r="F33" s="99"/>
      <c r="G33" s="99"/>
      <c r="I33"/>
      <c r="J33" s="99"/>
      <c r="K33" s="99"/>
      <c r="L33" s="97"/>
      <c r="N33" s="9">
        <v>24</v>
      </c>
      <c r="O33" s="9">
        <f t="shared" si="5"/>
        <v>4</v>
      </c>
      <c r="P33" s="9">
        <f t="shared" si="6"/>
        <v>4</v>
      </c>
      <c r="Q33" s="14" t="str" cm="1">
        <f t="array" ref="Q33">INDEX('HospitalDischargeRep-ConceptMap'!$H$10:$L$264,O33+1,P33)</f>
        <v>//-- unmatched</v>
      </c>
    </row>
    <row r="34" spans="1:17" s="1" customFormat="1" x14ac:dyDescent="0.75">
      <c r="A34"/>
      <c r="B34" s="9"/>
      <c r="C34"/>
      <c r="F34" s="99"/>
      <c r="G34" s="99"/>
      <c r="I34" s="99"/>
      <c r="J34" s="99"/>
      <c r="K34" s="99"/>
      <c r="L34" s="97"/>
      <c r="N34" s="9">
        <v>25</v>
      </c>
      <c r="O34" s="9">
        <f t="shared" si="5"/>
        <v>4</v>
      </c>
      <c r="P34" s="9">
        <f t="shared" si="6"/>
        <v>5</v>
      </c>
      <c r="Q34" s="14" t="str" cm="1">
        <f t="array" ref="Q34">INDEX('HospitalDischargeRep-ConceptMap'!$H$10:$L$264,O34+1,P34)</f>
        <v>* group[=].element[=].target.equivalence = #unmatched</v>
      </c>
    </row>
    <row r="35" spans="1:17" s="1" customFormat="1" x14ac:dyDescent="0.75">
      <c r="A35"/>
      <c r="B35" s="9"/>
      <c r="C35"/>
      <c r="F35" s="99"/>
      <c r="G35" s="99"/>
      <c r="I35" s="99"/>
      <c r="J35" s="99"/>
      <c r="K35" s="99"/>
      <c r="L35" s="97"/>
      <c r="N35" s="9">
        <v>26</v>
      </c>
      <c r="O35" s="9">
        <f t="shared" si="5"/>
        <v>5</v>
      </c>
      <c r="P35" s="9">
        <f t="shared" si="6"/>
        <v>1</v>
      </c>
      <c r="Q35" s="14" t="str" cm="1">
        <f t="array" ref="Q35">INDEX('HospitalDischargeRep-ConceptMap'!$H$10:$L$264,O35+1,P35)</f>
        <v>* group[=].element[+].code = #HospitalDischargeReport.header.author</v>
      </c>
    </row>
    <row r="36" spans="1:17" s="1" customFormat="1" ht="29.5" x14ac:dyDescent="0.75">
      <c r="A36"/>
      <c r="B36" s="9"/>
      <c r="C36"/>
      <c r="F36" s="99"/>
      <c r="G36" s="99"/>
      <c r="I36" s="99"/>
      <c r="J36" s="99"/>
      <c r="K36" s="99"/>
      <c r="L36" s="97"/>
      <c r="N36" s="9">
        <v>27</v>
      </c>
      <c r="O36" s="9">
        <f t="shared" si="5"/>
        <v>5</v>
      </c>
      <c r="P36" s="9">
        <f t="shared" si="6"/>
        <v>2</v>
      </c>
      <c r="Q36" s="14" t="str" cm="1">
        <f t="array" ref="Q36">INDEX('HospitalDischargeRep-ConceptMap'!$H$10:$L$264,O36+1,P36)</f>
        <v>* group[=].element[=].display = ##34#A.1.5-Author (by whom the Hospital discharge report was authored) [Mandatory]##34#</v>
      </c>
    </row>
    <row r="37" spans="1:17" s="1" customFormat="1" x14ac:dyDescent="0.75">
      <c r="A37"/>
      <c r="B37" s="9"/>
      <c r="C37"/>
      <c r="F37" s="99"/>
      <c r="G37" s="99"/>
      <c r="I37" s="99"/>
      <c r="J37" s="99"/>
      <c r="K37" s="99"/>
      <c r="L37" s="99"/>
      <c r="N37" s="9">
        <v>28</v>
      </c>
      <c r="O37" s="9">
        <f t="shared" si="5"/>
        <v>5</v>
      </c>
      <c r="P37" s="9">
        <f t="shared" si="6"/>
        <v>3</v>
      </c>
      <c r="Q37" s="14" t="e" cm="1">
        <f t="array" ref="Q37">INDEX('HospitalDischargeRep-ConceptMap'!$H$10:$L$264,O37+1,P37)</f>
        <v>#REF!</v>
      </c>
    </row>
    <row r="38" spans="1:17" s="1" customFormat="1" x14ac:dyDescent="0.75">
      <c r="A38"/>
      <c r="B38" s="9"/>
      <c r="C38"/>
      <c r="F38" s="99"/>
      <c r="G38" s="99"/>
      <c r="I38" s="99"/>
      <c r="J38" s="99"/>
      <c r="K38" s="99"/>
      <c r="L38" s="99"/>
      <c r="N38" s="9">
        <v>29</v>
      </c>
      <c r="O38" s="9">
        <f t="shared" si="5"/>
        <v>5</v>
      </c>
      <c r="P38" s="9">
        <f t="shared" si="6"/>
        <v>4</v>
      </c>
      <c r="Q38" s="14" t="e" cm="1">
        <f t="array" ref="Q38">INDEX('HospitalDischargeRep-ConceptMap'!$H$10:$L$264,O38+1,P38)</f>
        <v>#REF!</v>
      </c>
    </row>
    <row r="39" spans="1:17" s="1" customFormat="1" x14ac:dyDescent="0.75">
      <c r="A39"/>
      <c r="B39" s="9"/>
      <c r="C39"/>
      <c r="F39" s="99"/>
      <c r="G39" s="99"/>
      <c r="I39" s="99"/>
      <c r="J39" s="99"/>
      <c r="K39" s="99"/>
      <c r="L39" s="99"/>
      <c r="N39" s="9">
        <v>30</v>
      </c>
      <c r="O39" s="9">
        <f t="shared" si="5"/>
        <v>5</v>
      </c>
      <c r="P39" s="9">
        <f t="shared" si="6"/>
        <v>5</v>
      </c>
      <c r="Q39" s="14" t="str" cm="1">
        <f t="array" ref="Q39">INDEX('HospitalDischargeRep-ConceptMap'!$H$10:$L$264,O39+1,P39)</f>
        <v>* group[=].element[=].target.equivalence = #narrower</v>
      </c>
    </row>
    <row r="40" spans="1:17" s="1" customFormat="1" x14ac:dyDescent="0.75">
      <c r="A40"/>
      <c r="B40" s="9"/>
      <c r="C40"/>
      <c r="F40" s="99"/>
      <c r="G40" s="99"/>
      <c r="I40" s="99"/>
      <c r="J40" s="99"/>
      <c r="K40" s="99"/>
      <c r="L40" s="99"/>
      <c r="N40" s="9">
        <v>31</v>
      </c>
      <c r="O40" s="9">
        <f t="shared" si="5"/>
        <v>6</v>
      </c>
      <c r="P40" s="9">
        <f t="shared" si="6"/>
        <v>1</v>
      </c>
      <c r="Q40" s="14" t="str" cm="1">
        <f t="array" ref="Q40">INDEX('HospitalDischargeRep-ConceptMap'!$H$10:$L$264,O40+1,P40)</f>
        <v>* group[=].element[+].code = #HospitalDischargeReport.header.attester</v>
      </c>
    </row>
    <row r="41" spans="1:17" s="1" customFormat="1" x14ac:dyDescent="0.75">
      <c r="A41"/>
      <c r="B41" s="9"/>
      <c r="C41"/>
      <c r="F41" s="99"/>
      <c r="G41" s="99"/>
      <c r="I41" s="99"/>
      <c r="J41" s="99"/>
      <c r="K41" s="99"/>
      <c r="L41" s="99"/>
      <c r="N41" s="9">
        <v>32</v>
      </c>
      <c r="O41" s="9">
        <f t="shared" si="5"/>
        <v>6</v>
      </c>
      <c r="P41" s="9">
        <f t="shared" si="6"/>
        <v>2</v>
      </c>
      <c r="Q41" s="14" t="str" cm="1">
        <f t="array" ref="Q41">INDEX('HospitalDischargeRep-ConceptMap'!$H$10:$L$264,O41+1,P41)</f>
        <v>* group[=].element[=].display = ##34#A.1.6-Attester  [Required]##34#</v>
      </c>
    </row>
    <row r="42" spans="1:17" s="1" customFormat="1" x14ac:dyDescent="0.75">
      <c r="A42"/>
      <c r="B42" s="9"/>
      <c r="C42"/>
      <c r="F42" s="99"/>
      <c r="G42" s="99"/>
      <c r="I42" s="99"/>
      <c r="J42" s="99"/>
      <c r="K42" s="99"/>
      <c r="L42" s="99"/>
      <c r="N42" s="9">
        <v>33</v>
      </c>
      <c r="O42" s="9">
        <f t="shared" si="5"/>
        <v>6</v>
      </c>
      <c r="P42" s="9">
        <f t="shared" si="6"/>
        <v>3</v>
      </c>
      <c r="Q42" s="14" t="e" cm="1">
        <f t="array" ref="Q42">INDEX('HospitalDischargeRep-ConceptMap'!$H$10:$L$264,O42+1,P42)</f>
        <v>#REF!</v>
      </c>
    </row>
    <row r="43" spans="1:17" x14ac:dyDescent="0.75">
      <c r="F43" s="99"/>
      <c r="G43" s="99"/>
      <c r="I43" s="99"/>
      <c r="J43" s="99"/>
      <c r="K43" s="99"/>
      <c r="L43" s="99"/>
      <c r="N43" s="9">
        <v>34</v>
      </c>
      <c r="O43" s="9">
        <f t="shared" si="5"/>
        <v>6</v>
      </c>
      <c r="P43" s="9">
        <f t="shared" si="6"/>
        <v>4</v>
      </c>
      <c r="Q43" s="14" t="e" cm="1">
        <f t="array" ref="Q43">INDEX('HospitalDischargeRep-ConceptMap'!$H$10:$L$264,O43+1,P43)</f>
        <v>#REF!</v>
      </c>
    </row>
    <row r="44" spans="1:17" x14ac:dyDescent="0.75">
      <c r="F44" s="99"/>
      <c r="G44" s="99"/>
      <c r="I44" s="99"/>
      <c r="J44" s="99"/>
      <c r="K44" s="99"/>
      <c r="L44" s="99"/>
      <c r="N44" s="9">
        <v>35</v>
      </c>
      <c r="O44" s="9">
        <f t="shared" si="5"/>
        <v>6</v>
      </c>
      <c r="P44" s="9">
        <f t="shared" si="6"/>
        <v>5</v>
      </c>
      <c r="Q44" s="14" t="str" cm="1">
        <f t="array" ref="Q44">INDEX('HospitalDischargeRep-ConceptMap'!$H$10:$L$264,O44+1,P44)</f>
        <v>* group[=].element[=].target.equivalence = #wider</v>
      </c>
    </row>
    <row r="45" spans="1:17" x14ac:dyDescent="0.75">
      <c r="F45" s="99"/>
      <c r="G45" s="99"/>
      <c r="I45" s="99"/>
      <c r="J45" s="99"/>
      <c r="K45" s="99"/>
      <c r="L45" s="99"/>
      <c r="N45" s="9">
        <v>36</v>
      </c>
      <c r="O45" s="9">
        <f t="shared" si="5"/>
        <v>7</v>
      </c>
      <c r="P45" s="9">
        <f t="shared" si="6"/>
        <v>1</v>
      </c>
      <c r="Q45" s="14" t="str" cm="1">
        <f t="array" ref="Q45">INDEX('HospitalDischargeRep-ConceptMap'!$H$10:$L$264,O45+1,P45)</f>
        <v>* group[=].element[+].code = #HospitalDischargeReport.header.legalAuthenticator</v>
      </c>
    </row>
    <row r="46" spans="1:17" x14ac:dyDescent="0.75">
      <c r="F46" s="99"/>
      <c r="G46" s="99"/>
      <c r="I46" s="99"/>
      <c r="J46" s="99"/>
      <c r="K46" s="99"/>
      <c r="L46" s="99"/>
      <c r="N46" s="9">
        <v>37</v>
      </c>
      <c r="O46" s="9">
        <f t="shared" si="5"/>
        <v>7</v>
      </c>
      <c r="P46" s="9">
        <f t="shared" si="6"/>
        <v>2</v>
      </c>
      <c r="Q46" s="14" t="str" cm="1">
        <f t="array" ref="Q46">INDEX('HospitalDischargeRep-ConceptMap'!$H$10:$L$264,O46+1,P46)</f>
        <v>* group[=].element[=].display = ##34#A.1.7-Legal authenticator [Required]##34#</v>
      </c>
    </row>
    <row r="47" spans="1:17" x14ac:dyDescent="0.75">
      <c r="B47" t="s">
        <v>651</v>
      </c>
      <c r="C47" t="s">
        <v>652</v>
      </c>
      <c r="D47" t="s">
        <v>653</v>
      </c>
      <c r="E47" t="s">
        <v>654</v>
      </c>
      <c r="N47" s="9">
        <v>38</v>
      </c>
      <c r="O47" s="9">
        <f t="shared" si="5"/>
        <v>7</v>
      </c>
      <c r="P47" s="9">
        <f t="shared" si="6"/>
        <v>3</v>
      </c>
      <c r="Q47" s="14" t="str" cm="1">
        <f t="array" ref="Q47">INDEX('HospitalDischargeRep-ConceptMap'!$H$10:$L$264,O47+1,P47)</f>
        <v>//-- unmatched</v>
      </c>
    </row>
    <row r="48" spans="1:17" x14ac:dyDescent="0.75">
      <c r="N48" s="9">
        <v>39</v>
      </c>
      <c r="O48" s="9">
        <f t="shared" si="5"/>
        <v>7</v>
      </c>
      <c r="P48" s="9">
        <f t="shared" si="6"/>
        <v>4</v>
      </c>
      <c r="Q48" s="14" t="str" cm="1">
        <f t="array" ref="Q48">INDEX('HospitalDischargeRep-ConceptMap'!$H$10:$L$264,O48+1,P48)</f>
        <v>//-- unmatched</v>
      </c>
    </row>
    <row r="49" spans="14:17" x14ac:dyDescent="0.75">
      <c r="N49" s="9">
        <v>40</v>
      </c>
      <c r="O49" s="9">
        <f t="shared" si="5"/>
        <v>7</v>
      </c>
      <c r="P49" s="9">
        <f t="shared" si="6"/>
        <v>5</v>
      </c>
      <c r="Q49" s="14" t="str" cm="1">
        <f t="array" ref="Q49">INDEX('HospitalDischargeRep-ConceptMap'!$H$10:$L$264,O49+1,P49)</f>
        <v>* group[=].element[=].target.equivalence = #unmatched</v>
      </c>
    </row>
    <row r="50" spans="14:17" x14ac:dyDescent="0.75">
      <c r="N50" s="9">
        <v>41</v>
      </c>
      <c r="O50" s="9">
        <f t="shared" si="5"/>
        <v>8</v>
      </c>
      <c r="P50" s="9">
        <f t="shared" si="6"/>
        <v>1</v>
      </c>
      <c r="Q50" s="14" cm="1">
        <f t="array" ref="Q50">INDEX('HospitalDischargeRep-ConceptMap'!$H$10:$L$264,O50+1,P50)</f>
        <v>0</v>
      </c>
    </row>
    <row r="51" spans="14:17" x14ac:dyDescent="0.75">
      <c r="N51" s="9">
        <v>42</v>
      </c>
      <c r="O51" s="9">
        <f t="shared" si="5"/>
        <v>8</v>
      </c>
      <c r="P51" s="9">
        <f t="shared" si="6"/>
        <v>2</v>
      </c>
      <c r="Q51" s="14" cm="1">
        <f t="array" ref="Q51">INDEX('HospitalDischargeRep-ConceptMap'!$H$10:$L$264,O51+1,P51)</f>
        <v>0</v>
      </c>
    </row>
    <row r="52" spans="14:17" x14ac:dyDescent="0.75">
      <c r="N52" s="9">
        <v>43</v>
      </c>
      <c r="O52" s="9">
        <f t="shared" si="5"/>
        <v>8</v>
      </c>
      <c r="P52" s="9">
        <f t="shared" si="6"/>
        <v>3</v>
      </c>
      <c r="Q52" s="14" cm="1">
        <f t="array" ref="Q52">INDEX('HospitalDischargeRep-ConceptMap'!$H$10:$L$264,O52+1,P52)</f>
        <v>0</v>
      </c>
    </row>
    <row r="53" spans="14:17" x14ac:dyDescent="0.75">
      <c r="N53" s="9">
        <v>44</v>
      </c>
      <c r="O53" s="9">
        <f t="shared" si="5"/>
        <v>8</v>
      </c>
      <c r="P53" s="9">
        <f t="shared" si="6"/>
        <v>4</v>
      </c>
      <c r="Q53" s="14" cm="1">
        <f t="array" ref="Q53">INDEX('HospitalDischargeRep-ConceptMap'!$H$10:$L$264,O53+1,P53)</f>
        <v>0</v>
      </c>
    </row>
    <row r="54" spans="14:17" x14ac:dyDescent="0.75">
      <c r="N54" s="9">
        <v>45</v>
      </c>
      <c r="O54" s="9">
        <f t="shared" si="5"/>
        <v>8</v>
      </c>
      <c r="P54" s="9">
        <f t="shared" si="6"/>
        <v>5</v>
      </c>
      <c r="Q54" s="14" cm="1">
        <f t="array" ref="Q54">INDEX('HospitalDischargeRep-ConceptMap'!$H$10:$L$264,O54+1,P54)</f>
        <v>0</v>
      </c>
    </row>
    <row r="55" spans="14:17" x14ac:dyDescent="0.75">
      <c r="N55" s="9">
        <v>46</v>
      </c>
      <c r="O55" s="9">
        <f t="shared" si="5"/>
        <v>9</v>
      </c>
      <c r="P55" s="9">
        <f t="shared" si="6"/>
        <v>1</v>
      </c>
      <c r="Q55" s="14" cm="1">
        <f t="array" ref="Q55">INDEX('HospitalDischargeRep-ConceptMap'!$H$10:$L$264,O55+1,P55)</f>
        <v>0</v>
      </c>
    </row>
    <row r="56" spans="14:17" x14ac:dyDescent="0.75">
      <c r="N56" s="9">
        <v>47</v>
      </c>
      <c r="O56" s="9">
        <f t="shared" si="5"/>
        <v>9</v>
      </c>
      <c r="P56" s="9">
        <f t="shared" si="6"/>
        <v>2</v>
      </c>
      <c r="Q56" s="14" cm="1">
        <f t="array" ref="Q56">INDEX('HospitalDischargeRep-ConceptMap'!$H$10:$L$264,O56+1,P56)</f>
        <v>0</v>
      </c>
    </row>
    <row r="57" spans="14:17" x14ac:dyDescent="0.75">
      <c r="N57" s="9">
        <v>48</v>
      </c>
      <c r="O57" s="9">
        <f t="shared" si="5"/>
        <v>9</v>
      </c>
      <c r="P57" s="9">
        <f t="shared" si="6"/>
        <v>3</v>
      </c>
      <c r="Q57" s="14" cm="1">
        <f t="array" ref="Q57">INDEX('HospitalDischargeRep-ConceptMap'!$H$10:$L$264,O57+1,P57)</f>
        <v>0</v>
      </c>
    </row>
    <row r="58" spans="14:17" x14ac:dyDescent="0.75">
      <c r="N58" s="9">
        <v>49</v>
      </c>
      <c r="O58" s="9">
        <f t="shared" si="5"/>
        <v>9</v>
      </c>
      <c r="P58" s="9">
        <f t="shared" si="6"/>
        <v>4</v>
      </c>
      <c r="Q58" s="14" cm="1">
        <f t="array" ref="Q58">INDEX('HospitalDischargeRep-ConceptMap'!$H$10:$L$264,O58+1,P58)</f>
        <v>0</v>
      </c>
    </row>
    <row r="59" spans="14:17" x14ac:dyDescent="0.75">
      <c r="N59" s="9">
        <v>50</v>
      </c>
      <c r="O59" s="9">
        <f t="shared" si="5"/>
        <v>9</v>
      </c>
      <c r="P59" s="9">
        <f t="shared" si="6"/>
        <v>5</v>
      </c>
      <c r="Q59" s="14" cm="1">
        <f t="array" ref="Q59">INDEX('HospitalDischargeRep-ConceptMap'!$H$10:$L$264,O59+1,P59)</f>
        <v>0</v>
      </c>
    </row>
    <row r="60" spans="14:17" x14ac:dyDescent="0.75">
      <c r="N60" s="9">
        <v>51</v>
      </c>
      <c r="O60" s="9">
        <f t="shared" si="5"/>
        <v>10</v>
      </c>
      <c r="P60" s="9">
        <f t="shared" si="6"/>
        <v>1</v>
      </c>
      <c r="Q60" s="14" cm="1">
        <f t="array" ref="Q60">INDEX('HospitalDischargeRep-ConceptMap'!$H$10:$L$264,O60+1,P60)</f>
        <v>0</v>
      </c>
    </row>
    <row r="61" spans="14:17" x14ac:dyDescent="0.75">
      <c r="N61" s="9">
        <v>52</v>
      </c>
      <c r="O61" s="9">
        <f t="shared" si="5"/>
        <v>10</v>
      </c>
      <c r="P61" s="9">
        <f t="shared" si="6"/>
        <v>2</v>
      </c>
      <c r="Q61" s="14" cm="1">
        <f t="array" ref="Q61">INDEX('HospitalDischargeRep-ConceptMap'!$H$10:$L$264,O61+1,P61)</f>
        <v>0</v>
      </c>
    </row>
    <row r="62" spans="14:17" x14ac:dyDescent="0.75">
      <c r="N62" s="9">
        <v>53</v>
      </c>
      <c r="O62" s="9">
        <f t="shared" si="5"/>
        <v>10</v>
      </c>
      <c r="P62" s="9">
        <f t="shared" si="6"/>
        <v>3</v>
      </c>
      <c r="Q62" s="14" cm="1">
        <f t="array" ref="Q62">INDEX('HospitalDischargeRep-ConceptMap'!$H$10:$L$264,O62+1,P62)</f>
        <v>0</v>
      </c>
    </row>
    <row r="63" spans="14:17" x14ac:dyDescent="0.75">
      <c r="N63" s="9">
        <v>54</v>
      </c>
      <c r="O63" s="9">
        <f t="shared" si="5"/>
        <v>10</v>
      </c>
      <c r="P63" s="9">
        <f t="shared" si="6"/>
        <v>4</v>
      </c>
      <c r="Q63" s="14" cm="1">
        <f t="array" ref="Q63">INDEX('HospitalDischargeRep-ConceptMap'!$H$10:$L$264,O63+1,P63)</f>
        <v>0</v>
      </c>
    </row>
    <row r="64" spans="14:17" x14ac:dyDescent="0.75">
      <c r="N64" s="9">
        <v>55</v>
      </c>
      <c r="O64" s="9">
        <f t="shared" si="5"/>
        <v>10</v>
      </c>
      <c r="P64" s="9">
        <f t="shared" si="6"/>
        <v>5</v>
      </c>
      <c r="Q64" s="14" cm="1">
        <f t="array" ref="Q64">INDEX('HospitalDischargeRep-ConceptMap'!$H$10:$L$264,O64+1,P64)</f>
        <v>0</v>
      </c>
    </row>
    <row r="65" spans="14:17" x14ac:dyDescent="0.75">
      <c r="N65" s="9">
        <v>56</v>
      </c>
      <c r="O65" s="9">
        <f t="shared" si="5"/>
        <v>11</v>
      </c>
      <c r="P65" s="9">
        <f t="shared" si="6"/>
        <v>1</v>
      </c>
      <c r="Q65" s="14" cm="1">
        <f t="array" ref="Q65">INDEX('HospitalDischargeRep-ConceptMap'!$H$10:$L$264,O65+1,P65)</f>
        <v>0</v>
      </c>
    </row>
    <row r="66" spans="14:17" x14ac:dyDescent="0.75">
      <c r="N66" s="9">
        <v>57</v>
      </c>
      <c r="O66" s="9">
        <f t="shared" si="5"/>
        <v>11</v>
      </c>
      <c r="P66" s="9">
        <f t="shared" si="6"/>
        <v>2</v>
      </c>
      <c r="Q66" s="14" cm="1">
        <f t="array" ref="Q66">INDEX('HospitalDischargeRep-ConceptMap'!$H$10:$L$264,O66+1,P66)</f>
        <v>0</v>
      </c>
    </row>
    <row r="67" spans="14:17" x14ac:dyDescent="0.75">
      <c r="N67" s="9">
        <v>58</v>
      </c>
      <c r="O67" s="9">
        <f t="shared" si="5"/>
        <v>11</v>
      </c>
      <c r="P67" s="9">
        <f t="shared" si="6"/>
        <v>3</v>
      </c>
      <c r="Q67" s="14" cm="1">
        <f t="array" ref="Q67">INDEX('HospitalDischargeRep-ConceptMap'!$H$10:$L$264,O67+1,P67)</f>
        <v>0</v>
      </c>
    </row>
    <row r="68" spans="14:17" x14ac:dyDescent="0.75">
      <c r="N68" s="9">
        <v>59</v>
      </c>
      <c r="O68" s="9">
        <f t="shared" si="5"/>
        <v>11</v>
      </c>
      <c r="P68" s="9">
        <f t="shared" si="6"/>
        <v>4</v>
      </c>
      <c r="Q68" s="14" cm="1">
        <f t="array" ref="Q68">INDEX('HospitalDischargeRep-ConceptMap'!$H$10:$L$264,O68+1,P68)</f>
        <v>0</v>
      </c>
    </row>
    <row r="69" spans="14:17" x14ac:dyDescent="0.75">
      <c r="N69" s="9">
        <v>60</v>
      </c>
      <c r="O69" s="9">
        <f t="shared" si="5"/>
        <v>11</v>
      </c>
      <c r="P69" s="9">
        <f t="shared" si="6"/>
        <v>5</v>
      </c>
      <c r="Q69" s="14" cm="1">
        <f t="array" ref="Q69">INDEX('HospitalDischargeRep-ConceptMap'!$H$10:$L$264,O69+1,P69)</f>
        <v>0</v>
      </c>
    </row>
    <row r="70" spans="14:17" x14ac:dyDescent="0.75">
      <c r="N70" s="9">
        <v>61</v>
      </c>
      <c r="O70" s="9">
        <f t="shared" si="5"/>
        <v>12</v>
      </c>
      <c r="P70" s="9">
        <f t="shared" si="6"/>
        <v>1</v>
      </c>
      <c r="Q70" s="14" cm="1">
        <f t="array" ref="Q70">INDEX('HospitalDischargeRep-ConceptMap'!$H$10:$L$264,O70+1,P70)</f>
        <v>0</v>
      </c>
    </row>
    <row r="71" spans="14:17" x14ac:dyDescent="0.75">
      <c r="N71" s="9">
        <v>62</v>
      </c>
      <c r="O71" s="9">
        <f t="shared" si="5"/>
        <v>12</v>
      </c>
      <c r="P71" s="9">
        <f t="shared" si="6"/>
        <v>2</v>
      </c>
      <c r="Q71" s="14" cm="1">
        <f t="array" ref="Q71">INDEX('HospitalDischargeRep-ConceptMap'!$H$10:$L$264,O71+1,P71)</f>
        <v>0</v>
      </c>
    </row>
    <row r="72" spans="14:17" x14ac:dyDescent="0.75">
      <c r="N72" s="9">
        <v>63</v>
      </c>
      <c r="O72" s="9">
        <f t="shared" si="5"/>
        <v>12</v>
      </c>
      <c r="P72" s="9">
        <f t="shared" si="6"/>
        <v>3</v>
      </c>
      <c r="Q72" s="14" cm="1">
        <f t="array" ref="Q72">INDEX('HospitalDischargeRep-ConceptMap'!$H$10:$L$264,O72+1,P72)</f>
        <v>0</v>
      </c>
    </row>
    <row r="73" spans="14:17" x14ac:dyDescent="0.75">
      <c r="N73" s="9">
        <v>64</v>
      </c>
      <c r="O73" s="9">
        <f t="shared" si="5"/>
        <v>12</v>
      </c>
      <c r="P73" s="9">
        <f t="shared" si="6"/>
        <v>4</v>
      </c>
      <c r="Q73" s="14" cm="1">
        <f t="array" ref="Q73">INDEX('HospitalDischargeRep-ConceptMap'!$H$10:$L$264,O73+1,P73)</f>
        <v>0</v>
      </c>
    </row>
    <row r="74" spans="14:17" x14ac:dyDescent="0.75">
      <c r="N74" s="9">
        <v>65</v>
      </c>
      <c r="O74" s="9">
        <f t="shared" si="5"/>
        <v>12</v>
      </c>
      <c r="P74" s="9">
        <f t="shared" si="6"/>
        <v>5</v>
      </c>
      <c r="Q74" s="14" cm="1">
        <f t="array" ref="Q74">INDEX('HospitalDischargeRep-ConceptMap'!$H$10:$L$264,O74+1,P74)</f>
        <v>0</v>
      </c>
    </row>
    <row r="75" spans="14:17" x14ac:dyDescent="0.75">
      <c r="N75" s="9">
        <v>66</v>
      </c>
      <c r="O75" s="9">
        <f t="shared" ref="O75:O138" si="7">IF(MOD(N75,$O$3)=0,N75/$O$3-1,INT(N75/$O$3))</f>
        <v>13</v>
      </c>
      <c r="P75" s="9">
        <f t="shared" ref="P75:P138" si="8">IF(MOD(N75,$O$3)=0,$O$3,MOD(N75,$O$3))</f>
        <v>1</v>
      </c>
      <c r="Q75" s="14" cm="1">
        <f t="array" ref="Q75">INDEX('HospitalDischargeRep-ConceptMap'!$H$10:$L$264,O75+1,P75)</f>
        <v>0</v>
      </c>
    </row>
    <row r="76" spans="14:17" x14ac:dyDescent="0.75">
      <c r="N76" s="9">
        <v>67</v>
      </c>
      <c r="O76" s="9">
        <f t="shared" si="7"/>
        <v>13</v>
      </c>
      <c r="P76" s="9">
        <f t="shared" si="8"/>
        <v>2</v>
      </c>
      <c r="Q76" s="14" cm="1">
        <f t="array" ref="Q76">INDEX('HospitalDischargeRep-ConceptMap'!$H$10:$L$264,O76+1,P76)</f>
        <v>0</v>
      </c>
    </row>
    <row r="77" spans="14:17" x14ac:dyDescent="0.75">
      <c r="N77" s="9">
        <v>68</v>
      </c>
      <c r="O77" s="9">
        <f t="shared" si="7"/>
        <v>13</v>
      </c>
      <c r="P77" s="9">
        <f t="shared" si="8"/>
        <v>3</v>
      </c>
      <c r="Q77" s="14" cm="1">
        <f t="array" ref="Q77">INDEX('HospitalDischargeRep-ConceptMap'!$H$10:$L$264,O77+1,P77)</f>
        <v>0</v>
      </c>
    </row>
    <row r="78" spans="14:17" x14ac:dyDescent="0.75">
      <c r="N78" s="9">
        <v>69</v>
      </c>
      <c r="O78" s="9">
        <f t="shared" si="7"/>
        <v>13</v>
      </c>
      <c r="P78" s="9">
        <f t="shared" si="8"/>
        <v>4</v>
      </c>
      <c r="Q78" s="14" cm="1">
        <f t="array" ref="Q78">INDEX('HospitalDischargeRep-ConceptMap'!$H$10:$L$264,O78+1,P78)</f>
        <v>0</v>
      </c>
    </row>
    <row r="79" spans="14:17" x14ac:dyDescent="0.75">
      <c r="N79" s="9">
        <v>70</v>
      </c>
      <c r="O79" s="9">
        <f t="shared" si="7"/>
        <v>13</v>
      </c>
      <c r="P79" s="9">
        <f t="shared" si="8"/>
        <v>5</v>
      </c>
      <c r="Q79" s="14" cm="1">
        <f t="array" ref="Q79">INDEX('HospitalDischargeRep-ConceptMap'!$H$10:$L$264,O79+1,P79)</f>
        <v>0</v>
      </c>
    </row>
    <row r="80" spans="14:17" x14ac:dyDescent="0.75">
      <c r="N80" s="9">
        <v>71</v>
      </c>
      <c r="O80" s="9">
        <f t="shared" si="7"/>
        <v>14</v>
      </c>
      <c r="P80" s="9">
        <f t="shared" si="8"/>
        <v>1</v>
      </c>
      <c r="Q80" s="14" cm="1">
        <f t="array" ref="Q80">INDEX('HospitalDischargeRep-ConceptMap'!$H$10:$L$264,O80+1,P80)</f>
        <v>0</v>
      </c>
    </row>
    <row r="81" spans="14:17" x14ac:dyDescent="0.75">
      <c r="N81" s="9">
        <v>72</v>
      </c>
      <c r="O81" s="9">
        <f t="shared" si="7"/>
        <v>14</v>
      </c>
      <c r="P81" s="9">
        <f t="shared" si="8"/>
        <v>2</v>
      </c>
      <c r="Q81" s="14" cm="1">
        <f t="array" ref="Q81">INDEX('HospitalDischargeRep-ConceptMap'!$H$10:$L$264,O81+1,P81)</f>
        <v>0</v>
      </c>
    </row>
    <row r="82" spans="14:17" x14ac:dyDescent="0.75">
      <c r="N82" s="9">
        <v>73</v>
      </c>
      <c r="O82" s="9">
        <f t="shared" si="7"/>
        <v>14</v>
      </c>
      <c r="P82" s="9">
        <f t="shared" si="8"/>
        <v>3</v>
      </c>
      <c r="Q82" s="14" cm="1">
        <f t="array" ref="Q82">INDEX('HospitalDischargeRep-ConceptMap'!$H$10:$L$264,O82+1,P82)</f>
        <v>0</v>
      </c>
    </row>
    <row r="83" spans="14:17" x14ac:dyDescent="0.75">
      <c r="N83" s="9">
        <v>74</v>
      </c>
      <c r="O83" s="9">
        <f t="shared" si="7"/>
        <v>14</v>
      </c>
      <c r="P83" s="9">
        <f t="shared" si="8"/>
        <v>4</v>
      </c>
      <c r="Q83" s="14" cm="1">
        <f t="array" ref="Q83">INDEX('HospitalDischargeRep-ConceptMap'!$H$10:$L$264,O83+1,P83)</f>
        <v>0</v>
      </c>
    </row>
    <row r="84" spans="14:17" x14ac:dyDescent="0.75">
      <c r="N84" s="9">
        <v>75</v>
      </c>
      <c r="O84" s="9">
        <f t="shared" si="7"/>
        <v>14</v>
      </c>
      <c r="P84" s="9">
        <f t="shared" si="8"/>
        <v>5</v>
      </c>
      <c r="Q84" s="14" cm="1">
        <f t="array" ref="Q84">INDEX('HospitalDischargeRep-ConceptMap'!$H$10:$L$264,O84+1,P84)</f>
        <v>0</v>
      </c>
    </row>
    <row r="85" spans="14:17" x14ac:dyDescent="0.75">
      <c r="N85" s="9">
        <v>76</v>
      </c>
      <c r="O85" s="9">
        <f t="shared" si="7"/>
        <v>15</v>
      </c>
      <c r="P85" s="9">
        <f t="shared" si="8"/>
        <v>1</v>
      </c>
      <c r="Q85" s="14" cm="1">
        <f t="array" ref="Q85">INDEX('HospitalDischargeRep-ConceptMap'!$H$10:$L$264,O85+1,P85)</f>
        <v>0</v>
      </c>
    </row>
    <row r="86" spans="14:17" x14ac:dyDescent="0.75">
      <c r="N86" s="9">
        <v>77</v>
      </c>
      <c r="O86" s="9">
        <f t="shared" si="7"/>
        <v>15</v>
      </c>
      <c r="P86" s="9">
        <f t="shared" si="8"/>
        <v>2</v>
      </c>
      <c r="Q86" s="14" cm="1">
        <f t="array" ref="Q86">INDEX('HospitalDischargeRep-ConceptMap'!$H$10:$L$264,O86+1,P86)</f>
        <v>0</v>
      </c>
    </row>
    <row r="87" spans="14:17" x14ac:dyDescent="0.75">
      <c r="N87" s="9">
        <v>78</v>
      </c>
      <c r="O87" s="9">
        <f t="shared" si="7"/>
        <v>15</v>
      </c>
      <c r="P87" s="9">
        <f t="shared" si="8"/>
        <v>3</v>
      </c>
      <c r="Q87" s="14" cm="1">
        <f t="array" ref="Q87">INDEX('HospitalDischargeRep-ConceptMap'!$H$10:$L$264,O87+1,P87)</f>
        <v>0</v>
      </c>
    </row>
    <row r="88" spans="14:17" x14ac:dyDescent="0.75">
      <c r="N88" s="9">
        <v>79</v>
      </c>
      <c r="O88" s="9">
        <f t="shared" si="7"/>
        <v>15</v>
      </c>
      <c r="P88" s="9">
        <f t="shared" si="8"/>
        <v>4</v>
      </c>
      <c r="Q88" s="14" cm="1">
        <f t="array" ref="Q88">INDEX('HospitalDischargeRep-ConceptMap'!$H$10:$L$264,O88+1,P88)</f>
        <v>0</v>
      </c>
    </row>
    <row r="89" spans="14:17" x14ac:dyDescent="0.75">
      <c r="N89" s="9">
        <v>80</v>
      </c>
      <c r="O89" s="9">
        <f t="shared" si="7"/>
        <v>15</v>
      </c>
      <c r="P89" s="9">
        <f t="shared" si="8"/>
        <v>5</v>
      </c>
      <c r="Q89" s="14" cm="1">
        <f t="array" ref="Q89">INDEX('HospitalDischargeRep-ConceptMap'!$H$10:$L$264,O89+1,P89)</f>
        <v>0</v>
      </c>
    </row>
    <row r="90" spans="14:17" x14ac:dyDescent="0.75">
      <c r="N90" s="9">
        <v>81</v>
      </c>
      <c r="O90" s="9">
        <f t="shared" si="7"/>
        <v>16</v>
      </c>
      <c r="P90" s="9">
        <f t="shared" si="8"/>
        <v>1</v>
      </c>
      <c r="Q90" s="14" cm="1">
        <f t="array" ref="Q90">INDEX('HospitalDischargeRep-ConceptMap'!$H$10:$L$264,O90+1,P90)</f>
        <v>0</v>
      </c>
    </row>
    <row r="91" spans="14:17" x14ac:dyDescent="0.75">
      <c r="N91" s="9">
        <v>82</v>
      </c>
      <c r="O91" s="9">
        <f t="shared" si="7"/>
        <v>16</v>
      </c>
      <c r="P91" s="9">
        <f t="shared" si="8"/>
        <v>2</v>
      </c>
      <c r="Q91" s="14" cm="1">
        <f t="array" ref="Q91">INDEX('HospitalDischargeRep-ConceptMap'!$H$10:$L$264,O91+1,P91)</f>
        <v>0</v>
      </c>
    </row>
    <row r="92" spans="14:17" x14ac:dyDescent="0.75">
      <c r="N92" s="9">
        <v>83</v>
      </c>
      <c r="O92" s="9">
        <f t="shared" si="7"/>
        <v>16</v>
      </c>
      <c r="P92" s="9">
        <f t="shared" si="8"/>
        <v>3</v>
      </c>
      <c r="Q92" s="14" cm="1">
        <f t="array" ref="Q92">INDEX('HospitalDischargeRep-ConceptMap'!$H$10:$L$264,O92+1,P92)</f>
        <v>0</v>
      </c>
    </row>
    <row r="93" spans="14:17" x14ac:dyDescent="0.75">
      <c r="N93" s="9">
        <v>84</v>
      </c>
      <c r="O93" s="9">
        <f t="shared" si="7"/>
        <v>16</v>
      </c>
      <c r="P93" s="9">
        <f t="shared" si="8"/>
        <v>4</v>
      </c>
      <c r="Q93" s="14" cm="1">
        <f t="array" ref="Q93">INDEX('HospitalDischargeRep-ConceptMap'!$H$10:$L$264,O93+1,P93)</f>
        <v>0</v>
      </c>
    </row>
    <row r="94" spans="14:17" x14ac:dyDescent="0.75">
      <c r="N94" s="9">
        <v>85</v>
      </c>
      <c r="O94" s="9">
        <f t="shared" si="7"/>
        <v>16</v>
      </c>
      <c r="P94" s="9">
        <f t="shared" si="8"/>
        <v>5</v>
      </c>
      <c r="Q94" s="14" cm="1">
        <f t="array" ref="Q94">INDEX('HospitalDischargeRep-ConceptMap'!$H$10:$L$264,O94+1,P94)</f>
        <v>0</v>
      </c>
    </row>
    <row r="95" spans="14:17" x14ac:dyDescent="0.75">
      <c r="N95" s="9">
        <v>86</v>
      </c>
      <c r="O95" s="9">
        <f t="shared" si="7"/>
        <v>17</v>
      </c>
      <c r="P95" s="9">
        <f t="shared" si="8"/>
        <v>1</v>
      </c>
      <c r="Q95" s="14" cm="1">
        <f t="array" ref="Q95">INDEX('HospitalDischargeRep-ConceptMap'!$H$10:$L$264,O95+1,P95)</f>
        <v>0</v>
      </c>
    </row>
    <row r="96" spans="14:17" x14ac:dyDescent="0.75">
      <c r="N96" s="9">
        <v>87</v>
      </c>
      <c r="O96" s="9">
        <f t="shared" si="7"/>
        <v>17</v>
      </c>
      <c r="P96" s="9">
        <f t="shared" si="8"/>
        <v>2</v>
      </c>
      <c r="Q96" s="14" cm="1">
        <f t="array" ref="Q96">INDEX('HospitalDischargeRep-ConceptMap'!$H$10:$L$264,O96+1,P96)</f>
        <v>0</v>
      </c>
    </row>
    <row r="97" spans="14:17" x14ac:dyDescent="0.75">
      <c r="N97" s="9">
        <v>88</v>
      </c>
      <c r="O97" s="9">
        <f t="shared" si="7"/>
        <v>17</v>
      </c>
      <c r="P97" s="9">
        <f t="shared" si="8"/>
        <v>3</v>
      </c>
      <c r="Q97" s="14" cm="1">
        <f t="array" ref="Q97">INDEX('HospitalDischargeRep-ConceptMap'!$H$10:$L$264,O97+1,P97)</f>
        <v>0</v>
      </c>
    </row>
    <row r="98" spans="14:17" x14ac:dyDescent="0.75">
      <c r="N98" s="9">
        <v>89</v>
      </c>
      <c r="O98" s="9">
        <f t="shared" si="7"/>
        <v>17</v>
      </c>
      <c r="P98" s="9">
        <f t="shared" si="8"/>
        <v>4</v>
      </c>
      <c r="Q98" s="14" cm="1">
        <f t="array" ref="Q98">INDEX('HospitalDischargeRep-ConceptMap'!$H$10:$L$264,O98+1,P98)</f>
        <v>0</v>
      </c>
    </row>
    <row r="99" spans="14:17" x14ac:dyDescent="0.75">
      <c r="N99" s="9">
        <v>90</v>
      </c>
      <c r="O99" s="9">
        <f t="shared" si="7"/>
        <v>17</v>
      </c>
      <c r="P99" s="9">
        <f t="shared" si="8"/>
        <v>5</v>
      </c>
      <c r="Q99" s="14" cm="1">
        <f t="array" ref="Q99">INDEX('HospitalDischargeRep-ConceptMap'!$H$10:$L$264,O99+1,P99)</f>
        <v>0</v>
      </c>
    </row>
    <row r="100" spans="14:17" x14ac:dyDescent="0.75">
      <c r="N100" s="9">
        <v>91</v>
      </c>
      <c r="O100" s="9">
        <f t="shared" si="7"/>
        <v>18</v>
      </c>
      <c r="P100" s="9">
        <f t="shared" si="8"/>
        <v>1</v>
      </c>
      <c r="Q100" s="14" cm="1">
        <f t="array" ref="Q100">INDEX('HospitalDischargeRep-ConceptMap'!$H$10:$L$264,O100+1,P100)</f>
        <v>0</v>
      </c>
    </row>
    <row r="101" spans="14:17" x14ac:dyDescent="0.75">
      <c r="N101" s="9">
        <v>92</v>
      </c>
      <c r="O101" s="9">
        <f t="shared" si="7"/>
        <v>18</v>
      </c>
      <c r="P101" s="9">
        <f t="shared" si="8"/>
        <v>2</v>
      </c>
      <c r="Q101" s="14" cm="1">
        <f t="array" ref="Q101">INDEX('HospitalDischargeRep-ConceptMap'!U85:Y339,1+O101,P101)</f>
        <v>0</v>
      </c>
    </row>
    <row r="102" spans="14:17" x14ac:dyDescent="0.75">
      <c r="N102" s="9">
        <v>93</v>
      </c>
      <c r="O102" s="9">
        <f t="shared" si="7"/>
        <v>18</v>
      </c>
      <c r="P102" s="9">
        <f t="shared" si="8"/>
        <v>3</v>
      </c>
      <c r="Q102" s="14" cm="1">
        <f t="array" ref="Q102">INDEX('HospitalDischargeRep-ConceptMap'!U86:Y340,1+O102,P102)</f>
        <v>0</v>
      </c>
    </row>
    <row r="103" spans="14:17" x14ac:dyDescent="0.75">
      <c r="N103" s="9">
        <v>94</v>
      </c>
      <c r="O103" s="9">
        <f t="shared" si="7"/>
        <v>18</v>
      </c>
      <c r="P103" s="9">
        <f t="shared" si="8"/>
        <v>4</v>
      </c>
      <c r="Q103" s="14" cm="1">
        <f t="array" ref="Q103">INDEX('HospitalDischargeRep-ConceptMap'!U87:Y341,1+O103,P103)</f>
        <v>0</v>
      </c>
    </row>
    <row r="104" spans="14:17" x14ac:dyDescent="0.75">
      <c r="N104" s="9">
        <v>95</v>
      </c>
      <c r="O104" s="9">
        <f t="shared" si="7"/>
        <v>18</v>
      </c>
      <c r="P104" s="9">
        <f t="shared" si="8"/>
        <v>5</v>
      </c>
      <c r="Q104" s="14" cm="1">
        <f t="array" ref="Q104">INDEX('HospitalDischargeRep-ConceptMap'!U88:Y342,1+O104,P104)</f>
        <v>0</v>
      </c>
    </row>
    <row r="105" spans="14:17" x14ac:dyDescent="0.75">
      <c r="N105" s="9">
        <v>96</v>
      </c>
      <c r="O105" s="9">
        <f t="shared" si="7"/>
        <v>19</v>
      </c>
      <c r="P105" s="9">
        <f t="shared" si="8"/>
        <v>1</v>
      </c>
      <c r="Q105" s="14" cm="1">
        <f t="array" ref="Q105">INDEX('HospitalDischargeRep-ConceptMap'!U89:Y343,1+O105,P105)</f>
        <v>0</v>
      </c>
    </row>
    <row r="106" spans="14:17" x14ac:dyDescent="0.75">
      <c r="N106" s="9">
        <v>97</v>
      </c>
      <c r="O106" s="9">
        <f t="shared" si="7"/>
        <v>19</v>
      </c>
      <c r="P106" s="9">
        <f t="shared" si="8"/>
        <v>2</v>
      </c>
      <c r="Q106" s="14" cm="1">
        <f t="array" ref="Q106">INDEX('HospitalDischargeRep-ConceptMap'!U90:Y344,1+O106,P106)</f>
        <v>0</v>
      </c>
    </row>
    <row r="107" spans="14:17" x14ac:dyDescent="0.75">
      <c r="N107" s="9">
        <v>98</v>
      </c>
      <c r="O107" s="9">
        <f t="shared" si="7"/>
        <v>19</v>
      </c>
      <c r="P107" s="9">
        <f t="shared" si="8"/>
        <v>3</v>
      </c>
      <c r="Q107" s="14" cm="1">
        <f t="array" ref="Q107">INDEX('HospitalDischargeRep-ConceptMap'!U91:Y345,1+O107,P107)</f>
        <v>0</v>
      </c>
    </row>
    <row r="108" spans="14:17" x14ac:dyDescent="0.75">
      <c r="N108" s="9">
        <v>99</v>
      </c>
      <c r="O108" s="9">
        <f t="shared" si="7"/>
        <v>19</v>
      </c>
      <c r="P108" s="9">
        <f t="shared" si="8"/>
        <v>4</v>
      </c>
      <c r="Q108" s="14" cm="1">
        <f t="array" ref="Q108">INDEX('HospitalDischargeRep-ConceptMap'!U92:Y346,1+O108,P108)</f>
        <v>0</v>
      </c>
    </row>
    <row r="109" spans="14:17" x14ac:dyDescent="0.75">
      <c r="N109" s="9">
        <v>100</v>
      </c>
      <c r="O109" s="9">
        <f t="shared" si="7"/>
        <v>19</v>
      </c>
      <c r="P109" s="9">
        <f t="shared" si="8"/>
        <v>5</v>
      </c>
      <c r="Q109" s="14" cm="1">
        <f t="array" ref="Q109">INDEX('HospitalDischargeRep-ConceptMap'!U93:Y347,1+O109,P109)</f>
        <v>0</v>
      </c>
    </row>
    <row r="110" spans="14:17" x14ac:dyDescent="0.75">
      <c r="N110" s="9">
        <v>101</v>
      </c>
      <c r="O110" s="9">
        <f t="shared" si="7"/>
        <v>20</v>
      </c>
      <c r="P110" s="9">
        <f t="shared" si="8"/>
        <v>1</v>
      </c>
      <c r="Q110" s="14" cm="1">
        <f t="array" ref="Q110">INDEX('HospitalDischargeRep-ConceptMap'!U94:Y348,1+O110,P110)</f>
        <v>0</v>
      </c>
    </row>
    <row r="111" spans="14:17" x14ac:dyDescent="0.75">
      <c r="N111" s="9">
        <v>102</v>
      </c>
      <c r="O111" s="9">
        <f t="shared" si="7"/>
        <v>20</v>
      </c>
      <c r="P111" s="9">
        <f t="shared" si="8"/>
        <v>2</v>
      </c>
      <c r="Q111" s="14" cm="1">
        <f t="array" ref="Q111">INDEX('HospitalDischargeRep-ConceptMap'!U95:Y349,1+O111,P111)</f>
        <v>0</v>
      </c>
    </row>
    <row r="112" spans="14:17" x14ac:dyDescent="0.75">
      <c r="N112" s="9">
        <v>103</v>
      </c>
      <c r="O112" s="9">
        <f t="shared" si="7"/>
        <v>20</v>
      </c>
      <c r="P112" s="9">
        <f t="shared" si="8"/>
        <v>3</v>
      </c>
      <c r="Q112" s="14" cm="1">
        <f t="array" ref="Q112">INDEX('HospitalDischargeRep-ConceptMap'!U96:Y350,1+O112,P112)</f>
        <v>0</v>
      </c>
    </row>
    <row r="113" spans="14:17" x14ac:dyDescent="0.75">
      <c r="N113" s="9">
        <v>104</v>
      </c>
      <c r="O113" s="9">
        <f t="shared" si="7"/>
        <v>20</v>
      </c>
      <c r="P113" s="9">
        <f t="shared" si="8"/>
        <v>4</v>
      </c>
      <c r="Q113" s="14" cm="1">
        <f t="array" ref="Q113">INDEX('HospitalDischargeRep-ConceptMap'!U97:Y351,1+O113,P113)</f>
        <v>0</v>
      </c>
    </row>
    <row r="114" spans="14:17" x14ac:dyDescent="0.75">
      <c r="N114" s="9">
        <v>105</v>
      </c>
      <c r="O114" s="9">
        <f t="shared" si="7"/>
        <v>20</v>
      </c>
      <c r="P114" s="9">
        <f t="shared" si="8"/>
        <v>5</v>
      </c>
      <c r="Q114" s="14" cm="1">
        <f t="array" ref="Q114">INDEX('HospitalDischargeRep-ConceptMap'!U98:Y352,1+O114,P114)</f>
        <v>0</v>
      </c>
    </row>
    <row r="115" spans="14:17" x14ac:dyDescent="0.75">
      <c r="N115" s="9">
        <v>106</v>
      </c>
      <c r="O115" s="9">
        <f t="shared" si="7"/>
        <v>21</v>
      </c>
      <c r="P115" s="9">
        <f t="shared" si="8"/>
        <v>1</v>
      </c>
      <c r="Q115" s="14" cm="1">
        <f t="array" ref="Q115">INDEX('HospitalDischargeRep-ConceptMap'!U99:Y353,1+O115,P115)</f>
        <v>0</v>
      </c>
    </row>
    <row r="116" spans="14:17" x14ac:dyDescent="0.75">
      <c r="N116" s="9">
        <v>107</v>
      </c>
      <c r="O116" s="9">
        <f t="shared" si="7"/>
        <v>21</v>
      </c>
      <c r="P116" s="9">
        <f t="shared" si="8"/>
        <v>2</v>
      </c>
      <c r="Q116" s="14" cm="1">
        <f t="array" ref="Q116">INDEX('HospitalDischargeRep-ConceptMap'!U100:Y354,1+O116,P116)</f>
        <v>0</v>
      </c>
    </row>
    <row r="117" spans="14:17" x14ac:dyDescent="0.75">
      <c r="N117" s="9">
        <v>108</v>
      </c>
      <c r="O117" s="9">
        <f t="shared" si="7"/>
        <v>21</v>
      </c>
      <c r="P117" s="9">
        <f t="shared" si="8"/>
        <v>3</v>
      </c>
      <c r="Q117" s="14" cm="1">
        <f t="array" ref="Q117">INDEX('HospitalDischargeRep-ConceptMap'!U101:Y355,1+O117,P117)</f>
        <v>0</v>
      </c>
    </row>
    <row r="118" spans="14:17" x14ac:dyDescent="0.75">
      <c r="N118" s="9">
        <v>109</v>
      </c>
      <c r="O118" s="9">
        <f t="shared" si="7"/>
        <v>21</v>
      </c>
      <c r="P118" s="9">
        <f t="shared" si="8"/>
        <v>4</v>
      </c>
      <c r="Q118" s="14" cm="1">
        <f t="array" ref="Q118">INDEX('HospitalDischargeRep-ConceptMap'!U102:Y356,1+O118,P118)</f>
        <v>0</v>
      </c>
    </row>
    <row r="119" spans="14:17" x14ac:dyDescent="0.75">
      <c r="N119" s="9">
        <v>110</v>
      </c>
      <c r="O119" s="9">
        <f t="shared" si="7"/>
        <v>21</v>
      </c>
      <c r="P119" s="9">
        <f t="shared" si="8"/>
        <v>5</v>
      </c>
      <c r="Q119" s="14" cm="1">
        <f t="array" ref="Q119">INDEX('HospitalDischargeRep-ConceptMap'!U103:Y357,1+O119,P119)</f>
        <v>0</v>
      </c>
    </row>
    <row r="120" spans="14:17" x14ac:dyDescent="0.75">
      <c r="N120" s="9">
        <v>111</v>
      </c>
      <c r="O120" s="9">
        <f t="shared" si="7"/>
        <v>22</v>
      </c>
      <c r="P120" s="9">
        <f t="shared" si="8"/>
        <v>1</v>
      </c>
      <c r="Q120" s="14" cm="1">
        <f t="array" ref="Q120">INDEX('HospitalDischargeRep-ConceptMap'!U104:Y358,1+O120,P120)</f>
        <v>0</v>
      </c>
    </row>
    <row r="121" spans="14:17" x14ac:dyDescent="0.75">
      <c r="N121" s="9">
        <v>112</v>
      </c>
      <c r="O121" s="9">
        <f t="shared" si="7"/>
        <v>22</v>
      </c>
      <c r="P121" s="9">
        <f t="shared" si="8"/>
        <v>2</v>
      </c>
      <c r="Q121" s="14" cm="1">
        <f t="array" ref="Q121">INDEX('HospitalDischargeRep-ConceptMap'!U105:Y359,1+O121,P121)</f>
        <v>0</v>
      </c>
    </row>
    <row r="122" spans="14:17" x14ac:dyDescent="0.75">
      <c r="N122" s="9">
        <v>113</v>
      </c>
      <c r="O122" s="9">
        <f t="shared" si="7"/>
        <v>22</v>
      </c>
      <c r="P122" s="9">
        <f t="shared" si="8"/>
        <v>3</v>
      </c>
      <c r="Q122" s="14" cm="1">
        <f t="array" ref="Q122">INDEX('HospitalDischargeRep-ConceptMap'!U106:Y360,1+O122,P122)</f>
        <v>0</v>
      </c>
    </row>
    <row r="123" spans="14:17" x14ac:dyDescent="0.75">
      <c r="N123" s="9">
        <v>114</v>
      </c>
      <c r="O123" s="9">
        <f t="shared" si="7"/>
        <v>22</v>
      </c>
      <c r="P123" s="9">
        <f t="shared" si="8"/>
        <v>4</v>
      </c>
      <c r="Q123" s="14" cm="1">
        <f t="array" ref="Q123">INDEX('HospitalDischargeRep-ConceptMap'!U107:Y361,1+O123,P123)</f>
        <v>0</v>
      </c>
    </row>
    <row r="124" spans="14:17" x14ac:dyDescent="0.75">
      <c r="N124" s="9">
        <v>115</v>
      </c>
      <c r="O124" s="9">
        <f t="shared" si="7"/>
        <v>22</v>
      </c>
      <c r="P124" s="9">
        <f t="shared" si="8"/>
        <v>5</v>
      </c>
      <c r="Q124" s="14" cm="1">
        <f t="array" ref="Q124">INDEX('HospitalDischargeRep-ConceptMap'!U108:Y362,1+O124,P124)</f>
        <v>0</v>
      </c>
    </row>
    <row r="125" spans="14:17" x14ac:dyDescent="0.75">
      <c r="N125" s="9">
        <v>116</v>
      </c>
      <c r="O125" s="9">
        <f t="shared" si="7"/>
        <v>23</v>
      </c>
      <c r="P125" s="9">
        <f t="shared" si="8"/>
        <v>1</v>
      </c>
      <c r="Q125" s="14" cm="1">
        <f t="array" ref="Q125">INDEX('HospitalDischargeRep-ConceptMap'!U109:Y363,1+O125,P125)</f>
        <v>0</v>
      </c>
    </row>
    <row r="126" spans="14:17" x14ac:dyDescent="0.75">
      <c r="N126" s="9">
        <v>117</v>
      </c>
      <c r="O126" s="9">
        <f t="shared" si="7"/>
        <v>23</v>
      </c>
      <c r="P126" s="9">
        <f t="shared" si="8"/>
        <v>2</v>
      </c>
      <c r="Q126" s="14" cm="1">
        <f t="array" ref="Q126">INDEX('HospitalDischargeRep-ConceptMap'!U110:Y364,1+O126,P126)</f>
        <v>0</v>
      </c>
    </row>
    <row r="127" spans="14:17" x14ac:dyDescent="0.75">
      <c r="N127" s="9">
        <v>118</v>
      </c>
      <c r="O127" s="9">
        <f t="shared" si="7"/>
        <v>23</v>
      </c>
      <c r="P127" s="9">
        <f t="shared" si="8"/>
        <v>3</v>
      </c>
      <c r="Q127" s="14" cm="1">
        <f t="array" ref="Q127">INDEX('HospitalDischargeRep-ConceptMap'!U111:Y365,1+O127,P127)</f>
        <v>0</v>
      </c>
    </row>
    <row r="128" spans="14:17" x14ac:dyDescent="0.75">
      <c r="N128" s="9">
        <v>119</v>
      </c>
      <c r="O128" s="9">
        <f t="shared" si="7"/>
        <v>23</v>
      </c>
      <c r="P128" s="9">
        <f t="shared" si="8"/>
        <v>4</v>
      </c>
      <c r="Q128" s="14" cm="1">
        <f t="array" ref="Q128">INDEX('HospitalDischargeRep-ConceptMap'!U112:Y366,1+O128,P128)</f>
        <v>0</v>
      </c>
    </row>
    <row r="129" spans="14:17" x14ac:dyDescent="0.75">
      <c r="N129" s="9">
        <v>120</v>
      </c>
      <c r="O129" s="9">
        <f t="shared" si="7"/>
        <v>23</v>
      </c>
      <c r="P129" s="9">
        <f t="shared" si="8"/>
        <v>5</v>
      </c>
      <c r="Q129" s="14" cm="1">
        <f t="array" ref="Q129">INDEX('HospitalDischargeRep-ConceptMap'!U113:Y367,1+O129,P129)</f>
        <v>0</v>
      </c>
    </row>
    <row r="130" spans="14:17" x14ac:dyDescent="0.75">
      <c r="N130" s="9">
        <v>121</v>
      </c>
      <c r="O130" s="9">
        <f t="shared" si="7"/>
        <v>24</v>
      </c>
      <c r="P130" s="9">
        <f t="shared" si="8"/>
        <v>1</v>
      </c>
      <c r="Q130" s="14" cm="1">
        <f t="array" ref="Q130">INDEX('HospitalDischargeRep-ConceptMap'!U114:Y368,1+O130,P130)</f>
        <v>0</v>
      </c>
    </row>
    <row r="131" spans="14:17" x14ac:dyDescent="0.75">
      <c r="N131" s="9">
        <v>122</v>
      </c>
      <c r="O131" s="9">
        <f t="shared" si="7"/>
        <v>24</v>
      </c>
      <c r="P131" s="9">
        <f t="shared" si="8"/>
        <v>2</v>
      </c>
      <c r="Q131" s="14" cm="1">
        <f t="array" ref="Q131">INDEX('HospitalDischargeRep-ConceptMap'!U115:Y369,1+O131,P131)</f>
        <v>0</v>
      </c>
    </row>
    <row r="132" spans="14:17" x14ac:dyDescent="0.75">
      <c r="N132" s="9">
        <v>123</v>
      </c>
      <c r="O132" s="9">
        <f t="shared" si="7"/>
        <v>24</v>
      </c>
      <c r="P132" s="9">
        <f t="shared" si="8"/>
        <v>3</v>
      </c>
      <c r="Q132" s="14" cm="1">
        <f t="array" ref="Q132">INDEX('HospitalDischargeRep-ConceptMap'!U116:Y370,1+O132,P132)</f>
        <v>0</v>
      </c>
    </row>
    <row r="133" spans="14:17" x14ac:dyDescent="0.75">
      <c r="N133" s="9">
        <v>124</v>
      </c>
      <c r="O133" s="9">
        <f t="shared" si="7"/>
        <v>24</v>
      </c>
      <c r="P133" s="9">
        <f t="shared" si="8"/>
        <v>4</v>
      </c>
      <c r="Q133" s="14" cm="1">
        <f t="array" ref="Q133">INDEX('HospitalDischargeRep-ConceptMap'!U117:Y371,1+O133,P133)</f>
        <v>0</v>
      </c>
    </row>
    <row r="134" spans="14:17" x14ac:dyDescent="0.75">
      <c r="N134" s="9">
        <v>125</v>
      </c>
      <c r="O134" s="9">
        <f t="shared" si="7"/>
        <v>24</v>
      </c>
      <c r="P134" s="9">
        <f t="shared" si="8"/>
        <v>5</v>
      </c>
      <c r="Q134" s="14" cm="1">
        <f t="array" ref="Q134">INDEX('HospitalDischargeRep-ConceptMap'!U118:Y372,1+O134,P134)</f>
        <v>0</v>
      </c>
    </row>
    <row r="135" spans="14:17" x14ac:dyDescent="0.75">
      <c r="N135" s="9">
        <v>126</v>
      </c>
      <c r="O135" s="9">
        <f t="shared" si="7"/>
        <v>25</v>
      </c>
      <c r="P135" s="9">
        <f t="shared" si="8"/>
        <v>1</v>
      </c>
      <c r="Q135" s="14" cm="1">
        <f t="array" ref="Q135">INDEX('HospitalDischargeRep-ConceptMap'!U119:Y373,1+O135,P135)</f>
        <v>0</v>
      </c>
    </row>
    <row r="136" spans="14:17" x14ac:dyDescent="0.75">
      <c r="N136" s="9">
        <v>127</v>
      </c>
      <c r="O136" s="9">
        <f t="shared" si="7"/>
        <v>25</v>
      </c>
      <c r="P136" s="9">
        <f t="shared" si="8"/>
        <v>2</v>
      </c>
      <c r="Q136" s="14" cm="1">
        <f t="array" ref="Q136">INDEX('HospitalDischargeRep-ConceptMap'!U120:Y374,1+O136,P136)</f>
        <v>0</v>
      </c>
    </row>
    <row r="137" spans="14:17" x14ac:dyDescent="0.75">
      <c r="N137" s="9">
        <v>128</v>
      </c>
      <c r="O137" s="9">
        <f t="shared" si="7"/>
        <v>25</v>
      </c>
      <c r="P137" s="9">
        <f t="shared" si="8"/>
        <v>3</v>
      </c>
      <c r="Q137" s="14" cm="1">
        <f t="array" ref="Q137">INDEX('HospitalDischargeRep-ConceptMap'!U121:Y375,1+O137,P137)</f>
        <v>0</v>
      </c>
    </row>
    <row r="138" spans="14:17" x14ac:dyDescent="0.75">
      <c r="N138" s="9">
        <v>129</v>
      </c>
      <c r="O138" s="9">
        <f t="shared" si="7"/>
        <v>25</v>
      </c>
      <c r="P138" s="9">
        <f t="shared" si="8"/>
        <v>4</v>
      </c>
      <c r="Q138" s="14" cm="1">
        <f t="array" ref="Q138">INDEX('HospitalDischargeRep-ConceptMap'!U122:Y376,1+O138,P138)</f>
        <v>0</v>
      </c>
    </row>
    <row r="139" spans="14:17" x14ac:dyDescent="0.75">
      <c r="N139" s="9">
        <v>130</v>
      </c>
      <c r="O139" s="9">
        <f t="shared" ref="O139:O184" si="9">IF(MOD(N139,$O$3)=0,N139/$O$3-1,INT(N139/$O$3))</f>
        <v>25</v>
      </c>
      <c r="P139" s="9">
        <f t="shared" ref="P139:P184" si="10">IF(MOD(N139,$O$3)=0,$O$3,MOD(N139,$O$3))</f>
        <v>5</v>
      </c>
      <c r="Q139" s="14" cm="1">
        <f t="array" ref="Q139">INDEX('HospitalDischargeRep-ConceptMap'!U123:Y377,1+O139,P139)</f>
        <v>0</v>
      </c>
    </row>
    <row r="140" spans="14:17" x14ac:dyDescent="0.75">
      <c r="N140" s="9">
        <v>131</v>
      </c>
      <c r="O140" s="9">
        <f t="shared" si="9"/>
        <v>26</v>
      </c>
      <c r="P140" s="9">
        <f t="shared" si="10"/>
        <v>1</v>
      </c>
      <c r="Q140" s="14" cm="1">
        <f t="array" ref="Q140">INDEX('HospitalDischargeRep-ConceptMap'!U124:Y378,1+O140,P140)</f>
        <v>0</v>
      </c>
    </row>
    <row r="141" spans="14:17" x14ac:dyDescent="0.75">
      <c r="N141" s="9">
        <v>132</v>
      </c>
      <c r="O141" s="9">
        <f t="shared" si="9"/>
        <v>26</v>
      </c>
      <c r="P141" s="9">
        <f t="shared" si="10"/>
        <v>2</v>
      </c>
      <c r="Q141" s="14" cm="1">
        <f t="array" ref="Q141">INDEX('HospitalDischargeRep-ConceptMap'!U125:Y379,1+O141,P141)</f>
        <v>0</v>
      </c>
    </row>
    <row r="142" spans="14:17" x14ac:dyDescent="0.75">
      <c r="N142" s="9">
        <v>133</v>
      </c>
      <c r="O142" s="9">
        <f t="shared" si="9"/>
        <v>26</v>
      </c>
      <c r="P142" s="9">
        <f t="shared" si="10"/>
        <v>3</v>
      </c>
      <c r="Q142" s="14" cm="1">
        <f t="array" ref="Q142">INDEX('HospitalDischargeRep-ConceptMap'!U126:Y380,1+O142,P142)</f>
        <v>0</v>
      </c>
    </row>
    <row r="143" spans="14:17" x14ac:dyDescent="0.75">
      <c r="N143" s="9">
        <v>134</v>
      </c>
      <c r="O143" s="9">
        <f t="shared" si="9"/>
        <v>26</v>
      </c>
      <c r="P143" s="9">
        <f t="shared" si="10"/>
        <v>4</v>
      </c>
      <c r="Q143" s="14" cm="1">
        <f t="array" ref="Q143">INDEX('HospitalDischargeRep-ConceptMap'!U127:Y381,1+O143,P143)</f>
        <v>0</v>
      </c>
    </row>
    <row r="144" spans="14:17" x14ac:dyDescent="0.75">
      <c r="N144" s="9">
        <v>135</v>
      </c>
      <c r="O144" s="9">
        <f t="shared" si="9"/>
        <v>26</v>
      </c>
      <c r="P144" s="9">
        <f t="shared" si="10"/>
        <v>5</v>
      </c>
      <c r="Q144" s="14" cm="1">
        <f t="array" ref="Q144">INDEX('HospitalDischargeRep-ConceptMap'!U128:Y382,1+O144,P144)</f>
        <v>0</v>
      </c>
    </row>
    <row r="145" spans="14:17" x14ac:dyDescent="0.75">
      <c r="N145" s="9">
        <v>136</v>
      </c>
      <c r="O145" s="9">
        <f t="shared" si="9"/>
        <v>27</v>
      </c>
      <c r="P145" s="9">
        <f t="shared" si="10"/>
        <v>1</v>
      </c>
      <c r="Q145" s="14" cm="1">
        <f t="array" ref="Q145">INDEX('HospitalDischargeRep-ConceptMap'!U129:Y383,1+O145,P145)</f>
        <v>0</v>
      </c>
    </row>
    <row r="146" spans="14:17" x14ac:dyDescent="0.75">
      <c r="N146" s="9">
        <v>137</v>
      </c>
      <c r="O146" s="9">
        <f t="shared" si="9"/>
        <v>27</v>
      </c>
      <c r="P146" s="9">
        <f t="shared" si="10"/>
        <v>2</v>
      </c>
      <c r="Q146" s="14" cm="1">
        <f t="array" ref="Q146">INDEX('HospitalDischargeRep-ConceptMap'!U130:Y384,1+O146,P146)</f>
        <v>0</v>
      </c>
    </row>
    <row r="147" spans="14:17" x14ac:dyDescent="0.75">
      <c r="N147" s="9">
        <v>138</v>
      </c>
      <c r="O147" s="9">
        <f t="shared" si="9"/>
        <v>27</v>
      </c>
      <c r="P147" s="9">
        <f t="shared" si="10"/>
        <v>3</v>
      </c>
      <c r="Q147" s="14" cm="1">
        <f t="array" ref="Q147">INDEX('HospitalDischargeRep-ConceptMap'!U131:Y385,1+O147,P147)</f>
        <v>0</v>
      </c>
    </row>
    <row r="148" spans="14:17" x14ac:dyDescent="0.75">
      <c r="N148" s="9">
        <v>139</v>
      </c>
      <c r="O148" s="9">
        <f t="shared" si="9"/>
        <v>27</v>
      </c>
      <c r="P148" s="9">
        <f t="shared" si="10"/>
        <v>4</v>
      </c>
      <c r="Q148" s="14" cm="1">
        <f t="array" ref="Q148">INDEX('HospitalDischargeRep-ConceptMap'!U132:Y386,1+O148,P148)</f>
        <v>0</v>
      </c>
    </row>
    <row r="149" spans="14:17" x14ac:dyDescent="0.75">
      <c r="N149" s="9">
        <v>140</v>
      </c>
      <c r="O149" s="9">
        <f t="shared" si="9"/>
        <v>27</v>
      </c>
      <c r="P149" s="9">
        <f t="shared" si="10"/>
        <v>5</v>
      </c>
      <c r="Q149" s="14" cm="1">
        <f t="array" ref="Q149">INDEX('HospitalDischargeRep-ConceptMap'!U133:Y387,1+O149,P149)</f>
        <v>0</v>
      </c>
    </row>
    <row r="150" spans="14:17" x14ac:dyDescent="0.75">
      <c r="N150" s="9">
        <v>141</v>
      </c>
      <c r="O150" s="9">
        <f t="shared" si="9"/>
        <v>28</v>
      </c>
      <c r="P150" s="9">
        <f t="shared" si="10"/>
        <v>1</v>
      </c>
      <c r="Q150" s="14" cm="1">
        <f t="array" ref="Q150">INDEX('HospitalDischargeRep-ConceptMap'!U134:Y388,1+O150,P150)</f>
        <v>0</v>
      </c>
    </row>
    <row r="151" spans="14:17" x14ac:dyDescent="0.75">
      <c r="N151" s="9">
        <v>142</v>
      </c>
      <c r="O151" s="9">
        <f t="shared" si="9"/>
        <v>28</v>
      </c>
      <c r="P151" s="9">
        <f t="shared" si="10"/>
        <v>2</v>
      </c>
      <c r="Q151" s="14" cm="1">
        <f t="array" ref="Q151">INDEX('HospitalDischargeRep-ConceptMap'!U135:Y389,1+O151,P151)</f>
        <v>0</v>
      </c>
    </row>
    <row r="152" spans="14:17" x14ac:dyDescent="0.75">
      <c r="N152" s="9">
        <v>143</v>
      </c>
      <c r="O152" s="9">
        <f t="shared" si="9"/>
        <v>28</v>
      </c>
      <c r="P152" s="9">
        <f t="shared" si="10"/>
        <v>3</v>
      </c>
      <c r="Q152" s="14" cm="1">
        <f t="array" ref="Q152">INDEX('HospitalDischargeRep-ConceptMap'!U136:Y390,1+O152,P152)</f>
        <v>0</v>
      </c>
    </row>
    <row r="153" spans="14:17" x14ac:dyDescent="0.75">
      <c r="N153" s="9">
        <v>144</v>
      </c>
      <c r="O153" s="9">
        <f t="shared" si="9"/>
        <v>28</v>
      </c>
      <c r="P153" s="9">
        <f t="shared" si="10"/>
        <v>4</v>
      </c>
      <c r="Q153" s="14" cm="1">
        <f t="array" ref="Q153">INDEX('HospitalDischargeRep-ConceptMap'!U137:Y391,1+O153,P153)</f>
        <v>0</v>
      </c>
    </row>
    <row r="154" spans="14:17" x14ac:dyDescent="0.75">
      <c r="N154" s="9">
        <v>145</v>
      </c>
      <c r="O154" s="9">
        <f t="shared" si="9"/>
        <v>28</v>
      </c>
      <c r="P154" s="9">
        <f t="shared" si="10"/>
        <v>5</v>
      </c>
      <c r="Q154" s="14" cm="1">
        <f t="array" ref="Q154">INDEX('HospitalDischargeRep-ConceptMap'!U138:Y392,1+O154,P154)</f>
        <v>0</v>
      </c>
    </row>
    <row r="155" spans="14:17" x14ac:dyDescent="0.75">
      <c r="N155" s="9">
        <v>146</v>
      </c>
      <c r="O155" s="9">
        <f t="shared" si="9"/>
        <v>29</v>
      </c>
      <c r="P155" s="9">
        <f t="shared" si="10"/>
        <v>1</v>
      </c>
      <c r="Q155" s="14" cm="1">
        <f t="array" ref="Q155">INDEX('HospitalDischargeRep-ConceptMap'!U139:Y393,1+O155,P155)</f>
        <v>0</v>
      </c>
    </row>
    <row r="156" spans="14:17" x14ac:dyDescent="0.75">
      <c r="N156" s="9">
        <v>147</v>
      </c>
      <c r="O156" s="9">
        <f t="shared" si="9"/>
        <v>29</v>
      </c>
      <c r="P156" s="9">
        <f t="shared" si="10"/>
        <v>2</v>
      </c>
      <c r="Q156" s="14" cm="1">
        <f t="array" ref="Q156">INDEX('HospitalDischargeRep-ConceptMap'!U140:Y394,1+O156,P156)</f>
        <v>0</v>
      </c>
    </row>
    <row r="157" spans="14:17" x14ac:dyDescent="0.75">
      <c r="N157" s="9">
        <v>148</v>
      </c>
      <c r="O157" s="9">
        <f t="shared" si="9"/>
        <v>29</v>
      </c>
      <c r="P157" s="9">
        <f t="shared" si="10"/>
        <v>3</v>
      </c>
      <c r="Q157" s="14" cm="1">
        <f t="array" ref="Q157">INDEX('HospitalDischargeRep-ConceptMap'!U141:Y395,1+O157,P157)</f>
        <v>0</v>
      </c>
    </row>
    <row r="158" spans="14:17" x14ac:dyDescent="0.75">
      <c r="N158" s="9">
        <v>149</v>
      </c>
      <c r="O158" s="9">
        <f t="shared" si="9"/>
        <v>29</v>
      </c>
      <c r="P158" s="9">
        <f t="shared" si="10"/>
        <v>4</v>
      </c>
      <c r="Q158" s="14" cm="1">
        <f t="array" ref="Q158">INDEX('HospitalDischargeRep-ConceptMap'!U142:Y396,1+O158,P158)</f>
        <v>0</v>
      </c>
    </row>
    <row r="159" spans="14:17" x14ac:dyDescent="0.75">
      <c r="N159" s="9">
        <v>150</v>
      </c>
      <c r="O159" s="9">
        <f t="shared" si="9"/>
        <v>29</v>
      </c>
      <c r="P159" s="9">
        <f t="shared" si="10"/>
        <v>5</v>
      </c>
      <c r="Q159" s="14" cm="1">
        <f t="array" ref="Q159">INDEX('HospitalDischargeRep-ConceptMap'!U143:Y397,1+O159,P159)</f>
        <v>0</v>
      </c>
    </row>
    <row r="160" spans="14:17" x14ac:dyDescent="0.75">
      <c r="N160" s="9">
        <v>151</v>
      </c>
      <c r="O160" s="9">
        <f t="shared" si="9"/>
        <v>30</v>
      </c>
      <c r="P160" s="9">
        <f t="shared" si="10"/>
        <v>1</v>
      </c>
      <c r="Q160" s="14" cm="1">
        <f t="array" ref="Q160">INDEX('HospitalDischargeRep-ConceptMap'!U144:Y398,1+O160,P160)</f>
        <v>0</v>
      </c>
    </row>
    <row r="161" spans="14:17" x14ac:dyDescent="0.75">
      <c r="N161" s="9">
        <v>152</v>
      </c>
      <c r="O161" s="9">
        <f t="shared" si="9"/>
        <v>30</v>
      </c>
      <c r="P161" s="9">
        <f t="shared" si="10"/>
        <v>2</v>
      </c>
      <c r="Q161" s="14" cm="1">
        <f t="array" ref="Q161">INDEX('HospitalDischargeRep-ConceptMap'!U145:Y399,1+O161,P161)</f>
        <v>0</v>
      </c>
    </row>
    <row r="162" spans="14:17" x14ac:dyDescent="0.75">
      <c r="N162" s="9">
        <v>153</v>
      </c>
      <c r="O162" s="9">
        <f t="shared" si="9"/>
        <v>30</v>
      </c>
      <c r="P162" s="9">
        <f t="shared" si="10"/>
        <v>3</v>
      </c>
      <c r="Q162" s="14" cm="1">
        <f t="array" ref="Q162">INDEX('HospitalDischargeRep-ConceptMap'!U146:Y400,1+O162,P162)</f>
        <v>0</v>
      </c>
    </row>
    <row r="163" spans="14:17" x14ac:dyDescent="0.75">
      <c r="N163" s="9">
        <v>154</v>
      </c>
      <c r="O163" s="9">
        <f t="shared" si="9"/>
        <v>30</v>
      </c>
      <c r="P163" s="9">
        <f t="shared" si="10"/>
        <v>4</v>
      </c>
      <c r="Q163" s="14" cm="1">
        <f t="array" ref="Q163">INDEX('HospitalDischargeRep-ConceptMap'!U147:Y401,1+O163,P163)</f>
        <v>0</v>
      </c>
    </row>
    <row r="164" spans="14:17" x14ac:dyDescent="0.75">
      <c r="N164" s="9">
        <v>155</v>
      </c>
      <c r="O164" s="9">
        <f t="shared" si="9"/>
        <v>30</v>
      </c>
      <c r="P164" s="9">
        <f t="shared" si="10"/>
        <v>5</v>
      </c>
      <c r="Q164" s="14" cm="1">
        <f t="array" ref="Q164">INDEX('HospitalDischargeRep-ConceptMap'!U148:Y402,1+O164,P164)</f>
        <v>0</v>
      </c>
    </row>
    <row r="165" spans="14:17" x14ac:dyDescent="0.75">
      <c r="N165" s="9">
        <v>156</v>
      </c>
      <c r="O165" s="9">
        <f t="shared" si="9"/>
        <v>31</v>
      </c>
      <c r="P165" s="9">
        <f t="shared" si="10"/>
        <v>1</v>
      </c>
      <c r="Q165" s="14" cm="1">
        <f t="array" ref="Q165">INDEX('HospitalDischargeRep-ConceptMap'!U149:Y403,1+O165,P165)</f>
        <v>0</v>
      </c>
    </row>
    <row r="166" spans="14:17" x14ac:dyDescent="0.75">
      <c r="N166" s="9">
        <v>157</v>
      </c>
      <c r="O166" s="9">
        <f t="shared" si="9"/>
        <v>31</v>
      </c>
      <c r="P166" s="9">
        <f t="shared" si="10"/>
        <v>2</v>
      </c>
      <c r="Q166" s="14" cm="1">
        <f t="array" ref="Q166">INDEX('HospitalDischargeRep-ConceptMap'!U150:Y404,1+O166,P166)</f>
        <v>0</v>
      </c>
    </row>
    <row r="167" spans="14:17" x14ac:dyDescent="0.75">
      <c r="N167" s="9">
        <v>158</v>
      </c>
      <c r="O167" s="9">
        <f t="shared" si="9"/>
        <v>31</v>
      </c>
      <c r="P167" s="9">
        <f t="shared" si="10"/>
        <v>3</v>
      </c>
      <c r="Q167" s="14" cm="1">
        <f t="array" ref="Q167">INDEX('HospitalDischargeRep-ConceptMap'!U151:Y405,1+O167,P167)</f>
        <v>0</v>
      </c>
    </row>
    <row r="168" spans="14:17" x14ac:dyDescent="0.75">
      <c r="N168" s="9">
        <v>159</v>
      </c>
      <c r="O168" s="9">
        <f t="shared" si="9"/>
        <v>31</v>
      </c>
      <c r="P168" s="9">
        <f t="shared" si="10"/>
        <v>4</v>
      </c>
      <c r="Q168" s="14" cm="1">
        <f t="array" ref="Q168">INDEX('HospitalDischargeRep-ConceptMap'!U152:Y406,1+O168,P168)</f>
        <v>0</v>
      </c>
    </row>
    <row r="169" spans="14:17" x14ac:dyDescent="0.75">
      <c r="N169" s="9">
        <v>160</v>
      </c>
      <c r="O169" s="9">
        <f t="shared" si="9"/>
        <v>31</v>
      </c>
      <c r="P169" s="9">
        <f t="shared" si="10"/>
        <v>5</v>
      </c>
      <c r="Q169" s="14" cm="1">
        <f t="array" ref="Q169">INDEX('HospitalDischargeRep-ConceptMap'!U153:Y407,1+O169,P169)</f>
        <v>0</v>
      </c>
    </row>
    <row r="170" spans="14:17" x14ac:dyDescent="0.75">
      <c r="N170" s="9">
        <v>161</v>
      </c>
      <c r="O170" s="9">
        <f t="shared" si="9"/>
        <v>32</v>
      </c>
      <c r="P170" s="9">
        <f t="shared" si="10"/>
        <v>1</v>
      </c>
      <c r="Q170" s="14" cm="1">
        <f t="array" ref="Q170">INDEX('HospitalDischargeRep-ConceptMap'!U154:Y408,1+O170,P170)</f>
        <v>0</v>
      </c>
    </row>
    <row r="171" spans="14:17" x14ac:dyDescent="0.75">
      <c r="N171" s="9">
        <v>162</v>
      </c>
      <c r="O171" s="9">
        <f t="shared" si="9"/>
        <v>32</v>
      </c>
      <c r="P171" s="9">
        <f t="shared" si="10"/>
        <v>2</v>
      </c>
      <c r="Q171" s="14" cm="1">
        <f t="array" ref="Q171">INDEX('HospitalDischargeRep-ConceptMap'!U155:Y409,1+O171,P171)</f>
        <v>0</v>
      </c>
    </row>
    <row r="172" spans="14:17" x14ac:dyDescent="0.75">
      <c r="N172" s="9">
        <v>163</v>
      </c>
      <c r="O172" s="9">
        <f t="shared" si="9"/>
        <v>32</v>
      </c>
      <c r="P172" s="9">
        <f t="shared" si="10"/>
        <v>3</v>
      </c>
      <c r="Q172" s="14" cm="1">
        <f t="array" ref="Q172">INDEX('HospitalDischargeRep-ConceptMap'!U156:Y410,1+O172,P172)</f>
        <v>0</v>
      </c>
    </row>
    <row r="173" spans="14:17" x14ac:dyDescent="0.75">
      <c r="N173" s="9">
        <v>164</v>
      </c>
      <c r="O173" s="9">
        <f t="shared" si="9"/>
        <v>32</v>
      </c>
      <c r="P173" s="9">
        <f t="shared" si="10"/>
        <v>4</v>
      </c>
      <c r="Q173" s="14" cm="1">
        <f t="array" ref="Q173">INDEX('HospitalDischargeRep-ConceptMap'!U157:Y411,1+O173,P173)</f>
        <v>0</v>
      </c>
    </row>
    <row r="174" spans="14:17" x14ac:dyDescent="0.75">
      <c r="N174" s="9">
        <v>165</v>
      </c>
      <c r="O174" s="9">
        <f t="shared" si="9"/>
        <v>32</v>
      </c>
      <c r="P174" s="9">
        <f t="shared" si="10"/>
        <v>5</v>
      </c>
      <c r="Q174" s="14" cm="1">
        <f t="array" ref="Q174">INDEX('HospitalDischargeRep-ConceptMap'!U158:Y412,1+O174,P174)</f>
        <v>0</v>
      </c>
    </row>
    <row r="175" spans="14:17" x14ac:dyDescent="0.75">
      <c r="N175" s="9">
        <v>166</v>
      </c>
      <c r="O175" s="9">
        <f t="shared" si="9"/>
        <v>33</v>
      </c>
      <c r="P175" s="9">
        <f t="shared" si="10"/>
        <v>1</v>
      </c>
      <c r="Q175" s="14" cm="1">
        <f t="array" ref="Q175">INDEX('HospitalDischargeRep-ConceptMap'!U159:Y413,1+O175,P175)</f>
        <v>0</v>
      </c>
    </row>
    <row r="176" spans="14:17" x14ac:dyDescent="0.75">
      <c r="N176" s="9">
        <v>167</v>
      </c>
      <c r="O176" s="9">
        <f t="shared" si="9"/>
        <v>33</v>
      </c>
      <c r="P176" s="9">
        <f t="shared" si="10"/>
        <v>2</v>
      </c>
      <c r="Q176" s="14" cm="1">
        <f t="array" ref="Q176">INDEX('HospitalDischargeRep-ConceptMap'!U160:Y414,1+O176,P176)</f>
        <v>0</v>
      </c>
    </row>
    <row r="177" spans="14:17" x14ac:dyDescent="0.75">
      <c r="N177" s="9">
        <v>168</v>
      </c>
      <c r="O177" s="9">
        <f t="shared" si="9"/>
        <v>33</v>
      </c>
      <c r="P177" s="9">
        <f t="shared" si="10"/>
        <v>3</v>
      </c>
      <c r="Q177" s="14" cm="1">
        <f t="array" ref="Q177">INDEX('HospitalDischargeRep-ConceptMap'!U161:Y415,1+O177,P177)</f>
        <v>0</v>
      </c>
    </row>
    <row r="178" spans="14:17" x14ac:dyDescent="0.75">
      <c r="N178" s="9">
        <v>169</v>
      </c>
      <c r="O178" s="9">
        <f t="shared" si="9"/>
        <v>33</v>
      </c>
      <c r="P178" s="9">
        <f t="shared" si="10"/>
        <v>4</v>
      </c>
      <c r="Q178" s="14" cm="1">
        <f t="array" ref="Q178">INDEX('HospitalDischargeRep-ConceptMap'!U162:Y416,1+O178,P178)</f>
        <v>0</v>
      </c>
    </row>
    <row r="179" spans="14:17" x14ac:dyDescent="0.75">
      <c r="N179" s="9">
        <v>170</v>
      </c>
      <c r="O179" s="9">
        <f t="shared" si="9"/>
        <v>33</v>
      </c>
      <c r="P179" s="9">
        <f t="shared" si="10"/>
        <v>5</v>
      </c>
      <c r="Q179" s="14" cm="1">
        <f t="array" ref="Q179">INDEX('HospitalDischargeRep-ConceptMap'!U163:Y417,1+O179,P179)</f>
        <v>0</v>
      </c>
    </row>
    <row r="180" spans="14:17" x14ac:dyDescent="0.75">
      <c r="N180" s="9">
        <v>171</v>
      </c>
      <c r="O180" s="9">
        <f t="shared" si="9"/>
        <v>34</v>
      </c>
      <c r="P180" s="9">
        <f t="shared" si="10"/>
        <v>1</v>
      </c>
      <c r="Q180" s="14" cm="1">
        <f t="array" ref="Q180">INDEX('HospitalDischargeRep-ConceptMap'!U164:Y418,1+O180,P180)</f>
        <v>0</v>
      </c>
    </row>
    <row r="181" spans="14:17" x14ac:dyDescent="0.75">
      <c r="N181" s="9">
        <v>172</v>
      </c>
      <c r="O181" s="9">
        <f t="shared" si="9"/>
        <v>34</v>
      </c>
      <c r="P181" s="9">
        <f t="shared" si="10"/>
        <v>2</v>
      </c>
      <c r="Q181" s="14" cm="1">
        <f t="array" ref="Q181">INDEX('HospitalDischargeRep-ConceptMap'!U165:Y419,1+O181,P181)</f>
        <v>0</v>
      </c>
    </row>
    <row r="182" spans="14:17" x14ac:dyDescent="0.75">
      <c r="N182" s="9">
        <v>173</v>
      </c>
      <c r="O182" s="9">
        <f t="shared" si="9"/>
        <v>34</v>
      </c>
      <c r="P182" s="9">
        <f t="shared" si="10"/>
        <v>3</v>
      </c>
      <c r="Q182" s="14" cm="1">
        <f t="array" ref="Q182">INDEX('HospitalDischargeRep-ConceptMap'!U166:Y420,1+O182,P182)</f>
        <v>0</v>
      </c>
    </row>
    <row r="183" spans="14:17" x14ac:dyDescent="0.75">
      <c r="N183" s="9">
        <v>174</v>
      </c>
      <c r="O183" s="9">
        <f t="shared" si="9"/>
        <v>34</v>
      </c>
      <c r="P183" s="9">
        <f t="shared" si="10"/>
        <v>4</v>
      </c>
      <c r="Q183" s="14" cm="1">
        <f t="array" ref="Q183">INDEX('HospitalDischargeRep-ConceptMap'!U167:Y421,1+O183,P183)</f>
        <v>0</v>
      </c>
    </row>
    <row r="184" spans="14:17" x14ac:dyDescent="0.75">
      <c r="N184" s="9">
        <v>175</v>
      </c>
      <c r="O184" s="9">
        <f t="shared" si="9"/>
        <v>34</v>
      </c>
      <c r="P184" s="9">
        <f t="shared" si="10"/>
        <v>5</v>
      </c>
      <c r="Q184" s="14" cm="1">
        <f t="array" ref="Q184">INDEX('HospitalDischargeRep-ConceptMap'!U168:Y422,1+O184,P184)</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B685E5-2B67-4366-AD5B-F1D14AF3EB30}">
  <sheetPr codeName="Foglio17">
    <tabColor theme="0" tint="-0.34998626667073579"/>
  </sheetPr>
  <dimension ref="B1:G77"/>
  <sheetViews>
    <sheetView workbookViewId="0">
      <selection activeCell="B7" sqref="B7"/>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32" t="s">
        <v>37</v>
      </c>
    </row>
    <row r="2" spans="2:7" ht="16.75" thickBot="1" x14ac:dyDescent="0.9">
      <c r="B2" s="33" t="s">
        <v>668</v>
      </c>
      <c r="G2" s="56" t="s">
        <v>669</v>
      </c>
    </row>
    <row r="3" spans="2:7" x14ac:dyDescent="0.75">
      <c r="B3" s="33" t="s">
        <v>37</v>
      </c>
    </row>
    <row r="4" spans="2:7" x14ac:dyDescent="0.75">
      <c r="B4" s="100" t="s">
        <v>670</v>
      </c>
    </row>
    <row r="5" spans="2:7" x14ac:dyDescent="0.75">
      <c r="B5" s="100" t="s">
        <v>671</v>
      </c>
    </row>
    <row r="6" spans="2:7" x14ac:dyDescent="0.75">
      <c r="B6" s="100" t="s">
        <v>672</v>
      </c>
    </row>
    <row r="7" spans="2:7" x14ac:dyDescent="0.75">
      <c r="B7" s="100" t="s">
        <v>673</v>
      </c>
    </row>
    <row r="8" spans="2:7" x14ac:dyDescent="0.75">
      <c r="B8" s="100" t="s">
        <v>674</v>
      </c>
    </row>
    <row r="9" spans="2:7" x14ac:dyDescent="0.75">
      <c r="B9" s="100" t="s">
        <v>675</v>
      </c>
    </row>
    <row r="10" spans="2:7" x14ac:dyDescent="0.75">
      <c r="B10" s="100" t="s">
        <v>676</v>
      </c>
    </row>
    <row r="11" spans="2:7" x14ac:dyDescent="0.75">
      <c r="B11" s="100" t="s">
        <v>677</v>
      </c>
    </row>
    <row r="12" spans="2:7" x14ac:dyDescent="0.75">
      <c r="B12" s="100" t="s">
        <v>678</v>
      </c>
    </row>
    <row r="13" spans="2:7" x14ac:dyDescent="0.75">
      <c r="B13" s="100" t="s">
        <v>679</v>
      </c>
    </row>
    <row r="14" spans="2:7" x14ac:dyDescent="0.75">
      <c r="B14" s="101" t="s">
        <v>680</v>
      </c>
    </row>
    <row r="15" spans="2:7" x14ac:dyDescent="0.75">
      <c r="B15" s="101" t="s">
        <v>681</v>
      </c>
    </row>
    <row r="16" spans="2:7" x14ac:dyDescent="0.75">
      <c r="B16" s="100"/>
    </row>
    <row r="17" spans="2:7" x14ac:dyDescent="0.75">
      <c r="B17" s="102" t="s">
        <v>682</v>
      </c>
    </row>
    <row r="18" spans="2:7" x14ac:dyDescent="0.75">
      <c r="B18" s="102" t="s">
        <v>683</v>
      </c>
    </row>
    <row r="19" spans="2:7" x14ac:dyDescent="0.75">
      <c r="B19" s="103"/>
    </row>
    <row r="20" spans="2:7" x14ac:dyDescent="0.75">
      <c r="B20" s="14" t="str">
        <f>IF('HospitalDischargeRep-ConceptMap'!Q10=0,"//---END",'HospitalDischargeRep-ConceptMap'!Q10)</f>
        <v>* group[=].element[+].code = #HospitalDischargeReport</v>
      </c>
    </row>
    <row r="21" spans="2:7" x14ac:dyDescent="0.75">
      <c r="B21" s="14" t="str">
        <f>IF('HospitalDischargeRep-ConceptMap'!Q11=0,"//---END",'HospitalDischargeRep-ConceptMap'!Q11)</f>
        <v>* group[=].element[=].display = ##34#Hospital Discharge Report (eHN)##34#</v>
      </c>
    </row>
    <row r="22" spans="2:7" x14ac:dyDescent="0.75">
      <c r="B22" s="14" t="e">
        <f>IF('HospitalDischargeRep-ConceptMap'!Q12=0,"//---END",'HospitalDischargeRep-ConceptMap'!Q12)</f>
        <v>#REF!</v>
      </c>
    </row>
    <row r="23" spans="2:7" x14ac:dyDescent="0.75">
      <c r="B23" s="14" t="e">
        <f>IF('HospitalDischargeRep-ConceptMap'!Q13=0,"//---END",'HospitalDischargeRep-ConceptMap'!Q13)</f>
        <v>#REF!</v>
      </c>
    </row>
    <row r="24" spans="2:7" x14ac:dyDescent="0.75">
      <c r="B24" s="14" t="str">
        <f>IF('HospitalDischargeRep-ConceptMap'!Q14=0,"//---END",'HospitalDischargeRep-ConceptMap'!Q14)</f>
        <v>* group[=].element[=].target.equivalence = #equivalent</v>
      </c>
    </row>
    <row r="25" spans="2:7" x14ac:dyDescent="0.75">
      <c r="B25" s="14" t="str">
        <f>IF('HospitalDischargeRep-ConceptMap'!Q15=0,"//---END",'HospitalDischargeRep-ConceptMap'!Q15)</f>
        <v>* group[=].element[+].code = #HospitalDischargeReport.header</v>
      </c>
      <c r="G25" s="10"/>
    </row>
    <row r="26" spans="2:7" x14ac:dyDescent="0.75">
      <c r="B26" s="14" t="str">
        <f>IF('HospitalDischargeRep-ConceptMap'!Q16=0,"//---END",'HospitalDischargeRep-ConceptMap'!Q16)</f>
        <v>* group[=].element[=].display = ##34#A.1-Report header data element [Mandatory]##34#</v>
      </c>
    </row>
    <row r="27" spans="2:7" x14ac:dyDescent="0.75">
      <c r="B27" s="14" t="e">
        <f>IF('HospitalDischargeRep-ConceptMap'!Q17=0,"//---END",'HospitalDischargeRep-ConceptMap'!Q17)</f>
        <v>#REF!</v>
      </c>
    </row>
    <row r="28" spans="2:7" x14ac:dyDescent="0.75">
      <c r="B28" s="14" t="e">
        <f>IF('HospitalDischargeRep-ConceptMap'!Q18=0,"//---END",'HospitalDischargeRep-ConceptMap'!Q18)</f>
        <v>#REF!</v>
      </c>
    </row>
    <row r="29" spans="2:7" x14ac:dyDescent="0.75">
      <c r="B29" s="14" t="str">
        <f>IF('HospitalDischargeRep-ConceptMap'!Q19=0,"//---END",'HospitalDischargeRep-ConceptMap'!Q19)</f>
        <v>* group[=].element[=].target.equivalence = #relatedto</v>
      </c>
    </row>
    <row r="30" spans="2:7" x14ac:dyDescent="0.75">
      <c r="B30" s="14" t="str">
        <f>IF('HospitalDischargeRep-ConceptMap'!Q20=0,"//---END",'HospitalDischargeRep-ConceptMap'!Q20)</f>
        <v>* group[=].element[+].code = #HospitalDischargeReport.header.subject-identification</v>
      </c>
    </row>
    <row r="31" spans="2:7" x14ac:dyDescent="0.75">
      <c r="B31" s="14" t="str">
        <f>IF('HospitalDischargeRep-ConceptMap'!Q21=0,"//---END",'HospitalDischargeRep-ConceptMap'!Q21)</f>
        <v>* group[=].element[=].display = ##34#A.1.1-Identification of the patient/subject [Mandatory]##34#</v>
      </c>
    </row>
    <row r="32" spans="2:7" x14ac:dyDescent="0.75">
      <c r="B32" s="14" t="e">
        <f>IF('HospitalDischargeRep-ConceptMap'!Q22=0,"//---END",'HospitalDischargeRep-ConceptMap'!Q22)</f>
        <v>#REF!</v>
      </c>
    </row>
    <row r="33" spans="2:2" x14ac:dyDescent="0.75">
      <c r="B33" s="14" t="e">
        <f>IF('HospitalDischargeRep-ConceptMap'!Q23=0,"//---END",'HospitalDischargeRep-ConceptMap'!Q23)</f>
        <v>#REF!</v>
      </c>
    </row>
    <row r="34" spans="2:2" x14ac:dyDescent="0.75">
      <c r="B34" s="14" t="str">
        <f>IF('HospitalDischargeRep-ConceptMap'!Q24=0,"//---END",'HospitalDischargeRep-ConceptMap'!Q24)</f>
        <v>* group[=].element[=].target.equivalence = #equivalent</v>
      </c>
    </row>
    <row r="35" spans="2:2" x14ac:dyDescent="0.75">
      <c r="B35" s="14" t="str">
        <f>IF('HospitalDischargeRep-ConceptMap'!Q25=0,"//---END",'HospitalDischargeRep-ConceptMap'!Q25)</f>
        <v>* group[=].element[+].code = #HospitalDischargeReport.header.payer</v>
      </c>
    </row>
    <row r="36" spans="2:2" x14ac:dyDescent="0.75">
      <c r="B36" s="14" t="str">
        <f>IF('HospitalDischargeRep-ConceptMap'!Q26=0,"//---END",'HospitalDischargeRep-ConceptMap'!Q26)</f>
        <v>* group[=].element[=].display = ##34#A.1.3-Health insurance and payment information [Required]##34#</v>
      </c>
    </row>
    <row r="37" spans="2:2" x14ac:dyDescent="0.75">
      <c r="B37" s="14" t="str">
        <f>IF('HospitalDischargeRep-ConceptMap'!Q27=0,"//---END",'HospitalDischargeRep-ConceptMap'!Q27)</f>
        <v>//-- unmatched</v>
      </c>
    </row>
    <row r="38" spans="2:2" x14ac:dyDescent="0.75">
      <c r="B38" s="14" t="str">
        <f>IF('HospitalDischargeRep-ConceptMap'!Q28=0,"//---END",'HospitalDischargeRep-ConceptMap'!Q28)</f>
        <v>//-- unmatched</v>
      </c>
    </row>
    <row r="39" spans="2:2" x14ac:dyDescent="0.75">
      <c r="B39" s="14" t="str">
        <f>IF('HospitalDischargeRep-ConceptMap'!Q29=0,"//---END",'HospitalDischargeRep-ConceptMap'!Q29)</f>
        <v>* group[=].element[=].target.equivalence = #unmatched</v>
      </c>
    </row>
    <row r="40" spans="2:2" x14ac:dyDescent="0.75">
      <c r="B40" s="14" t="str">
        <f>IF('HospitalDischargeRep-ConceptMap'!Q30=0,"//---END",'HospitalDischargeRep-ConceptMap'!Q30)</f>
        <v>* group[=].element[+].code = #HospitalDischargeReport.header.informationRecipient</v>
      </c>
    </row>
    <row r="41" spans="2:2" x14ac:dyDescent="0.75">
      <c r="B41" s="14" t="str">
        <f>IF('HospitalDischargeRep-ConceptMap'!Q31=0,"//---END",'HospitalDischargeRep-ConceptMap'!Q31)</f>
        <v>* group[=].element[=].display = ##34#A.1.4-Information recipient [Required]##34#</v>
      </c>
    </row>
    <row r="42" spans="2:2" x14ac:dyDescent="0.75">
      <c r="B42" s="14" t="str">
        <f>IF('HospitalDischargeRep-ConceptMap'!Q32=0,"//---END",'HospitalDischargeRep-ConceptMap'!Q32)</f>
        <v>//-- unmatched</v>
      </c>
    </row>
    <row r="43" spans="2:2" x14ac:dyDescent="0.75">
      <c r="B43" s="14" t="str">
        <f>IF('HospitalDischargeRep-ConceptMap'!Q33=0,"//---END",'HospitalDischargeRep-ConceptMap'!Q33)</f>
        <v>//-- unmatched</v>
      </c>
    </row>
    <row r="44" spans="2:2" x14ac:dyDescent="0.75">
      <c r="B44" s="14" t="str">
        <f>IF('HospitalDischargeRep-ConceptMap'!Q34=0,"//---END",'HospitalDischargeRep-ConceptMap'!Q34)</f>
        <v>* group[=].element[=].target.equivalence = #unmatched</v>
      </c>
    </row>
    <row r="45" spans="2:2" x14ac:dyDescent="0.75">
      <c r="B45" s="14" t="str">
        <f>IF('HospitalDischargeRep-ConceptMap'!Q35=0,"//---END",'HospitalDischargeRep-ConceptMap'!Q35)</f>
        <v>* group[=].element[+].code = #HospitalDischargeReport.header.author</v>
      </c>
    </row>
    <row r="46" spans="2:2" x14ac:dyDescent="0.75">
      <c r="B46" s="14" t="str">
        <f>IF('HospitalDischargeRep-ConceptMap'!Q36=0,"//---END",'HospitalDischargeRep-ConceptMap'!Q36)</f>
        <v>* group[=].element[=].display = ##34#A.1.5-Author (by whom the Hospital discharge report was authored) [Mandatory]##34#</v>
      </c>
    </row>
    <row r="47" spans="2:2" x14ac:dyDescent="0.75">
      <c r="B47" s="14" t="e">
        <f>IF('HospitalDischargeRep-ConceptMap'!Q37=0,"//---END",'HospitalDischargeRep-ConceptMap'!Q37)</f>
        <v>#REF!</v>
      </c>
    </row>
    <row r="48" spans="2:2" x14ac:dyDescent="0.75">
      <c r="B48" s="14" t="e">
        <f>IF('HospitalDischargeRep-ConceptMap'!Q38=0,"//---END",'HospitalDischargeRep-ConceptMap'!Q38)</f>
        <v>#REF!</v>
      </c>
    </row>
    <row r="49" spans="2:2" x14ac:dyDescent="0.75">
      <c r="B49" s="14" t="str">
        <f>IF('HospitalDischargeRep-ConceptMap'!Q39=0,"//---END",'HospitalDischargeRep-ConceptMap'!Q39)</f>
        <v>* group[=].element[=].target.equivalence = #narrower</v>
      </c>
    </row>
    <row r="50" spans="2:2" x14ac:dyDescent="0.75">
      <c r="B50" s="14" t="str">
        <f>IF('HospitalDischargeRep-ConceptMap'!Q40=0,"//---END",'HospitalDischargeRep-ConceptMap'!Q40)</f>
        <v>* group[=].element[+].code = #HospitalDischargeReport.header.attester</v>
      </c>
    </row>
    <row r="51" spans="2:2" x14ac:dyDescent="0.75">
      <c r="B51" s="14" t="str">
        <f>IF('HospitalDischargeRep-ConceptMap'!Q41=0,"//---END",'HospitalDischargeRep-ConceptMap'!Q41)</f>
        <v>* group[=].element[=].display = ##34#A.1.6-Attester  [Required]##34#</v>
      </c>
    </row>
    <row r="52" spans="2:2" x14ac:dyDescent="0.75">
      <c r="B52" s="14" t="e">
        <f>IF('HospitalDischargeRep-ConceptMap'!Q42=0,"//---END",'HospitalDischargeRep-ConceptMap'!Q42)</f>
        <v>#REF!</v>
      </c>
    </row>
    <row r="53" spans="2:2" x14ac:dyDescent="0.75">
      <c r="B53" s="14" t="e">
        <f>IF('HospitalDischargeRep-ConceptMap'!Q43=0,"//---END",'HospitalDischargeRep-ConceptMap'!Q43)</f>
        <v>#REF!</v>
      </c>
    </row>
    <row r="54" spans="2:2" x14ac:dyDescent="0.75">
      <c r="B54" s="14" t="str">
        <f>IF('HospitalDischargeRep-ConceptMap'!Q44=0,"//---END",'HospitalDischargeRep-ConceptMap'!Q44)</f>
        <v>* group[=].element[=].target.equivalence = #wider</v>
      </c>
    </row>
    <row r="55" spans="2:2" x14ac:dyDescent="0.75">
      <c r="B55" s="14" t="str">
        <f>IF('HospitalDischargeRep-ConceptMap'!Q45=0,"//---END",'HospitalDischargeRep-ConceptMap'!Q45)</f>
        <v>* group[=].element[+].code = #HospitalDischargeReport.header.legalAuthenticator</v>
      </c>
    </row>
    <row r="56" spans="2:2" x14ac:dyDescent="0.75">
      <c r="B56" s="14" t="str">
        <f>IF('HospitalDischargeRep-ConceptMap'!Q46=0,"//---END",'HospitalDischargeRep-ConceptMap'!Q46)</f>
        <v>* group[=].element[=].display = ##34#A.1.7-Legal authenticator [Required]##34#</v>
      </c>
    </row>
    <row r="57" spans="2:2" x14ac:dyDescent="0.75">
      <c r="B57" s="14" t="str">
        <f>IF('HospitalDischargeRep-ConceptMap'!Q47=0,"//---END",'HospitalDischargeRep-ConceptMap'!Q47)</f>
        <v>//-- unmatched</v>
      </c>
    </row>
    <row r="58" spans="2:2" x14ac:dyDescent="0.75">
      <c r="B58" s="14" t="str">
        <f>IF('HospitalDischargeRep-ConceptMap'!Q48=0,"//---END",'HospitalDischargeRep-ConceptMap'!Q48)</f>
        <v>//-- unmatched</v>
      </c>
    </row>
    <row r="59" spans="2:2" x14ac:dyDescent="0.75">
      <c r="B59" s="14" t="str">
        <f>IF('HospitalDischargeRep-ConceptMap'!Q49=0,"//---END",'HospitalDischargeRep-ConceptMap'!Q49)</f>
        <v>* group[=].element[=].target.equivalence = #unmatched</v>
      </c>
    </row>
    <row r="60" spans="2:2" x14ac:dyDescent="0.75">
      <c r="B60" s="14" t="str">
        <f>IF('HospitalDischargeRep-ConceptMap'!Q50=0,"//---END",'HospitalDischargeRep-ConceptMap'!Q50)</f>
        <v>//---END</v>
      </c>
    </row>
    <row r="61" spans="2:2" x14ac:dyDescent="0.75">
      <c r="B61" s="14" t="str">
        <f>IF('HospitalDischargeRep-ConceptMap'!Q51=0,"//---END",'HospitalDischargeRep-ConceptMap'!Q51)</f>
        <v>//---END</v>
      </c>
    </row>
    <row r="62" spans="2:2" x14ac:dyDescent="0.75">
      <c r="B62" s="14" t="str">
        <f>IF('HospitalDischargeRep-ConceptMap'!Q52=0,"//---END",'HospitalDischargeRep-ConceptMap'!Q52)</f>
        <v>//---END</v>
      </c>
    </row>
    <row r="63" spans="2:2" x14ac:dyDescent="0.75">
      <c r="B63" s="14"/>
    </row>
    <row r="64" spans="2:2" x14ac:dyDescent="0.75">
      <c r="B64" s="14"/>
    </row>
    <row r="65" spans="2:4" x14ac:dyDescent="0.75">
      <c r="B65" s="14"/>
    </row>
    <row r="66" spans="2:4" x14ac:dyDescent="0.75">
      <c r="B66" s="14"/>
    </row>
    <row r="67" spans="2:4" x14ac:dyDescent="0.75">
      <c r="B67" s="14"/>
    </row>
    <row r="68" spans="2:4" x14ac:dyDescent="0.75">
      <c r="B68" s="14"/>
    </row>
    <row r="69" spans="2:4" x14ac:dyDescent="0.75">
      <c r="B69" s="14"/>
    </row>
    <row r="70" spans="2:4" x14ac:dyDescent="0.75">
      <c r="B70" s="14"/>
      <c r="D70" s="99"/>
    </row>
    <row r="71" spans="2:4" x14ac:dyDescent="0.75">
      <c r="B71" s="14"/>
    </row>
    <row r="72" spans="2:4" x14ac:dyDescent="0.75">
      <c r="B72" s="14"/>
    </row>
    <row r="73" spans="2:4" x14ac:dyDescent="0.75">
      <c r="B73" s="14"/>
    </row>
    <row r="74" spans="2:4" x14ac:dyDescent="0.75">
      <c r="B74" s="14"/>
    </row>
    <row r="75" spans="2:4" x14ac:dyDescent="0.75">
      <c r="B75" s="14"/>
    </row>
    <row r="76" spans="2:4" x14ac:dyDescent="0.75">
      <c r="B76" s="14"/>
    </row>
    <row r="77" spans="2:4" x14ac:dyDescent="0.75">
      <c r="B77" s="1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1793" r:id="rId4" name="Button 1">
              <controlPr defaultSize="0" print="0" autoFill="0" autoPict="0" macro="[1]!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7" tint="0.39997558519241921"/>
  </sheetPr>
  <dimension ref="A1:L33"/>
  <sheetViews>
    <sheetView workbookViewId="0">
      <selection activeCell="B14" sqref="B14"/>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286</v>
      </c>
      <c r="I4" s="25" t="str">
        <f>CONCATENATE("Logical: ",B4)</f>
        <v>Logical: SubjectLabEhn</v>
      </c>
    </row>
    <row r="5" spans="1:11" x14ac:dyDescent="0.75">
      <c r="A5" s="18" t="s">
        <v>19</v>
      </c>
      <c r="B5" s="34" t="s">
        <v>12</v>
      </c>
      <c r="I5" s="25" t="str">
        <f>CONCATENATE("Id: ",B5)</f>
        <v>Id: Subject</v>
      </c>
    </row>
    <row r="6" spans="1:11" x14ac:dyDescent="0.75">
      <c r="A6" s="18" t="s">
        <v>13</v>
      </c>
      <c r="B6" s="19" t="s">
        <v>433</v>
      </c>
      <c r="I6" s="26" t="str">
        <f>CONCATENATE("Title: ##34#",B6,"##34#")</f>
        <v>Title: ##34#Subject of care (A1.1 - A1.2)##34#</v>
      </c>
    </row>
    <row r="7" spans="1:11" ht="15.5" thickBot="1" x14ac:dyDescent="0.9">
      <c r="A7" s="20" t="s">
        <v>5</v>
      </c>
      <c r="B7" s="21" t="s">
        <v>287</v>
      </c>
      <c r="C7" s="12" t="s">
        <v>6</v>
      </c>
      <c r="D7" s="2" t="s">
        <v>7</v>
      </c>
      <c r="E7" s="3" t="s">
        <v>8</v>
      </c>
      <c r="F7" s="3" t="s">
        <v>9</v>
      </c>
      <c r="G7" s="3" t="s">
        <v>10</v>
      </c>
      <c r="I7" s="26" t="str">
        <f>CONCATENATE("Description: "," ##334#",B7,"##334#",)</f>
        <v>Description:  ##334#Patient or Subject of care##334#</v>
      </c>
    </row>
    <row r="8" spans="1:11" ht="29.5" x14ac:dyDescent="0.75">
      <c r="A8" s="9">
        <v>1</v>
      </c>
      <c r="B8" s="9" t="s">
        <v>292</v>
      </c>
      <c r="C8" s="16" t="s">
        <v>309</v>
      </c>
      <c r="D8" s="14" t="s">
        <v>309</v>
      </c>
      <c r="E8" s="9">
        <v>1</v>
      </c>
      <c r="F8" s="9">
        <v>1</v>
      </c>
      <c r="G8" s="9" t="s">
        <v>4</v>
      </c>
      <c r="H8" s="23"/>
      <c r="I8" s="14" t="str">
        <f>CONCATENATE("* ",B8, " ",E8,"..",F8," ",G8," ##34#",C8,"##34# ##334#",D8,"##334#")</f>
        <v>* identification 1..1 BackboneElement ##34#A.1.1 Identification of the patient/subject##34# ##334#A.1.1 Identification of the patient/subject##334#</v>
      </c>
    </row>
    <row r="9" spans="1:11" ht="29.5" x14ac:dyDescent="0.75">
      <c r="A9" s="9">
        <v>2</v>
      </c>
      <c r="B9" s="9" t="s">
        <v>294</v>
      </c>
      <c r="C9" s="16" t="s">
        <v>308</v>
      </c>
      <c r="D9" s="14" t="s">
        <v>293</v>
      </c>
      <c r="E9" s="9">
        <v>0</v>
      </c>
      <c r="F9" s="9" t="s">
        <v>11</v>
      </c>
      <c r="G9" s="9" t="s">
        <v>3</v>
      </c>
      <c r="H9" s="23"/>
      <c r="I9" s="14" t="str">
        <f t="shared" ref="I9:I19" si="0">CONCATENATE("* ",B9, " ",E9,"..",F9," ",G9," ##34#",C9,"##34# ##334#",D9,"##334#")</f>
        <v>* identification.familyName 0..* string ##34#A.1.1.1 Familyname/surname##34# ##334#The family name/surname/last name of the patient. This field can contain more than one element or multiple fields could be present.##334#</v>
      </c>
    </row>
    <row r="10" spans="1:11" ht="44.25" x14ac:dyDescent="0.75">
      <c r="A10" s="9">
        <v>3</v>
      </c>
      <c r="B10" s="9" t="s">
        <v>295</v>
      </c>
      <c r="C10" s="16" t="s">
        <v>529</v>
      </c>
      <c r="D10" s="14" t="s">
        <v>310</v>
      </c>
      <c r="E10" s="9">
        <v>0</v>
      </c>
      <c r="F10" s="9" t="s">
        <v>11</v>
      </c>
      <c r="G10" s="9" t="s">
        <v>3</v>
      </c>
      <c r="H10" s="23"/>
      <c r="I10" s="14" t="str">
        <f t="shared" si="0"/>
        <v>* identification.givenName 0..* string ##34#A.1.1.2 Given name##34# ##334#The given name/first name of the patient (also known as forename or first name). This field can contain more than one element. ##334#</v>
      </c>
    </row>
    <row r="11" spans="1:11" ht="73.75" x14ac:dyDescent="0.75">
      <c r="A11" s="9">
        <v>4</v>
      </c>
      <c r="B11" s="9" t="s">
        <v>296</v>
      </c>
      <c r="C11" s="16" t="s">
        <v>530</v>
      </c>
      <c r="D11" s="14" t="s">
        <v>311</v>
      </c>
      <c r="E11" s="9">
        <v>0</v>
      </c>
      <c r="F11" s="9">
        <v>1</v>
      </c>
      <c r="G11" s="9" t="s">
        <v>2</v>
      </c>
      <c r="H11" s="23"/>
      <c r="I11" s="14" t="str">
        <f t="shared" si="0"/>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1:11" ht="59" x14ac:dyDescent="0.75">
      <c r="A12" s="9">
        <v>5</v>
      </c>
      <c r="B12" s="9" t="s">
        <v>297</v>
      </c>
      <c r="C12" s="9" t="s">
        <v>531</v>
      </c>
      <c r="D12" s="14" t="s">
        <v>312</v>
      </c>
      <c r="E12" s="9">
        <v>0</v>
      </c>
      <c r="F12" s="9">
        <v>1</v>
      </c>
      <c r="G12" s="9" t="s">
        <v>0</v>
      </c>
      <c r="H12" s="23"/>
      <c r="I12" s="14" t="str">
        <f t="shared" si="0"/>
        <v>* identification.identifier 0..1 Identifier ##34#A.1.1.4 Personal identifier##34# ##334#An identifier of the patient that is unique within a defined scope. Example: National ID (birth number) for Czech patient. Multiple identifiers could be provided. ##334#</v>
      </c>
    </row>
    <row r="13" spans="1:11" ht="73.75" x14ac:dyDescent="0.75">
      <c r="A13" s="9">
        <v>6</v>
      </c>
      <c r="B13" s="9" t="s">
        <v>298</v>
      </c>
      <c r="C13" s="16" t="s">
        <v>288</v>
      </c>
      <c r="D13" s="14" t="s">
        <v>313</v>
      </c>
      <c r="E13" s="9">
        <v>0</v>
      </c>
      <c r="F13" s="9">
        <v>1</v>
      </c>
      <c r="G13" s="9" t="s">
        <v>1</v>
      </c>
      <c r="H13" s="23"/>
      <c r="I13" s="14" t="str">
        <f t="shared" si="0"/>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1:11" ht="44.25" x14ac:dyDescent="0.75">
      <c r="A14" s="9">
        <v>7</v>
      </c>
      <c r="B14" s="9" t="s">
        <v>641</v>
      </c>
      <c r="C14" s="16" t="s">
        <v>563</v>
      </c>
      <c r="D14" s="52" t="s">
        <v>563</v>
      </c>
      <c r="E14" s="9">
        <v>0</v>
      </c>
      <c r="F14" s="9" t="s">
        <v>11</v>
      </c>
      <c r="G14" s="9" t="s">
        <v>4</v>
      </c>
      <c r="H14" s="23"/>
      <c r="I14" s="14" t="str">
        <f t="shared" si="0"/>
        <v>* addressTelecom 0..* BackboneElement ##34#A.1.2 Patient/subject related contact information##34# ##334#A.1.2 Patient/subject related contact information##334#</v>
      </c>
    </row>
    <row r="15" spans="1:11" ht="73.75" x14ac:dyDescent="0.75">
      <c r="A15" s="9">
        <v>8</v>
      </c>
      <c r="B15" s="9" t="s">
        <v>642</v>
      </c>
      <c r="C15" s="9" t="s">
        <v>289</v>
      </c>
      <c r="D15" s="14" t="s">
        <v>314</v>
      </c>
      <c r="E15" s="9">
        <v>0</v>
      </c>
      <c r="F15" s="9" t="s">
        <v>11</v>
      </c>
      <c r="G15" s="9" t="s">
        <v>64</v>
      </c>
      <c r="H15" s="23"/>
      <c r="I15" s="14" t="str">
        <f t="shared" si="0"/>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c r="J15" s="16"/>
      <c r="K15" s="9"/>
    </row>
    <row r="16" spans="1:11" ht="29.5" customHeight="1" x14ac:dyDescent="0.75">
      <c r="A16" s="9">
        <v>9</v>
      </c>
      <c r="B16" s="9" t="s">
        <v>643</v>
      </c>
      <c r="C16" s="9" t="s">
        <v>290</v>
      </c>
      <c r="D16" s="14" t="s">
        <v>291</v>
      </c>
      <c r="E16" s="9">
        <v>0</v>
      </c>
      <c r="F16" s="9" t="s">
        <v>11</v>
      </c>
      <c r="G16" s="53" t="s">
        <v>325</v>
      </c>
      <c r="H16" s="9"/>
      <c r="I16" s="14" t="str">
        <f t="shared" si="0"/>
        <v>* addressTelecom.telecom 0..* ContactPoint ##34#A.1.2.2 Telecom##34# ##334#Telecommunication contact information (addresses) associated to a person. Multiple telecommunication addresses might be provided. - Preferred system(s): ##334#</v>
      </c>
    </row>
    <row r="17" spans="2:9" x14ac:dyDescent="0.75">
      <c r="I17" s="14" t="str">
        <f t="shared" si="0"/>
        <v>*  ..  ##34###34# ##334###334#</v>
      </c>
    </row>
    <row r="18" spans="2:9" x14ac:dyDescent="0.75">
      <c r="I18" s="14" t="str">
        <f t="shared" si="0"/>
        <v>*  ..  ##34###34# ##334###334#</v>
      </c>
    </row>
    <row r="19" spans="2:9" x14ac:dyDescent="0.75">
      <c r="I19" s="14" t="str">
        <f t="shared" si="0"/>
        <v>*  ..  ##34###34# ##334###334#</v>
      </c>
    </row>
    <row r="20" spans="2:9" x14ac:dyDescent="0.75">
      <c r="I20"/>
    </row>
    <row r="21" spans="2:9" x14ac:dyDescent="0.75">
      <c r="B21" t="str">
        <f t="shared" ref="B21:B33" si="1">CONCATENATE(C21," ",D21)</f>
        <v xml:space="preserve"> </v>
      </c>
      <c r="I21"/>
    </row>
    <row r="22" spans="2:9" ht="15.5" thickBot="1" x14ac:dyDescent="0.9">
      <c r="B22" t="str">
        <f t="shared" si="1"/>
        <v xml:space="preserve"> </v>
      </c>
      <c r="I22"/>
    </row>
    <row r="23" spans="2:9" ht="16.75" thickBot="1" x14ac:dyDescent="0.9">
      <c r="C23" s="49" t="s">
        <v>309</v>
      </c>
      <c r="D23" s="49" t="s">
        <v>309</v>
      </c>
      <c r="E23" s="50"/>
      <c r="F23" s="51"/>
      <c r="I23"/>
    </row>
    <row r="24" spans="2:9" ht="256.75" thickBot="1" x14ac:dyDescent="0.9">
      <c r="B24" t="str">
        <f t="shared" si="1"/>
        <v>A.1.1.1 Family name/surname</v>
      </c>
      <c r="C24" s="36" t="s">
        <v>44</v>
      </c>
      <c r="D24" s="37" t="s">
        <v>45</v>
      </c>
      <c r="E24" s="37" t="s">
        <v>315</v>
      </c>
      <c r="F24" s="38"/>
      <c r="I24" s="1" t="str">
        <f t="shared" ref="I24:I33" si="2">CONCATENATE(E24," - Preferred system(s): ",F24)</f>
        <v xml:space="preserve">The family name/surname/last name of the patient. This field can contain more than one element or multiple fields could be present.  - Preferred system(s): </v>
      </c>
    </row>
    <row r="25" spans="2:9" ht="256.75" thickBot="1" x14ac:dyDescent="0.9">
      <c r="B25" t="str">
        <f t="shared" si="1"/>
        <v xml:space="preserve">A.1.1.2 Given name </v>
      </c>
      <c r="C25" s="36" t="s">
        <v>47</v>
      </c>
      <c r="D25" s="37" t="s">
        <v>316</v>
      </c>
      <c r="E25" s="37" t="s">
        <v>317</v>
      </c>
      <c r="F25" s="38"/>
      <c r="I25" s="1" t="str">
        <f t="shared" si="2"/>
        <v xml:space="preserve">The given name/first name of the patient (also known as forename or first name). This field can contain more than one element.   - Preferred system(s): </v>
      </c>
    </row>
    <row r="26" spans="2:9" ht="304.75" thickBot="1" x14ac:dyDescent="0.9">
      <c r="B26" t="str">
        <f t="shared" si="1"/>
        <v xml:space="preserve">A.1.1.3 Date of birth </v>
      </c>
      <c r="C26" s="36" t="s">
        <v>50</v>
      </c>
      <c r="D26" s="37" t="s">
        <v>318</v>
      </c>
      <c r="E26" s="37" t="s">
        <v>52</v>
      </c>
      <c r="F26" s="39" t="s">
        <v>319</v>
      </c>
      <c r="I26" s="1" t="str">
        <f t="shared" si="2"/>
        <v xml:space="preserve">The date of birth of the patient [ISO TS 22220]. As age of the patient might be important for correct interpretation of the test result values, complete date of birth should be provided. - Preferred system(s): Complete date, without time, following the ISO 8601 </v>
      </c>
    </row>
    <row r="27" spans="2:9" ht="304.75" thickBot="1" x14ac:dyDescent="0.9">
      <c r="B27" t="str">
        <f t="shared" si="1"/>
        <v xml:space="preserve">A.1.1.4 Personal identifier </v>
      </c>
      <c r="C27" s="36" t="s">
        <v>54</v>
      </c>
      <c r="D27" s="37" t="s">
        <v>320</v>
      </c>
      <c r="E27" s="37" t="s">
        <v>321</v>
      </c>
      <c r="F27" s="38"/>
      <c r="I27" s="1" t="str">
        <f t="shared" si="2"/>
        <v xml:space="preserve">An identifier of the patient that is unique within a defined scope. Example: National ID (birth number) for Czech patient. Multiple identifiers could be provided.   - Preferred system(s): </v>
      </c>
    </row>
    <row r="28" spans="2:9" ht="144" x14ac:dyDescent="0.75">
      <c r="B28" t="str">
        <f t="shared" si="1"/>
        <v>A.1.1.5 Gender</v>
      </c>
      <c r="C28" s="76" t="s">
        <v>57</v>
      </c>
      <c r="D28" s="76" t="s">
        <v>58</v>
      </c>
      <c r="E28" s="40" t="s">
        <v>59</v>
      </c>
      <c r="F28" s="79" t="s">
        <v>322</v>
      </c>
      <c r="I28" s="1" t="str">
        <f t="shared" si="2"/>
        <v xml:space="preserve">This field must contain a recognised valid value for "administrative gender". - Preferred system(s): HL7 Administrative Gender </v>
      </c>
    </row>
    <row r="29" spans="2:9" ht="14.75" customHeight="1" x14ac:dyDescent="0.75">
      <c r="B29" t="str">
        <f t="shared" si="1"/>
        <v xml:space="preserve"> </v>
      </c>
      <c r="C29" s="77"/>
      <c r="D29" s="77"/>
      <c r="E29" s="41"/>
      <c r="F29" s="80"/>
      <c r="I29" s="1" t="str">
        <f t="shared" si="2"/>
        <v xml:space="preserve"> - Preferred system(s): </v>
      </c>
    </row>
    <row r="30" spans="2:9" ht="30.25" customHeight="1" thickBot="1" x14ac:dyDescent="0.9">
      <c r="B30" t="str">
        <f t="shared" si="1"/>
        <v xml:space="preserve"> </v>
      </c>
      <c r="C30" s="78"/>
      <c r="D30" s="78"/>
      <c r="E30" s="37" t="s">
        <v>61</v>
      </c>
      <c r="F30" s="81"/>
      <c r="I30" s="1" t="str">
        <f t="shared" si="2"/>
        <v xml:space="preserve">If different, "physiological gender" should be communicated elsewhere. - Preferred system(s): </v>
      </c>
    </row>
    <row r="31" spans="2:9" ht="16.75" thickBot="1" x14ac:dyDescent="0.9">
      <c r="B31" t="str">
        <f t="shared" si="1"/>
        <v xml:space="preserve">A.1.2 Patient/subject related contact information   </v>
      </c>
      <c r="C31" s="68" t="s">
        <v>323</v>
      </c>
      <c r="D31" s="69"/>
      <c r="E31" s="69"/>
      <c r="F31" s="70"/>
      <c r="I31" s="1" t="str">
        <f t="shared" si="2"/>
        <v xml:space="preserve"> - Preferred system(s): </v>
      </c>
    </row>
    <row r="32" spans="2:9" ht="409.6" thickBot="1" x14ac:dyDescent="0.9">
      <c r="B32" t="str">
        <f t="shared" si="1"/>
        <v>A.1.2.1 Address</v>
      </c>
      <c r="C32" s="36" t="s">
        <v>63</v>
      </c>
      <c r="D32" s="37" t="s">
        <v>64</v>
      </c>
      <c r="E32" s="37" t="s">
        <v>65</v>
      </c>
      <c r="F32" s="39" t="s">
        <v>324</v>
      </c>
      <c r="I32" s="1" t="str">
        <f t="shared" si="2"/>
        <v>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v>
      </c>
    </row>
    <row r="33" spans="2:9" ht="256.75" thickBot="1" x14ac:dyDescent="0.9">
      <c r="B33" t="str">
        <f t="shared" si="1"/>
        <v>A.1.2.2 Telecom</v>
      </c>
      <c r="C33" s="36" t="s">
        <v>67</v>
      </c>
      <c r="D33" s="37" t="s">
        <v>68</v>
      </c>
      <c r="E33" s="37" t="s">
        <v>69</v>
      </c>
      <c r="F33" s="42"/>
      <c r="I33" s="1" t="str">
        <f t="shared" si="2"/>
        <v xml:space="preserve">Telecommunication contact information (addresses) associated to a person. Multiple telecommunication addresses might be provided. - Preferred system(s): </v>
      </c>
    </row>
  </sheetData>
  <mergeCells count="4">
    <mergeCell ref="C28:C30"/>
    <mergeCell ref="D28:D30"/>
    <mergeCell ref="F28:F30"/>
    <mergeCell ref="C31:F31"/>
  </mergeCells>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workbookViewId="0">
      <selection activeCell="C6" sqref="C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327</v>
      </c>
      <c r="E4" s="28" t="str">
        <f>CONCATENATE("Mapping: ",C4)</f>
        <v>Mapping: eHNLabSubject2Fhir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356</v>
      </c>
      <c r="E6" s="29" t="str">
        <f>CONCATENATE("Title: ##34#",C6,"##34#")</f>
        <v>Title: ##34#eHN Lab Subject model to FHIR R4 Map##34#</v>
      </c>
      <c r="G6" s="1" t="s">
        <v>22</v>
      </c>
      <c r="H6" s="10"/>
      <c r="I6" s="10"/>
      <c r="J6" s="10"/>
      <c r="K6" s="10"/>
      <c r="L6" s="10"/>
      <c r="M6" s="10"/>
      <c r="N6" s="10"/>
      <c r="O6" s="10"/>
    </row>
    <row r="7" spans="1:15" ht="15.5" thickBot="1" x14ac:dyDescent="0.9">
      <c r="B7" s="13" t="s">
        <v>35</v>
      </c>
      <c r="C7" s="11" t="str">
        <f>B9</f>
        <v>Subject</v>
      </c>
      <c r="E7" s="29" t="str">
        <f>CONCATENATE("Source: ",C7)</f>
        <v>Source: Subject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Subj!B5</f>
        <v>Subject</v>
      </c>
      <c r="C9" s="8" t="s">
        <v>299</v>
      </c>
      <c r="E9" s="4" t="str">
        <f>CONCATENATE("* -&gt; ##34#",C9,"##34#")</f>
        <v>* -&gt; ##34#Patient.conformsTo('http://hl7.eu/fhir/ig/xeh/StructureDefinition/Patient-eu-xeh')##34#</v>
      </c>
      <c r="H9" s="10"/>
      <c r="I9" s="10"/>
      <c r="J9" s="10"/>
      <c r="K9" s="10"/>
      <c r="L9" s="10"/>
      <c r="M9" s="10"/>
      <c r="N9" s="10"/>
      <c r="O9" s="10"/>
    </row>
    <row r="10" spans="1:15" x14ac:dyDescent="0.75">
      <c r="A10" s="9"/>
      <c r="B10" s="9" t="str">
        <f>Subj!B8</f>
        <v>identification</v>
      </c>
      <c r="C10" s="9" t="s">
        <v>17</v>
      </c>
      <c r="E10" s="14" t="str">
        <f>CONCATENATE("* ",B10," -&gt; ##34#",C10,"##34#")</f>
        <v>* identification -&gt; ##34#Patient##34#</v>
      </c>
      <c r="G10" s="1" t="s">
        <v>25</v>
      </c>
      <c r="H10" s="10"/>
      <c r="I10" s="10"/>
      <c r="J10" s="10"/>
      <c r="K10" s="10"/>
      <c r="L10" s="10"/>
      <c r="M10" s="10"/>
      <c r="N10" s="10"/>
      <c r="O10" s="10"/>
    </row>
    <row r="11" spans="1:15" x14ac:dyDescent="0.75">
      <c r="A11" s="9"/>
      <c r="B11" s="9" t="str">
        <f>Subj!B9</f>
        <v>identification.familyName</v>
      </c>
      <c r="C11" s="9" t="s">
        <v>300</v>
      </c>
      <c r="E11" s="14" t="str">
        <f t="shared" ref="E11:E20" si="0">CONCATENATE("* ",B11," -&gt; ##34#",C11,"##34#")</f>
        <v>* identification.familyName -&gt; ##34#Patient.name.family##34#</v>
      </c>
      <c r="G11" s="1" t="s">
        <v>26</v>
      </c>
      <c r="H11" s="10"/>
      <c r="I11" s="10"/>
      <c r="J11" s="10"/>
      <c r="K11" s="10"/>
      <c r="L11" s="10"/>
      <c r="M11" s="10"/>
      <c r="N11" s="10"/>
      <c r="O11" s="10"/>
    </row>
    <row r="12" spans="1:15" ht="44.25" x14ac:dyDescent="0.75">
      <c r="A12" s="9"/>
      <c r="B12" s="9" t="str">
        <f>Subj!B10</f>
        <v>identification.givenName</v>
      </c>
      <c r="C12" s="9" t="s">
        <v>301</v>
      </c>
      <c r="E12" s="14" t="str">
        <f t="shared" si="0"/>
        <v>* identification.givenName -&gt; ##34#Patient.name.given##34#</v>
      </c>
      <c r="G12" s="1" t="s">
        <v>27</v>
      </c>
      <c r="H12" s="10"/>
      <c r="I12" s="10"/>
      <c r="J12" s="10"/>
      <c r="K12" s="10"/>
      <c r="L12" s="10"/>
      <c r="M12" s="10"/>
      <c r="N12" s="10"/>
      <c r="O12" s="10"/>
    </row>
    <row r="13" spans="1:15" x14ac:dyDescent="0.75">
      <c r="A13" s="9"/>
      <c r="B13" s="9" t="str">
        <f>Subj!B11</f>
        <v>identification.dateOfBirth</v>
      </c>
      <c r="C13" s="9" t="s">
        <v>302</v>
      </c>
      <c r="E13" s="14" t="str">
        <f t="shared" si="0"/>
        <v>* identification.dateOfBirth -&gt; ##34#Patient.birthDate##34#</v>
      </c>
      <c r="G13" s="1" t="s">
        <v>28</v>
      </c>
      <c r="H13" s="10"/>
      <c r="I13" s="10"/>
      <c r="J13" s="10"/>
      <c r="K13" s="10"/>
      <c r="L13" s="10"/>
      <c r="M13" s="10"/>
      <c r="N13" s="10"/>
      <c r="O13" s="10"/>
    </row>
    <row r="14" spans="1:15" x14ac:dyDescent="0.75">
      <c r="A14" s="9"/>
      <c r="B14" s="9" t="str">
        <f>Subj!B12</f>
        <v>identification.identifier</v>
      </c>
      <c r="C14" s="9" t="s">
        <v>303</v>
      </c>
      <c r="E14" s="14" t="str">
        <f t="shared" si="0"/>
        <v>* identification.identifier -&gt; ##34#Patient.identifier##34#</v>
      </c>
      <c r="G14" s="1" t="s">
        <v>29</v>
      </c>
      <c r="H14" s="10"/>
      <c r="I14" s="10"/>
      <c r="J14" s="10"/>
      <c r="K14" s="10"/>
      <c r="L14" s="10"/>
      <c r="M14" s="10"/>
      <c r="N14" s="10"/>
      <c r="O14" s="10"/>
    </row>
    <row r="15" spans="1:15" ht="29.5" x14ac:dyDescent="0.75">
      <c r="A15" s="9"/>
      <c r="B15" s="9" t="str">
        <f>Subj!B13</f>
        <v>identification.gender</v>
      </c>
      <c r="C15" s="9" t="s">
        <v>304</v>
      </c>
      <c r="E15" s="14" t="str">
        <f t="shared" si="0"/>
        <v>* identification.gender -&gt; ##34#Patient.gender##34#</v>
      </c>
      <c r="G15" s="1" t="s">
        <v>30</v>
      </c>
      <c r="H15" s="10"/>
      <c r="I15" s="10"/>
      <c r="J15" s="10"/>
      <c r="K15" s="10"/>
      <c r="L15" s="10"/>
      <c r="M15" s="10"/>
      <c r="N15" s="10"/>
      <c r="O15" s="10"/>
    </row>
    <row r="16" spans="1:15" ht="29.5" x14ac:dyDescent="0.75">
      <c r="A16" s="9"/>
      <c r="B16" s="9" t="str">
        <f>Subj!B14</f>
        <v>addressTelecom</v>
      </c>
      <c r="C16" s="9" t="s">
        <v>306</v>
      </c>
      <c r="E16" s="14" t="str">
        <f t="shared" si="0"/>
        <v>* addressTelecom -&gt; ##34#Patient.address##34#</v>
      </c>
      <c r="G16" s="1" t="s">
        <v>31</v>
      </c>
      <c r="H16" s="10"/>
      <c r="I16" s="10"/>
      <c r="J16" s="10"/>
      <c r="K16" s="10"/>
      <c r="L16" s="10"/>
      <c r="M16" s="10"/>
      <c r="N16" s="10"/>
      <c r="O16" s="10"/>
    </row>
    <row r="17" spans="1:7" ht="29.5" x14ac:dyDescent="0.75">
      <c r="A17" s="9"/>
      <c r="B17" s="9" t="str">
        <f>Subj!B15</f>
        <v>addressTelecom.address</v>
      </c>
      <c r="C17" s="9" t="s">
        <v>304</v>
      </c>
      <c r="E17" s="14" t="str">
        <f t="shared" si="0"/>
        <v>* addressTelecom.address -&gt; ##34#Patient.gender##34#</v>
      </c>
      <c r="G17" s="1" t="s">
        <v>32</v>
      </c>
    </row>
    <row r="18" spans="1:7" x14ac:dyDescent="0.75">
      <c r="A18" s="9"/>
      <c r="B18" s="9" t="str">
        <f>Subj!B16</f>
        <v>addressTelecom.telecom</v>
      </c>
      <c r="C18" s="9" t="s">
        <v>305</v>
      </c>
      <c r="E18" s="14" t="str">
        <f t="shared" si="0"/>
        <v>* addressTelecom.telecom -&gt; ##34#Patient.telecom##34#</v>
      </c>
      <c r="G18" s="1" t="s">
        <v>33</v>
      </c>
    </row>
    <row r="19" spans="1:7" x14ac:dyDescent="0.75">
      <c r="A19" s="9"/>
      <c r="B19" s="9"/>
      <c r="C19" s="9"/>
      <c r="E19" s="14" t="str">
        <f t="shared" si="0"/>
        <v>*  -&gt; ##34###34#</v>
      </c>
    </row>
    <row r="20" spans="1:7" x14ac:dyDescent="0.75">
      <c r="A20" s="9"/>
      <c r="B20" s="9"/>
      <c r="C20" s="14"/>
      <c r="E20" s="14" t="str">
        <f t="shared" si="0"/>
        <v>*  -&gt; ##34###34#</v>
      </c>
    </row>
    <row r="21" spans="1:7" x14ac:dyDescent="0.75">
      <c r="B21" s="9"/>
    </row>
    <row r="22" spans="1:7" x14ac:dyDescent="0.75">
      <c r="B22" s="9"/>
    </row>
    <row r="24" spans="1:7" x14ac:dyDescent="0.75">
      <c r="E24" s="2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8" tint="-0.249977111117893"/>
  </sheetPr>
  <dimension ref="C1:G50"/>
  <sheetViews>
    <sheetView workbookViewId="0">
      <selection activeCell="A61" sqref="A61:G206"/>
    </sheetView>
  </sheetViews>
  <sheetFormatPr defaultRowHeight="14.75" x14ac:dyDescent="0.75"/>
  <cols>
    <col min="3" max="3" width="108.2265625" style="14" customWidth="1"/>
    <col min="7" max="7" width="23.90625" customWidth="1"/>
  </cols>
  <sheetData>
    <row r="1" spans="3:7" ht="15.5" thickBot="1" x14ac:dyDescent="0.9">
      <c r="C1" s="32" t="str">
        <f>Subj!I1</f>
        <v>// -------------------------------------------------------------------------------</v>
      </c>
    </row>
    <row r="2" spans="3:7" ht="16.75" thickBot="1" x14ac:dyDescent="0.9">
      <c r="C2" s="33" t="str">
        <f>Subj!I2</f>
        <v>//  Logical Model</v>
      </c>
      <c r="G2" s="56" t="s">
        <v>361</v>
      </c>
    </row>
    <row r="3" spans="3:7" x14ac:dyDescent="0.75">
      <c r="C3" s="33" t="str">
        <f>Subj!I3</f>
        <v>// -------------------------------------------------------------------------------</v>
      </c>
    </row>
    <row r="4" spans="3:7" x14ac:dyDescent="0.75">
      <c r="C4" s="25" t="str">
        <f>Subj!I4</f>
        <v>Logical: SubjectLabEhn</v>
      </c>
    </row>
    <row r="5" spans="3:7" x14ac:dyDescent="0.75">
      <c r="C5" s="25" t="str">
        <f>Subj!I5</f>
        <v>Id: Subject</v>
      </c>
    </row>
    <row r="6" spans="3:7" x14ac:dyDescent="0.75">
      <c r="C6" s="25" t="str">
        <f>Subj!I6</f>
        <v>Title: ##34#Subject of care (A1.1 - A1.2)##34#</v>
      </c>
    </row>
    <row r="7" spans="3:7" ht="29.5" x14ac:dyDescent="0.75">
      <c r="C7" s="25" t="str">
        <f>Subj!I7</f>
        <v>Description:  ##334#Patient or Subject of care##334#</v>
      </c>
    </row>
    <row r="8" spans="3:7" ht="29.5" x14ac:dyDescent="0.75">
      <c r="C8" s="14" t="str">
        <f>IF(Subj!I8="*  ..  ##34###34# ##334###334#","//--- END",Subj!I8)</f>
        <v>* identification 1..1 BackboneElement ##34#A.1.1 Identification of the patient/subject##34# ##334#A.1.1 Identification of the patient/subject##334#</v>
      </c>
    </row>
    <row r="9" spans="3:7" ht="29.5" x14ac:dyDescent="0.75">
      <c r="C9" s="14" t="str">
        <f>IF(Subj!I9="*  ..  ##34###34# ##334###334#","//--- END",Subj!I9)</f>
        <v>* identification.familyName 0..* string ##34#A.1.1.1 Familyname/surname##34# ##334#The family name/surname/last name of the patient. This field can contain more than one element or multiple fields could be present.##334#</v>
      </c>
    </row>
    <row r="10" spans="3:7" ht="29.5" x14ac:dyDescent="0.75">
      <c r="C10" s="14" t="str">
        <f>IF(Subj!I10="*  ..  ##34###34# ##334###334#","//--- END",Subj!I10)</f>
        <v>* identification.givenName 0..* string ##34#A.1.1.2 Given name##34# ##334#The given name/first name of the patient (also known as forename or first name). This field can contain more than one element. ##334#</v>
      </c>
      <c r="E10" t="s">
        <v>307</v>
      </c>
    </row>
    <row r="11" spans="3:7" ht="29.5" x14ac:dyDescent="0.75">
      <c r="C11" s="14" t="str">
        <f>IF(Subj!I11="*  ..  ##34###34# ##334###334#","//--- END",Subj!I11)</f>
        <v>* identification.dateOfBirth 0..1 dateTime ##34#A.1.1.3 Date of birth##34# ##334#The date of birth of the patient [ISO TS 22220]. As age of the patient might be important for correct interpretation of the test result values, complete date of birth should be provided. - Preferred system(s): Complete date, without time, following the ISO 8601 ##334#</v>
      </c>
    </row>
    <row r="12" spans="3:7" ht="29.5" x14ac:dyDescent="0.75">
      <c r="C12" s="14" t="str">
        <f>IF(Subj!I12="*  ..  ##34###34# ##334###334#","//--- END",Subj!I12)</f>
        <v>* identification.identifier 0..1 Identifier ##34#A.1.1.4 Personal identifier##34# ##334#An identifier of the patient that is unique within a defined scope. Example: National ID (birth number) for Czech patient. Multiple identifiers could be provided. ##334#</v>
      </c>
    </row>
    <row r="13" spans="3:7" ht="59" x14ac:dyDescent="0.75">
      <c r="C13" s="14" t="str">
        <f>IF(Subj!I13="*  ..  ##34###34# ##334###334#","//--- END",Subj!I13)</f>
        <v>* identification.gender 0..1 CodeableConcept ##34#A.1.1.5 Gender##34# ##334#This field must contain a recognised valid value for 'administrative gender'. 
If different, 'physiological gender' should be communicated elsewhere
Preferred system(s): - Preferred system(s): HL7 Administrative Gender ##334#</v>
      </c>
    </row>
    <row r="14" spans="3:7" ht="29.5" x14ac:dyDescent="0.75">
      <c r="C14" s="14" t="str">
        <f>IF(Subj!I14="*  ..  ##34###34# ##334###334#","//--- END",Subj!I14)</f>
        <v>* addressTelecom 0..* BackboneElement ##34#A.1.2 Patient/subject related contact information##34# ##334#A.1.2 Patient/subject related contact information##334#</v>
      </c>
    </row>
    <row r="15" spans="3:7" ht="59" x14ac:dyDescent="0.75">
      <c r="C15" s="14" t="str">
        <f>IF(Subj!I15="*  ..  ##34###34# ##334###334#","//--- END",Subj!I15)</f>
        <v>* addressTelecom.address 0..* Address ##34#A.1.2.1 Address##34# ##334#Mailing and home or office addresses. The addresses are always sequences of address parts (e.g. street address line, country, ZIP code, city) even if postal address formats may vary depending on the country. An address may or may not include a specific use code; if this attribute is not present it is assumed to be the default address useful for any purpose. - Preferred system(s):  ISO 3166##334#</v>
      </c>
    </row>
    <row r="16" spans="3:7" ht="29.5" x14ac:dyDescent="0.75">
      <c r="C16" s="14" t="str">
        <f>IF(Subj!I16="*  ..  ##34###34# ##334###334#","//--- END",Subj!I16)</f>
        <v>* addressTelecom.telecom 0..* ContactPoint ##34#A.1.2.2 Telecom##34# ##334#Telecommunication contact information (addresses) associated to a person. Multiple telecommunication addresses might be provided. - Preferred system(s): ##334#</v>
      </c>
    </row>
    <row r="17" spans="3:3" x14ac:dyDescent="0.75">
      <c r="C17" s="14" t="str">
        <f>IF(Subj!I17="*  ..  ##34###34# ##334###334#","//--- END",Subj!I17)</f>
        <v>//--- END</v>
      </c>
    </row>
    <row r="18" spans="3:3" x14ac:dyDescent="0.75">
      <c r="C18" s="14" t="str">
        <f>IF(Subj!I18="*  ..  ##34###34# ##334###334#","//--- END",Subj!I18)</f>
        <v>//--- END</v>
      </c>
    </row>
    <row r="19" spans="3:3" x14ac:dyDescent="0.75">
      <c r="C19" s="14" t="str">
        <f>IF(Subj!I19="*  ..  ##34###34# ##334###334#","//--- END",Subj!I19)</f>
        <v>//--- END</v>
      </c>
    </row>
    <row r="30" spans="3:3" x14ac:dyDescent="0.75">
      <c r="C30" s="32" t="str">
        <f>'Subj-Map-1'!E1</f>
        <v>// -------------------------------------------------------------------------------</v>
      </c>
    </row>
    <row r="31" spans="3:3" x14ac:dyDescent="0.75">
      <c r="C31" s="33" t="str">
        <f>'Subj-Map-1'!E2</f>
        <v>//  Map to FHIR R4</v>
      </c>
    </row>
    <row r="32" spans="3:3" x14ac:dyDescent="0.75">
      <c r="C32" s="33" t="str">
        <f>'Subj-Map-1'!E3</f>
        <v>// -------------------------------------------------------------------------------</v>
      </c>
    </row>
    <row r="33" spans="3:7" x14ac:dyDescent="0.75">
      <c r="C33" s="14" t="str">
        <f>'Subj-Map-1'!E4</f>
        <v>Mapping: eHNLabSubject2Fhir</v>
      </c>
    </row>
    <row r="34" spans="3:7" x14ac:dyDescent="0.75">
      <c r="C34" s="14" t="str">
        <f>'Subj-Map-1'!E5</f>
        <v>Id: fhir</v>
      </c>
    </row>
    <row r="35" spans="3:7" x14ac:dyDescent="0.75">
      <c r="C35" s="14" t="str">
        <f>'Subj-Map-1'!E6</f>
        <v>Title: ##34#eHN Lab Subject model to FHIR R4 Map##34#</v>
      </c>
    </row>
    <row r="36" spans="3:7" x14ac:dyDescent="0.75">
      <c r="C36" s="14" t="str">
        <f>'Subj-Map-1'!E7</f>
        <v>Source: Subject</v>
      </c>
    </row>
    <row r="37" spans="3:7" x14ac:dyDescent="0.75">
      <c r="C37" s="14" t="str">
        <f>'Subj-Map-1'!E8</f>
        <v>Target: ##34#hl7.org/fhir/r4##34#</v>
      </c>
    </row>
    <row r="39" spans="3:7" x14ac:dyDescent="0.75">
      <c r="C39" s="14" t="str">
        <f>'Subj-Map-1'!E9</f>
        <v>* -&gt; ##34#Patient.conformsTo('http://hl7.eu/fhir/ig/xeh/StructureDefinition/Patient-eu-xeh')##34#</v>
      </c>
    </row>
    <row r="40" spans="3:7" x14ac:dyDescent="0.75">
      <c r="C40" s="14" t="str">
        <f>IF('Subj-Map-1'!E10="*  -&gt; ##34###34#","// --END",'Subj-Map-1'!E10)</f>
        <v>* identification -&gt; ##34#Patient##34#</v>
      </c>
    </row>
    <row r="41" spans="3:7" x14ac:dyDescent="0.75">
      <c r="C41" s="14" t="str">
        <f>IF('Subj-Map-1'!E11="*  -&gt; ##34###34#","// --END",'Subj-Map-1'!E11)</f>
        <v>* identification.familyName -&gt; ##34#Patient.name.family##34#</v>
      </c>
    </row>
    <row r="42" spans="3:7" x14ac:dyDescent="0.75">
      <c r="C42" s="14" t="str">
        <f>IF('Subj-Map-1'!E12="*  -&gt; ##34###34#","// --END",'Subj-Map-1'!E12)</f>
        <v>* identification.givenName -&gt; ##34#Patient.name.given##34#</v>
      </c>
    </row>
    <row r="43" spans="3:7" x14ac:dyDescent="0.75">
      <c r="C43" s="14" t="str">
        <f>IF('Subj-Map-1'!E13="*  -&gt; ##34###34#","// --END",'Subj-Map-1'!E13)</f>
        <v>* identification.dateOfBirth -&gt; ##34#Patient.birthDate##34#</v>
      </c>
    </row>
    <row r="44" spans="3:7" x14ac:dyDescent="0.75">
      <c r="C44" s="14" t="str">
        <f>IF('Subj-Map-1'!E14="*  -&gt; ##34###34#","// --END",'Subj-Map-1'!E14)</f>
        <v>* identification.identifier -&gt; ##34#Patient.identifier##34#</v>
      </c>
    </row>
    <row r="45" spans="3:7" x14ac:dyDescent="0.75">
      <c r="C45" s="14" t="str">
        <f>IF('Subj-Map-1'!E15="*  -&gt; ##34###34#","// --END",'Subj-Map-1'!E15)</f>
        <v>* identification.gender -&gt; ##34#Patient.gender##34#</v>
      </c>
    </row>
    <row r="46" spans="3:7" x14ac:dyDescent="0.75">
      <c r="C46" s="14" t="str">
        <f>IF('Subj-Map-1'!E16="*  -&gt; ##34###34#","// --END",'Subj-Map-1'!E16)</f>
        <v>* addressTelecom -&gt; ##34#Patient.address##34#</v>
      </c>
    </row>
    <row r="47" spans="3:7" x14ac:dyDescent="0.75">
      <c r="C47" s="14" t="str">
        <f>IF('Subj-Map-1'!E17="*  -&gt; ##34###34#","// --END",'Subj-Map-1'!E17)</f>
        <v>* addressTelecom.address -&gt; ##34#Patient.gender##34#</v>
      </c>
    </row>
    <row r="48" spans="3:7" x14ac:dyDescent="0.75">
      <c r="C48" s="14" t="str">
        <f>IF('Subj-Map-1'!E18="*  -&gt; ##34###34#","// --END",'Subj-Map-1'!E18)</f>
        <v>* addressTelecom.telecom -&gt; ##34#Patient.telecom##34#</v>
      </c>
      <c r="G48" s="10"/>
    </row>
    <row r="49" spans="3:3" x14ac:dyDescent="0.75">
      <c r="C49" s="14" t="str">
        <f>IF('Subj-Map-1'!E19="*  -&gt; ##34###34#","// --END",'Subj-Map-1'!E19)</f>
        <v>// --END</v>
      </c>
    </row>
    <row r="50" spans="3:3" x14ac:dyDescent="0.75">
      <c r="C50" s="14" t="str">
        <f>IF('Subj-Map-1'!E20="*  -&gt; ##34###34#","// --END",'Subj-Map-1'!E20)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557014-CE42-4780-99A7-4B647C2F78BA}">
  <sheetPr codeName="Foglio27">
    <tabColor theme="7" tint="0.39997558519241921"/>
  </sheetPr>
  <dimension ref="A1:L27"/>
  <sheetViews>
    <sheetView workbookViewId="0">
      <selection activeCell="B7" sqref="B7"/>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359</v>
      </c>
      <c r="I4" s="25" t="str">
        <f>CONCATENATE("Logical: ",B4)</f>
        <v>Logical: PayerLabEhn</v>
      </c>
    </row>
    <row r="5" spans="1:11" x14ac:dyDescent="0.75">
      <c r="A5" s="18" t="s">
        <v>19</v>
      </c>
      <c r="B5" s="34" t="s">
        <v>358</v>
      </c>
      <c r="I5" s="25" t="str">
        <f>CONCATENATE("Id: ",B5)</f>
        <v>Id: Payer</v>
      </c>
    </row>
    <row r="6" spans="1:11" x14ac:dyDescent="0.75">
      <c r="A6" s="18" t="s">
        <v>13</v>
      </c>
      <c r="B6" s="19" t="s">
        <v>532</v>
      </c>
      <c r="I6" s="26" t="str">
        <f>CONCATENATE("Title: ##34#",B6,"##34#")</f>
        <v>Title: ##34#Health insurance and payment information (A.1.3)##34#</v>
      </c>
    </row>
    <row r="7" spans="1:11" ht="15.5" customHeight="1" thickBot="1" x14ac:dyDescent="0.9">
      <c r="A7" s="20" t="s">
        <v>5</v>
      </c>
      <c r="B7" s="21" t="s">
        <v>331</v>
      </c>
      <c r="C7" s="12" t="s">
        <v>6</v>
      </c>
      <c r="D7" s="2" t="s">
        <v>7</v>
      </c>
      <c r="E7" s="3" t="s">
        <v>8</v>
      </c>
      <c r="F7" s="3" t="s">
        <v>9</v>
      </c>
      <c r="G7" s="3" t="s">
        <v>10</v>
      </c>
      <c r="I7" s="26" t="str">
        <f>CONCATENATE("Description: "," ##334#",B7,"##334#",)</f>
        <v>Description:  ##334#A.1.3 Health insurance and payment information##334#</v>
      </c>
    </row>
    <row r="8" spans="1:11" ht="73.75" x14ac:dyDescent="0.75">
      <c r="A8" s="9">
        <v>1</v>
      </c>
      <c r="B8" s="9" t="s">
        <v>346</v>
      </c>
      <c r="C8" t="s">
        <v>342</v>
      </c>
      <c r="D8" s="14" t="s">
        <v>392</v>
      </c>
      <c r="E8" s="9">
        <v>0</v>
      </c>
      <c r="F8" s="9">
        <v>1</v>
      </c>
      <c r="G8" s="9" t="s">
        <v>4</v>
      </c>
      <c r="H8" s="23"/>
      <c r="I8" s="14" t="str">
        <f>CONCATENATE("* ",B8, " ",E8,"..",F8," ",G8," ##34#",C8,"##34# ##334#",D8,"##334#")</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1:11" ht="44.25" x14ac:dyDescent="0.75">
      <c r="A9" s="9">
        <v>2</v>
      </c>
      <c r="B9" s="9" t="s">
        <v>350</v>
      </c>
      <c r="C9" t="s">
        <v>343</v>
      </c>
      <c r="D9" s="14" t="s">
        <v>347</v>
      </c>
      <c r="E9" s="9">
        <v>0</v>
      </c>
      <c r="F9" s="9" t="s">
        <v>11</v>
      </c>
      <c r="G9" s="9" t="s">
        <v>0</v>
      </c>
      <c r="H9" s="23"/>
      <c r="I9" s="14" t="str">
        <f t="shared" ref="I9:I14" si="0">CONCATENATE("* ",B9, " ",E9,"..",F9," ",G9," ##34#",C9,"##34# ##334#",D9,"##334#")</f>
        <v>* insurance.identifier 0..* Identifier ##34#A.1.3.1.1 Health insurance code##34# ##334#Unique health insurance company identification code. ##334#</v>
      </c>
    </row>
    <row r="10" spans="1:11" ht="44.25" x14ac:dyDescent="0.75">
      <c r="A10" s="9">
        <v>3</v>
      </c>
      <c r="B10" s="9" t="s">
        <v>351</v>
      </c>
      <c r="C10" t="s">
        <v>344</v>
      </c>
      <c r="D10" s="14" t="s">
        <v>348</v>
      </c>
      <c r="E10" s="9">
        <v>0</v>
      </c>
      <c r="F10" s="9" t="s">
        <v>11</v>
      </c>
      <c r="G10" s="9" t="s">
        <v>3</v>
      </c>
      <c r="H10" s="23"/>
      <c r="I10" s="14" t="str">
        <f t="shared" si="0"/>
        <v>* insurance.name 0..* string ##34#A.1.3.1.2 Health insurance name##34# ##334#Full, official name of the healthcare insurance provider. ##334#</v>
      </c>
    </row>
    <row r="11" spans="1:11" ht="44.25" x14ac:dyDescent="0.75">
      <c r="A11" s="9">
        <v>4</v>
      </c>
      <c r="B11" s="9" t="s">
        <v>352</v>
      </c>
      <c r="C11" t="s">
        <v>345</v>
      </c>
      <c r="D11" s="14" t="s">
        <v>349</v>
      </c>
      <c r="E11" s="9">
        <v>0</v>
      </c>
      <c r="F11" s="9" t="s">
        <v>11</v>
      </c>
      <c r="G11" s="9" t="s">
        <v>0</v>
      </c>
      <c r="H11" s="23"/>
      <c r="I11" s="14" t="str">
        <f t="shared" si="0"/>
        <v>* insurance.subjectIdentifier 0..* Identifier ##34#A.1.3.1.3 Health insurance number##34# ##334#Number or code under which the insured person is registered at the insurance provider. ##334#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B27" si="1">CONCATENATE(C21," ",D21)</f>
        <v xml:space="preserve"> </v>
      </c>
      <c r="I21"/>
    </row>
    <row r="22" spans="2:9" ht="15.5" thickBot="1" x14ac:dyDescent="0.9">
      <c r="B22" t="str">
        <f t="shared" si="1"/>
        <v xml:space="preserve"> </v>
      </c>
      <c r="I22"/>
    </row>
    <row r="23" spans="2:9" ht="16.75" thickBot="1" x14ac:dyDescent="0.9">
      <c r="C23" s="68" t="s">
        <v>331</v>
      </c>
      <c r="D23" s="69"/>
      <c r="E23" s="69"/>
      <c r="F23" s="70"/>
      <c r="I23"/>
    </row>
    <row r="24" spans="2:9" ht="400.75" thickBot="1" x14ac:dyDescent="0.9">
      <c r="B24" t="str">
        <f t="shared" si="1"/>
        <v>A.1.3.1 Health insurance information</v>
      </c>
      <c r="C24" s="36" t="s">
        <v>71</v>
      </c>
      <c r="D24" s="39" t="s">
        <v>72</v>
      </c>
      <c r="E24" s="37" t="s">
        <v>393</v>
      </c>
      <c r="F24" s="42"/>
      <c r="I24" s="1" t="str">
        <f t="shared" ref="I24:I27" si="2">CONCATENATE(E24," - Preferred system(s): ",F24)</f>
        <v xml:space="preserve">Health insurance information is not always required, however, in some jurisdictions, the insurance number is also used as the patient identifier. It is necessary not just for identification but also forms access to funding for care.  - Preferred system(s): </v>
      </c>
    </row>
    <row r="25" spans="2:9" ht="96.75" thickBot="1" x14ac:dyDescent="0.9">
      <c r="B25" t="str">
        <f t="shared" si="1"/>
        <v>A.1.3.1.1 Health insurance code</v>
      </c>
      <c r="C25" s="36" t="s">
        <v>74</v>
      </c>
      <c r="D25" s="39" t="s">
        <v>75</v>
      </c>
      <c r="E25" s="37" t="s">
        <v>76</v>
      </c>
      <c r="F25" s="42"/>
      <c r="I25" s="1" t="str">
        <f t="shared" si="2"/>
        <v xml:space="preserve">Unique health insurance company identification code. - Preferred system(s): </v>
      </c>
    </row>
    <row r="26" spans="2:9" ht="112.75" thickBot="1" x14ac:dyDescent="0.9">
      <c r="B26" t="str">
        <f t="shared" si="1"/>
        <v>A.1.3.1.2 Health insurance name</v>
      </c>
      <c r="C26" s="36" t="s">
        <v>77</v>
      </c>
      <c r="D26" s="39" t="s">
        <v>78</v>
      </c>
      <c r="E26" s="37" t="s">
        <v>79</v>
      </c>
      <c r="F26" s="42"/>
      <c r="I26" s="1" t="str">
        <f t="shared" si="2"/>
        <v xml:space="preserve">Full, official name of the healthcare insurance provider. - Preferred system(s): </v>
      </c>
    </row>
    <row r="27" spans="2:9" ht="160.75" thickBot="1" x14ac:dyDescent="0.9">
      <c r="B27" t="str">
        <f t="shared" si="1"/>
        <v>A.1.3.1.3 Health insurance number</v>
      </c>
      <c r="C27" s="36" t="s">
        <v>80</v>
      </c>
      <c r="D27" s="39" t="s">
        <v>81</v>
      </c>
      <c r="E27" s="37" t="s">
        <v>82</v>
      </c>
      <c r="F27" s="42"/>
      <c r="I27" s="1" t="str">
        <f t="shared" si="2"/>
        <v xml:space="preserve">Number or code under which the insured person is registered at the insurance provider. - Preferred system(s): </v>
      </c>
    </row>
  </sheetData>
  <mergeCells count="1">
    <mergeCell ref="C23:F23"/>
  </mergeCell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D32D9-6855-42AB-91AA-1051828F8ABB}">
  <sheetPr codeName="Foglio29"/>
  <dimension ref="A1:O24"/>
  <sheetViews>
    <sheetView workbookViewId="0">
      <selection activeCell="C10" sqref="C10"/>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355</v>
      </c>
      <c r="E4" s="28" t="str">
        <f>CONCATENATE("Mapping: ",C4)</f>
        <v>Mapping: eHNLabPayer2Fhir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357</v>
      </c>
      <c r="E6" s="29" t="str">
        <f>CONCATENATE("Title: ##34#",C6,"##34#")</f>
        <v>Title: ##34#eHN Lab Payer model to FHIR R4 Map##34#</v>
      </c>
      <c r="G6" s="1"/>
      <c r="H6" s="10"/>
      <c r="I6" s="10"/>
      <c r="J6" s="10"/>
      <c r="K6" s="10"/>
      <c r="L6" s="10"/>
      <c r="M6" s="10"/>
      <c r="N6" s="10"/>
      <c r="O6" s="10"/>
    </row>
    <row r="7" spans="1:15" ht="15.5" thickBot="1" x14ac:dyDescent="0.9">
      <c r="B7" s="13" t="s">
        <v>35</v>
      </c>
      <c r="C7" s="11" t="str">
        <f>B9</f>
        <v>Payer</v>
      </c>
      <c r="E7" s="29" t="str">
        <f>CONCATENATE("Source: ",C7)</f>
        <v>Source: Payer</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ht="44.25" x14ac:dyDescent="0.75">
      <c r="A9" s="9"/>
      <c r="B9" s="9" t="str">
        <f>'A1.3 Payer'!B5</f>
        <v>Payer</v>
      </c>
      <c r="C9" s="4" t="s">
        <v>639</v>
      </c>
      <c r="E9" s="4" t="str">
        <f>CONCATENATE("* -&gt; ##34#",C9,"##34#")</f>
        <v>* -&gt; ##34#ServiceRequest.conformsTo('http://hl7.eu/fhir/ig/xeh/StructureDefinition/ServiceRequest-lab-xeh').insurance.resolve().ofType(Coverage)##34#</v>
      </c>
      <c r="H9" s="10"/>
      <c r="I9" s="10"/>
      <c r="J9" s="10"/>
      <c r="K9" s="10"/>
      <c r="L9" s="10"/>
      <c r="M9" s="10"/>
      <c r="N9" s="10"/>
      <c r="O9" s="10"/>
    </row>
    <row r="10" spans="1:15" x14ac:dyDescent="0.75">
      <c r="A10" s="9"/>
      <c r="B10" s="9" t="str">
        <f>'A1.3 Payer'!B8</f>
        <v>insurance</v>
      </c>
      <c r="C10" s="9" t="s">
        <v>568</v>
      </c>
      <c r="E10" s="14" t="str">
        <f t="shared" ref="E10:E19" si="0">IF(B10=0,"*  -&gt; ##34###34#",CONCATENATE("* ",B10," -&gt; ##34#",C10,"##34#"))</f>
        <v>* insurance -&gt; ##34#Coverage##34#</v>
      </c>
      <c r="G10" s="1"/>
      <c r="H10" s="10"/>
      <c r="I10" s="10"/>
      <c r="J10" s="10"/>
      <c r="K10" s="10"/>
      <c r="L10" s="10"/>
      <c r="M10" s="10"/>
      <c r="N10" s="10"/>
      <c r="O10" s="10"/>
    </row>
    <row r="11" spans="1:15" ht="29.5" x14ac:dyDescent="0.75">
      <c r="A11" s="9"/>
      <c r="B11" s="9" t="str">
        <f>'A1.3 Payer'!B9</f>
        <v>insurance.identifier</v>
      </c>
      <c r="C11" s="9" t="s">
        <v>573</v>
      </c>
      <c r="E11" s="14" t="str">
        <f t="shared" si="0"/>
        <v>* insurance.identifier -&gt; ##34#Coverage.payor.ofType(Organization).resolve().identifier##34#</v>
      </c>
      <c r="G11" s="1"/>
      <c r="H11" s="10"/>
      <c r="I11" s="10"/>
      <c r="J11" s="10"/>
      <c r="K11" s="10"/>
      <c r="L11" s="10"/>
      <c r="M11" s="10"/>
      <c r="N11" s="10"/>
      <c r="O11" s="10"/>
    </row>
    <row r="12" spans="1:15" ht="29.5" x14ac:dyDescent="0.75">
      <c r="A12" s="9"/>
      <c r="B12" s="9" t="str">
        <f>'A1.3 Payer'!B10</f>
        <v>insurance.name</v>
      </c>
      <c r="C12" s="9" t="s">
        <v>574</v>
      </c>
      <c r="E12" s="14" t="str">
        <f t="shared" si="0"/>
        <v>* insurance.name -&gt; ##34#Coverage.payor.ofType(Organization).resolve().name##34#</v>
      </c>
      <c r="G12" s="1"/>
      <c r="H12" s="10"/>
      <c r="I12" s="10"/>
      <c r="J12" s="10"/>
      <c r="K12" s="10"/>
      <c r="L12" s="10"/>
      <c r="M12" s="10"/>
      <c r="N12" s="10"/>
      <c r="O12" s="10"/>
    </row>
    <row r="13" spans="1:15" ht="29.5" x14ac:dyDescent="0.75">
      <c r="A13" s="9"/>
      <c r="B13" s="9" t="str">
        <f>'A1.3 Payer'!B11</f>
        <v>insurance.subjectIdentifier</v>
      </c>
      <c r="C13" s="9" t="s">
        <v>569</v>
      </c>
      <c r="E13" s="14" t="str">
        <f t="shared" si="0"/>
        <v>* insurance.subjectIdentifier -&gt; ##34#Coverage.policyHolder.resolve().identifier##34#</v>
      </c>
      <c r="G13" s="1"/>
      <c r="H13" s="10"/>
      <c r="I13" s="10"/>
      <c r="J13" s="10"/>
      <c r="K13" s="10"/>
      <c r="L13" s="10"/>
      <c r="M13" s="10"/>
      <c r="N13" s="10"/>
      <c r="O13" s="10"/>
    </row>
    <row r="14" spans="1:15" x14ac:dyDescent="0.75">
      <c r="A14" s="9"/>
      <c r="B14" s="9" t="str">
        <f>'A1.3 Payer'!$B$11</f>
        <v>insurance.subjectIdentifier</v>
      </c>
      <c r="C14" s="9" t="s">
        <v>570</v>
      </c>
      <c r="E14" s="14" t="str">
        <f t="shared" si="0"/>
        <v>* insurance.subjectIdentifier -&gt; ##34#Coverage.beneficiary.resolve().identifier##34#</v>
      </c>
      <c r="G14" s="1"/>
      <c r="H14" s="10"/>
      <c r="I14" s="10"/>
      <c r="J14" s="10"/>
      <c r="K14" s="10"/>
      <c r="L14" s="10"/>
      <c r="M14" s="10"/>
      <c r="N14" s="10"/>
      <c r="O14" s="10"/>
    </row>
    <row r="15" spans="1:15" x14ac:dyDescent="0.75">
      <c r="A15" s="9"/>
      <c r="B15" s="9" t="str">
        <f>'A1.3 Payer'!$B$11</f>
        <v>insurance.subjectIdentifier</v>
      </c>
      <c r="C15" s="9" t="s">
        <v>572</v>
      </c>
      <c r="E15" s="14" t="str">
        <f t="shared" si="0"/>
        <v>* insurance.subjectIdentifier -&gt; ##34#Coverage.subscriberId##34#</v>
      </c>
      <c r="G15" s="1"/>
      <c r="H15" s="10"/>
      <c r="I15" s="10"/>
      <c r="J15" s="10"/>
      <c r="K15" s="10"/>
      <c r="L15" s="10"/>
      <c r="M15" s="10"/>
      <c r="N15" s="10"/>
      <c r="O15" s="10"/>
    </row>
    <row r="16" spans="1:15" x14ac:dyDescent="0.75">
      <c r="A16" s="9"/>
      <c r="B16" s="9" t="str">
        <f>'A1.3 Payer'!$B$11</f>
        <v>insurance.subjectIdentifier</v>
      </c>
      <c r="C16" s="9" t="s">
        <v>571</v>
      </c>
      <c r="E16" s="14" t="str">
        <f t="shared" si="0"/>
        <v>* insurance.subjectIdentifier -&gt; ##34#Coverage.subscriber.resolve().identifier##34#</v>
      </c>
      <c r="G16" s="1"/>
      <c r="H16" s="10"/>
      <c r="I16" s="10"/>
      <c r="J16" s="10"/>
      <c r="K16" s="10"/>
      <c r="L16" s="10"/>
      <c r="M16" s="10"/>
      <c r="N16" s="10"/>
      <c r="O16" s="10"/>
    </row>
    <row r="17" spans="1:7" x14ac:dyDescent="0.75">
      <c r="A17" s="9"/>
      <c r="B17" s="9"/>
      <c r="C17" s="9"/>
      <c r="E17" s="14" t="str">
        <f t="shared" si="0"/>
        <v>*  -&gt; ##34###34#</v>
      </c>
      <c r="G17" s="1"/>
    </row>
    <row r="18" spans="1:7" x14ac:dyDescent="0.75">
      <c r="A18" s="9"/>
      <c r="B18" s="9"/>
      <c r="C18" s="9"/>
      <c r="E18" s="14" t="str">
        <f t="shared" si="0"/>
        <v>*  -&gt; ##34###34#</v>
      </c>
      <c r="G18" s="1"/>
    </row>
    <row r="19" spans="1:7" x14ac:dyDescent="0.75">
      <c r="A19" s="9"/>
      <c r="B19" s="9"/>
      <c r="C19" s="9"/>
      <c r="E19" s="14" t="str">
        <f t="shared" si="0"/>
        <v>*  -&gt; ##34###34#</v>
      </c>
    </row>
    <row r="20" spans="1:7" x14ac:dyDescent="0.75">
      <c r="A20" s="9"/>
      <c r="B20" s="9"/>
      <c r="C20" s="14"/>
      <c r="E20" s="14"/>
    </row>
    <row r="21" spans="1:7" x14ac:dyDescent="0.75">
      <c r="B21" s="9"/>
      <c r="E21" s="14"/>
    </row>
    <row r="22" spans="1:7" x14ac:dyDescent="0.75">
      <c r="B22" s="9"/>
      <c r="E22" s="14"/>
    </row>
    <row r="23" spans="1:7" x14ac:dyDescent="0.75">
      <c r="E23" s="14"/>
    </row>
    <row r="24" spans="1:7" x14ac:dyDescent="0.75">
      <c r="E24" s="2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C65A8-B25C-4422-8A42-B117E68E524D}">
  <sheetPr codeName="Foglio8">
    <tabColor theme="8" tint="-0.249977111117893"/>
  </sheetPr>
  <dimension ref="C1:G49"/>
  <sheetViews>
    <sheetView workbookViewId="0">
      <selection activeCell="C50" sqref="C50:D5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'A1.3 Payer'!I1</f>
        <v>// -------------------------------------------------------------------------------</v>
      </c>
    </row>
    <row r="2" spans="3:7" ht="16.75" thickBot="1" x14ac:dyDescent="0.9">
      <c r="C2" s="33" t="str">
        <f>'A1.3 Payer'!I2</f>
        <v>//  Logical Model</v>
      </c>
      <c r="G2" s="56" t="s">
        <v>360</v>
      </c>
    </row>
    <row r="3" spans="3:7" x14ac:dyDescent="0.75">
      <c r="C3" s="33" t="str">
        <f>'A1.3 Payer'!I3</f>
        <v>// -------------------------------------------------------------------------------</v>
      </c>
    </row>
    <row r="4" spans="3:7" x14ac:dyDescent="0.75">
      <c r="C4" s="25" t="str">
        <f>'A1.3 Payer'!I4</f>
        <v>Logical: PayerLabEhn</v>
      </c>
    </row>
    <row r="5" spans="3:7" x14ac:dyDescent="0.75">
      <c r="C5" s="25" t="str">
        <f>'A1.3 Payer'!I5</f>
        <v>Id: Payer</v>
      </c>
    </row>
    <row r="6" spans="3:7" x14ac:dyDescent="0.75">
      <c r="C6" s="25" t="str">
        <f>'A1.3 Payer'!I6</f>
        <v>Title: ##34#Health insurance and payment information (A.1.3)##34#</v>
      </c>
    </row>
    <row r="7" spans="3:7" x14ac:dyDescent="0.75">
      <c r="C7" s="25" t="str">
        <f>'A1.3 Payer'!I7</f>
        <v>Description:  ##334#A.1.3 Health insurance and payment information##334#</v>
      </c>
    </row>
    <row r="8" spans="3:7" ht="44.25" x14ac:dyDescent="0.75">
      <c r="C8" s="14" t="str">
        <f>IF('A1.3 Payer'!I8="*  ..  ##34###34# ##334###334#","//--- END",'A1.3 Payer'!I8)</f>
        <v>* insurance 0..1 BackboneElement ##34#A.1.3.1 Health insurance information##34# ##334#Health insurance information is not always required, however, in some jurisdictions, the insurance number is also used as the patient identifier. It is necessary not just for identification but also forms access to funding for care.##334#</v>
      </c>
    </row>
    <row r="9" spans="3:7" ht="29.5" x14ac:dyDescent="0.75">
      <c r="C9" s="14" t="str">
        <f>IF('A1.3 Payer'!I9="*  ..  ##34###34# ##334###334#","//--- END",'A1.3 Payer'!I9)</f>
        <v>* insurance.identifier 0..* Identifier ##34#A.1.3.1.1 Health insurance code##34# ##334#Unique health insurance company identification code. ##334#</v>
      </c>
    </row>
    <row r="10" spans="3:7" ht="29.5" x14ac:dyDescent="0.75">
      <c r="C10" s="14" t="str">
        <f>IF('A1.3 Payer'!I10="*  ..  ##34###34# ##334###334#","//--- END",'A1.3 Payer'!I10)</f>
        <v>* insurance.name 0..* string ##34#A.1.3.1.2 Health insurance name##34# ##334#Full, official name of the healthcare insurance provider. ##334#</v>
      </c>
      <c r="E10" t="s">
        <v>307</v>
      </c>
    </row>
    <row r="11" spans="3:7" ht="44.25" x14ac:dyDescent="0.75">
      <c r="C11" s="14" t="str">
        <f>IF('A1.3 Payer'!I11="*  ..  ##34###34# ##334###334#","//--- END",'A1.3 Payer'!I11)</f>
        <v>* insurance.subjectIdentifier 0..* Identifier ##34#A.1.3.1.3 Health insurance number##34# ##334#Number or code under which the insured person is registered at the insurance provider. ##334#</v>
      </c>
    </row>
    <row r="12" spans="3:7" x14ac:dyDescent="0.75">
      <c r="C12" s="14" t="str">
        <f>IF('A1.3 Payer'!I12="*  ..  ##34###34# ##334###334#","//--- END",'A1.3 Payer'!I12)</f>
        <v>//--- END</v>
      </c>
    </row>
    <row r="13" spans="3:7" x14ac:dyDescent="0.75">
      <c r="C13" s="14" t="str">
        <f>IF('A1.3 Payer'!I13="*  ..  ##34###34# ##334###334#","//--- END",'A1.3 Payer'!I13)</f>
        <v>//--- END</v>
      </c>
    </row>
    <row r="14" spans="3:7" x14ac:dyDescent="0.75">
      <c r="C14" s="14" t="str">
        <f>IF('A1.3 Payer'!I14="*  ..  ##34###34# ##334###334#","//--- END",'A1.3 Payer'!I14)</f>
        <v>//--- END</v>
      </c>
    </row>
    <row r="30" spans="3:3" x14ac:dyDescent="0.75">
      <c r="C30" s="32" t="str">
        <f>'Payer-Map-1'!E1</f>
        <v>// -------------------------------------------------------------------------------</v>
      </c>
    </row>
    <row r="31" spans="3:3" x14ac:dyDescent="0.75">
      <c r="C31" s="33" t="str">
        <f>'Payer-Map-1'!E2</f>
        <v>//  Map to FHIR R4</v>
      </c>
    </row>
    <row r="32" spans="3:3" x14ac:dyDescent="0.75">
      <c r="C32" s="33" t="str">
        <f>'Payer-Map-1'!E3</f>
        <v>// -------------------------------------------------------------------------------</v>
      </c>
    </row>
    <row r="33" spans="3:7" x14ac:dyDescent="0.75">
      <c r="C33" s="14" t="str">
        <f>'Payer-Map-1'!E4</f>
        <v>Mapping: eHNLabPayer2Fhir</v>
      </c>
    </row>
    <row r="34" spans="3:7" x14ac:dyDescent="0.75">
      <c r="C34" s="14" t="str">
        <f>'Payer-Map-1'!E5</f>
        <v>Id: fhir</v>
      </c>
    </row>
    <row r="35" spans="3:7" x14ac:dyDescent="0.75">
      <c r="C35" s="14" t="str">
        <f>'Payer-Map-1'!E6</f>
        <v>Title: ##34#eHN Lab Payer model to FHIR R4 Map##34#</v>
      </c>
    </row>
    <row r="36" spans="3:7" x14ac:dyDescent="0.75">
      <c r="C36" s="14" t="str">
        <f>'Payer-Map-1'!E7</f>
        <v>Source: Payer</v>
      </c>
    </row>
    <row r="37" spans="3:7" x14ac:dyDescent="0.75">
      <c r="C37" s="14" t="str">
        <f>'Payer-Map-1'!E8</f>
        <v>Target: ##34#hl7.org/fhir/r4##34#</v>
      </c>
    </row>
    <row r="39" spans="3:7" ht="29.5" x14ac:dyDescent="0.75">
      <c r="C39" s="14" t="str">
        <f>'Payer-Map-1'!E9</f>
        <v>* -&gt; ##34#ServiceRequest.conformsTo('http://hl7.eu/fhir/ig/xeh/StructureDefinition/ServiceRequest-lab-xeh').insurance.resolve().ofType(Coverage)##34#</v>
      </c>
    </row>
    <row r="40" spans="3:7" x14ac:dyDescent="0.75">
      <c r="C40" s="14" t="str">
        <f>IF('Payer-Map-1'!E10="*  -&gt; ##34###34#","// --END",'Payer-Map-1'!E10)</f>
        <v>* insurance -&gt; ##34#Coverage##34#</v>
      </c>
    </row>
    <row r="41" spans="3:7" x14ac:dyDescent="0.75">
      <c r="C41" s="14" t="str">
        <f>IF('Payer-Map-1'!E11="*  -&gt; ##34###34#","// --END",'Payer-Map-1'!E11)</f>
        <v>* insurance.identifier -&gt; ##34#Coverage.payor.ofType(Organization).resolve().identifier##34#</v>
      </c>
    </row>
    <row r="42" spans="3:7" x14ac:dyDescent="0.75">
      <c r="C42" s="14" t="str">
        <f>IF('Payer-Map-1'!E12="*  -&gt; ##34###34#","// --END",'Payer-Map-1'!E12)</f>
        <v>* insurance.name -&gt; ##34#Coverage.payor.ofType(Organization).resolve().name##34#</v>
      </c>
    </row>
    <row r="43" spans="3:7" x14ac:dyDescent="0.75">
      <c r="C43" s="14" t="str">
        <f>IF('Payer-Map-1'!E13="*  -&gt; ##34###34#","// --END",'Payer-Map-1'!E13)</f>
        <v>* insurance.subjectIdentifier -&gt; ##34#Coverage.policyHolder.resolve().identifier##34#</v>
      </c>
    </row>
    <row r="44" spans="3:7" x14ac:dyDescent="0.75">
      <c r="C44" s="14" t="str">
        <f>IF('Payer-Map-1'!E14="*  -&gt; ##34###34#","// --END",'Payer-Map-1'!E14)</f>
        <v>* insurance.subjectIdentifier -&gt; ##34#Coverage.beneficiary.resolve().identifier##34#</v>
      </c>
    </row>
    <row r="45" spans="3:7" x14ac:dyDescent="0.75">
      <c r="C45" s="14" t="str">
        <f>IF('Payer-Map-1'!E15="*  -&gt; ##34###34#","// --END",'Payer-Map-1'!E15)</f>
        <v>* insurance.subjectIdentifier -&gt; ##34#Coverage.subscriberId##34#</v>
      </c>
    </row>
    <row r="46" spans="3:7" x14ac:dyDescent="0.75">
      <c r="C46" s="14" t="str">
        <f>IF('Payer-Map-1'!E16="*  -&gt; ##34###34#","// --END",'Payer-Map-1'!E16)</f>
        <v>* insurance.subjectIdentifier -&gt; ##34#Coverage.subscriber.resolve().identifier##34#</v>
      </c>
    </row>
    <row r="47" spans="3:7" x14ac:dyDescent="0.75">
      <c r="C47" s="14" t="str">
        <f>IF('Payer-Map-1'!E17="*  -&gt; ##34###34#","// --END",'Payer-Map-1'!E17)</f>
        <v>// --END</v>
      </c>
    </row>
    <row r="48" spans="3:7" x14ac:dyDescent="0.75">
      <c r="C48" s="14" t="str">
        <f>IF('Payer-Map-1'!E18="*  -&gt; ##34###34#","// --END",'Payer-Map-1'!E18)</f>
        <v>// --END</v>
      </c>
      <c r="G48" s="10"/>
    </row>
    <row r="49" spans="3:3" x14ac:dyDescent="0.75">
      <c r="C49" s="14" t="str">
        <f>IF('Payer-Map-1'!E19="*  -&gt; ##34###34#","// --END",'Payer-Map-1'!E19)</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812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182A-CF18-4171-91D3-B1466510CC97}">
  <sheetPr codeName="Foglio30">
    <tabColor theme="7" tint="0.39997558519241921"/>
  </sheetPr>
  <dimension ref="A1:L29"/>
  <sheetViews>
    <sheetView zoomScale="130" zoomScaleNormal="13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364</v>
      </c>
      <c r="I4" s="25" t="str">
        <f>CONCATENATE("Logical: ",B4)</f>
        <v>Logical: RecipientLabEhn</v>
      </c>
    </row>
    <row r="5" spans="1:11" x14ac:dyDescent="0.75">
      <c r="A5" s="18" t="s">
        <v>19</v>
      </c>
      <c r="B5" s="34" t="s">
        <v>400</v>
      </c>
      <c r="I5" s="25" t="str">
        <f>CONCATENATE("Id: ",B5)</f>
        <v>Id: Recipient</v>
      </c>
    </row>
    <row r="6" spans="1:11" x14ac:dyDescent="0.75">
      <c r="A6" s="18" t="s">
        <v>13</v>
      </c>
      <c r="B6" s="19" t="s">
        <v>434</v>
      </c>
      <c r="I6" s="26" t="str">
        <f>CONCATENATE("Title: ##34#",B6,"##34#")</f>
        <v>Title: ##34#Information recipient (A.1.4)##34#</v>
      </c>
    </row>
    <row r="7" spans="1:11" ht="44.25" x14ac:dyDescent="0.75">
      <c r="A7" s="46" t="s">
        <v>5</v>
      </c>
      <c r="B7" s="58" t="s">
        <v>332</v>
      </c>
      <c r="C7" s="12"/>
      <c r="D7" s="2"/>
      <c r="E7" s="57"/>
      <c r="F7" s="3" t="s">
        <v>9</v>
      </c>
      <c r="G7" s="3" t="s">
        <v>10</v>
      </c>
      <c r="I7" s="26" t="str">
        <f>CONCATENATE("Description: "," ##334#",B7,"##334#",)</f>
        <v>Description:  ##334#A.1.4 Information recipient (intended recipient or recipients of the report, additional recipients might be identified by the ordering party, e.g. GP, other specialist), if applicable##334#</v>
      </c>
    </row>
    <row r="8" spans="1:11" ht="74.5" customHeight="1" x14ac:dyDescent="0.75">
      <c r="A8" s="9">
        <v>1</v>
      </c>
      <c r="B8" s="9" t="s">
        <v>367</v>
      </c>
      <c r="C8" s="9" t="s">
        <v>365</v>
      </c>
      <c r="D8" s="14" t="s">
        <v>536</v>
      </c>
      <c r="E8" s="9">
        <v>0</v>
      </c>
      <c r="F8" s="9">
        <v>1</v>
      </c>
      <c r="G8" s="9" t="s">
        <v>0</v>
      </c>
      <c r="H8" s="23"/>
      <c r="I8" s="14" t="str">
        <f>CONCATENATE("* ",B8, " ",E8,"..",F8," ",G8," ##34#",C8,"##34# ##334#",D8,"##334#")</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1:11" ht="80.75" customHeight="1" x14ac:dyDescent="0.75">
      <c r="A9" s="9">
        <v>2</v>
      </c>
      <c r="B9" s="9" t="s">
        <v>368</v>
      </c>
      <c r="C9" s="9" t="s">
        <v>366</v>
      </c>
      <c r="D9" s="14" t="s">
        <v>89</v>
      </c>
      <c r="E9" s="9">
        <v>0</v>
      </c>
      <c r="F9" s="9" t="s">
        <v>11</v>
      </c>
      <c r="G9" s="9" t="s">
        <v>414</v>
      </c>
      <c r="H9" s="23"/>
      <c r="I9" s="14" t="str">
        <f t="shared" ref="I9:I14" si="0">CONCATENATE("* ",B9, " ",E9,"..",F9," ",G9," ##34#",C9,"##34# ##334#",D9,"##334#")</f>
        <v>* name 0..* HumanName ##34#A.1.4.2 Recipient name##34# ##334#Person name.##334#</v>
      </c>
    </row>
    <row r="10" spans="1:11" ht="30.25" customHeight="1" x14ac:dyDescent="0.75">
      <c r="A10" s="9">
        <v>3</v>
      </c>
      <c r="B10" s="9" t="s">
        <v>369</v>
      </c>
      <c r="C10" s="9" t="s">
        <v>533</v>
      </c>
      <c r="D10" s="14" t="s">
        <v>92</v>
      </c>
      <c r="E10" s="9">
        <v>0</v>
      </c>
      <c r="F10" s="9" t="s">
        <v>11</v>
      </c>
      <c r="G10" s="9" t="s">
        <v>370</v>
      </c>
      <c r="H10" s="23"/>
      <c r="I10" s="14" t="str">
        <f t="shared" si="0"/>
        <v>* organization 0..* Organization ##34#A.1.4.3 Recipient organization##34# ##334#The healthcare provider organization information.##334#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6" spans="2:9" ht="16.75" thickBot="1" x14ac:dyDescent="0.9">
      <c r="C26" s="68" t="s">
        <v>332</v>
      </c>
      <c r="D26" s="69"/>
      <c r="E26" s="69"/>
      <c r="F26" s="70"/>
    </row>
    <row r="27" spans="2:9" ht="409.6" thickBot="1" x14ac:dyDescent="0.9">
      <c r="B27" t="str">
        <f t="shared" ref="B27:B29" si="2">CONCATENATE(C27," ",D27)</f>
        <v>A.1.4.1 Recipient identifier</v>
      </c>
      <c r="C27" s="36" t="s">
        <v>84</v>
      </c>
      <c r="D27" s="37" t="s">
        <v>85</v>
      </c>
      <c r="E27" s="37" t="s">
        <v>534</v>
      </c>
      <c r="F27" s="42"/>
      <c r="I27" s="1" t="str">
        <f t="shared" ref="I27:I29" si="3">CONCATENATE(E27," - Preferred system(s): ",F27)</f>
        <v xml:space="preserve">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  - Preferred system(s): </v>
      </c>
    </row>
    <row r="28" spans="2:9" ht="32.75" thickBot="1" x14ac:dyDescent="0.9">
      <c r="B28" t="str">
        <f t="shared" si="2"/>
        <v>A.1.4.2 Recipient name</v>
      </c>
      <c r="C28" s="36" t="s">
        <v>87</v>
      </c>
      <c r="D28" s="37" t="s">
        <v>88</v>
      </c>
      <c r="E28" s="37" t="s">
        <v>89</v>
      </c>
      <c r="F28" s="42"/>
      <c r="I28" s="1" t="str">
        <f t="shared" si="3"/>
        <v xml:space="preserve">Person name. - Preferred system(s): </v>
      </c>
    </row>
    <row r="29" spans="2:9" ht="112.75" thickBot="1" x14ac:dyDescent="0.9">
      <c r="B29" t="str">
        <f t="shared" si="2"/>
        <v xml:space="preserve">A.1.4.3 Recipient organization </v>
      </c>
      <c r="C29" s="36" t="s">
        <v>90</v>
      </c>
      <c r="D29" s="37" t="s">
        <v>535</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EB279-CD04-4BBF-916A-0D6769E592EE}">
  <sheetPr codeName="Foglio31"/>
  <dimension ref="A1:O32"/>
  <sheetViews>
    <sheetView workbookViewId="0">
      <selection activeCell="G1" sqref="G1:G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371</v>
      </c>
      <c r="E4" s="28" t="str">
        <f>CONCATENATE("Mapping: ",C4)</f>
        <v>Mapping: eHNLabRecipient2Fhir</v>
      </c>
      <c r="H4" s="10"/>
      <c r="I4" s="10"/>
      <c r="J4" s="10"/>
      <c r="K4" s="10"/>
      <c r="L4" s="10"/>
      <c r="M4" s="10"/>
      <c r="N4" s="10"/>
      <c r="O4" s="10"/>
    </row>
    <row r="5" spans="1:15" ht="15.5" thickBot="1" x14ac:dyDescent="0.9">
      <c r="B5" s="13" t="s">
        <v>19</v>
      </c>
      <c r="C5" s="5" t="s">
        <v>16</v>
      </c>
      <c r="E5" s="29" t="str">
        <f>CONCATENATE("Id: ",C5)</f>
        <v>Id: fhir</v>
      </c>
      <c r="G5" s="1"/>
      <c r="H5" s="10"/>
      <c r="I5" s="10"/>
      <c r="J5" s="10"/>
      <c r="K5" s="10"/>
      <c r="L5" s="10"/>
      <c r="M5" s="10"/>
      <c r="N5" s="10"/>
      <c r="O5" s="10"/>
    </row>
    <row r="6" spans="1:15" ht="15.5" thickBot="1" x14ac:dyDescent="0.9">
      <c r="B6" s="13" t="s">
        <v>13</v>
      </c>
      <c r="C6" s="22" t="s">
        <v>372</v>
      </c>
      <c r="E6" s="29" t="str">
        <f>CONCATENATE("Title: ##34#",C6,"##34#")</f>
        <v>Title: ##34#eHN Lab Recipient model to FHIR R4 Map##34#</v>
      </c>
      <c r="G6" s="1"/>
      <c r="H6" s="10"/>
      <c r="I6" s="10"/>
      <c r="J6" s="10"/>
      <c r="K6" s="10"/>
      <c r="L6" s="10"/>
      <c r="M6" s="10"/>
      <c r="N6" s="10"/>
      <c r="O6" s="10"/>
    </row>
    <row r="7" spans="1:15" ht="15.5" thickBot="1" x14ac:dyDescent="0.9">
      <c r="B7" s="13" t="s">
        <v>35</v>
      </c>
      <c r="C7" s="11" t="str">
        <f>B9</f>
        <v>Recipient</v>
      </c>
      <c r="E7" s="29" t="str">
        <f>CONCATENATE("Source: ",C7)</f>
        <v>Source: Recipient</v>
      </c>
      <c r="G7" s="1"/>
      <c r="H7" s="10"/>
      <c r="I7" s="10"/>
      <c r="J7" s="10"/>
      <c r="K7" s="10"/>
      <c r="L7" s="10"/>
      <c r="M7" s="10"/>
      <c r="N7" s="10"/>
      <c r="O7" s="10"/>
    </row>
    <row r="8" spans="1:15" ht="15.5" thickBot="1" x14ac:dyDescent="0.9">
      <c r="B8" s="27" t="s">
        <v>18</v>
      </c>
      <c r="C8" t="s">
        <v>15</v>
      </c>
      <c r="E8" s="30" t="str">
        <f>CONCATENATE("Target: ##34#",C8,"##34#")</f>
        <v>Target: ##34#hl7.org/fhir/r4##34#</v>
      </c>
      <c r="G8" s="1"/>
      <c r="H8" s="10"/>
      <c r="I8" s="10"/>
      <c r="J8" s="10"/>
      <c r="K8" s="10"/>
      <c r="L8" s="10"/>
      <c r="M8" s="10"/>
      <c r="N8" s="10"/>
      <c r="O8" s="10"/>
    </row>
    <row r="9" spans="1:15" x14ac:dyDescent="0.75">
      <c r="A9" s="9"/>
      <c r="B9" s="9" t="str">
        <f>'A1.4 Recipient'!$B$5</f>
        <v>Recipient</v>
      </c>
      <c r="C9" s="8" t="s">
        <v>370</v>
      </c>
      <c r="E9" s="4" t="str">
        <f>CONCATENATE("* -&gt; ##34#",C9,"##34#")</f>
        <v>* -&gt; ##34#Organization##34#</v>
      </c>
      <c r="H9" s="10"/>
      <c r="I9" s="10"/>
      <c r="J9" s="10"/>
      <c r="K9" s="10"/>
      <c r="L9" s="10"/>
      <c r="M9" s="10"/>
      <c r="N9" s="10"/>
      <c r="O9" s="10"/>
    </row>
    <row r="10" spans="1:15" x14ac:dyDescent="0.75">
      <c r="A10" s="9"/>
      <c r="B10" s="9" t="str">
        <f>'A1.4 Recipient'!$B$5</f>
        <v>Recipient</v>
      </c>
      <c r="C10" s="8" t="s">
        <v>576</v>
      </c>
      <c r="E10" s="4" t="str">
        <f t="shared" ref="E10:E13" si="0">CONCATENATE("* -&gt; ##34#",C10,"##34#")</f>
        <v>* -&gt; ##34#PractictionerRole##34#</v>
      </c>
      <c r="H10" s="10"/>
      <c r="I10" s="10"/>
      <c r="J10" s="10"/>
      <c r="K10" s="10"/>
      <c r="L10" s="10"/>
      <c r="M10" s="10"/>
      <c r="N10" s="10"/>
      <c r="O10" s="10"/>
    </row>
    <row r="11" spans="1:15" x14ac:dyDescent="0.75">
      <c r="A11" s="9"/>
      <c r="B11" s="9" t="str">
        <f>'A1.4 Recipient'!$B$5</f>
        <v>Recipient</v>
      </c>
      <c r="C11" s="8" t="s">
        <v>575</v>
      </c>
      <c r="E11" s="4" t="str">
        <f t="shared" si="0"/>
        <v>* -&gt; ##34#Practictioner##34#</v>
      </c>
      <c r="H11" s="10"/>
      <c r="I11" s="10"/>
      <c r="J11" s="10"/>
      <c r="K11" s="10"/>
      <c r="L11" s="10"/>
      <c r="M11" s="10"/>
      <c r="N11" s="10"/>
      <c r="O11" s="10"/>
    </row>
    <row r="12" spans="1:15" x14ac:dyDescent="0.75">
      <c r="A12" s="9"/>
      <c r="B12" s="9" t="str">
        <f>'A1.4 Recipient'!$B$5</f>
        <v>Recipient</v>
      </c>
      <c r="C12" s="8" t="s">
        <v>17</v>
      </c>
      <c r="E12" s="4" t="str">
        <f t="shared" si="0"/>
        <v>* -&gt; ##34#Patient##34#</v>
      </c>
      <c r="H12" s="10"/>
      <c r="I12" s="10"/>
      <c r="J12" s="10"/>
      <c r="K12" s="10"/>
      <c r="L12" s="10"/>
      <c r="M12" s="10"/>
      <c r="N12" s="10"/>
      <c r="O12" s="10"/>
    </row>
    <row r="13" spans="1:15" x14ac:dyDescent="0.75">
      <c r="A13" s="9"/>
      <c r="B13" s="9" t="str">
        <f>'A1.4 Recipient'!$B$5</f>
        <v>Recipient</v>
      </c>
      <c r="C13" s="8" t="s">
        <v>578</v>
      </c>
      <c r="E13" s="4" t="str">
        <f t="shared" si="0"/>
        <v>* -&gt; ##34#RelatedPerson##34#</v>
      </c>
      <c r="H13" s="10"/>
      <c r="I13" s="10"/>
      <c r="J13" s="10"/>
      <c r="K13" s="10"/>
      <c r="L13" s="10"/>
      <c r="M13" s="10"/>
      <c r="N13" s="10"/>
      <c r="O13" s="10"/>
    </row>
    <row r="14" spans="1:15" x14ac:dyDescent="0.75">
      <c r="A14" s="9"/>
      <c r="B14" s="9" t="str">
        <f>'A1.4 Recipient'!B8</f>
        <v>identifier</v>
      </c>
      <c r="C14" s="9" t="s">
        <v>577</v>
      </c>
      <c r="E14" s="14" t="str">
        <f t="shared" ref="E14:E20" si="1">IF(B14=0,"*  -&gt; ##34###34#",CONCATENATE("* ",B14," -&gt; ##34#",C14,"##34#"))</f>
        <v>* identifier -&gt; ##34#.identifier##34#</v>
      </c>
      <c r="G14" s="1"/>
      <c r="H14" s="10"/>
      <c r="I14" s="10"/>
      <c r="J14" s="10"/>
      <c r="K14" s="10"/>
      <c r="L14" s="10"/>
      <c r="M14" s="10"/>
      <c r="N14" s="10"/>
      <c r="O14" s="10"/>
    </row>
    <row r="15" spans="1:15" x14ac:dyDescent="0.75">
      <c r="A15" s="9"/>
      <c r="B15" s="9" t="str">
        <f>'A1.4 Recipient'!$B$9</f>
        <v>name</v>
      </c>
      <c r="C15" s="8" t="s">
        <v>579</v>
      </c>
      <c r="E15" s="14" t="str">
        <f t="shared" si="1"/>
        <v>* name -&gt; ##34#Organization.name##34#</v>
      </c>
      <c r="G15" s="1"/>
      <c r="H15" s="10"/>
      <c r="I15" s="10"/>
      <c r="J15" s="10"/>
      <c r="K15" s="10"/>
      <c r="L15" s="10"/>
      <c r="M15" s="10"/>
      <c r="N15" s="10"/>
      <c r="O15" s="10"/>
    </row>
    <row r="16" spans="1:15" x14ac:dyDescent="0.75">
      <c r="A16" s="9"/>
      <c r="B16" s="9" t="str">
        <f>'A1.4 Recipient'!$B$9</f>
        <v>name</v>
      </c>
      <c r="C16" s="8" t="s">
        <v>583</v>
      </c>
      <c r="E16" s="14" t="str">
        <f t="shared" si="1"/>
        <v>* name -&gt; ##34#PractictionerRole.practitioner.resolve().name##34#</v>
      </c>
      <c r="G16" s="1"/>
      <c r="H16" s="10"/>
      <c r="I16" s="10"/>
      <c r="J16" s="10"/>
      <c r="K16" s="10"/>
      <c r="L16" s="10"/>
      <c r="M16" s="10"/>
      <c r="N16" s="10"/>
      <c r="O16" s="10"/>
    </row>
    <row r="17" spans="1:15" x14ac:dyDescent="0.75">
      <c r="A17" s="9"/>
      <c r="B17" s="9" t="str">
        <f>'A1.4 Recipient'!$B$9</f>
        <v>name</v>
      </c>
      <c r="C17" s="8" t="s">
        <v>582</v>
      </c>
      <c r="E17" s="14" t="str">
        <f t="shared" si="1"/>
        <v>* name -&gt; ##34#Practictioner.name##34#</v>
      </c>
      <c r="G17" s="1"/>
      <c r="H17" s="10"/>
      <c r="I17" s="10"/>
      <c r="J17" s="10"/>
      <c r="K17" s="10"/>
      <c r="L17" s="10"/>
      <c r="M17" s="10"/>
      <c r="N17" s="10"/>
      <c r="O17" s="10"/>
    </row>
    <row r="18" spans="1:15" x14ac:dyDescent="0.75">
      <c r="A18" s="9"/>
      <c r="B18" s="9" t="str">
        <f>'A1.4 Recipient'!$B$9</f>
        <v>name</v>
      </c>
      <c r="C18" s="8" t="s">
        <v>580</v>
      </c>
      <c r="E18" s="14" t="str">
        <f t="shared" si="1"/>
        <v>* name -&gt; ##34#Patientn.name##34#</v>
      </c>
      <c r="G18" s="1"/>
      <c r="H18" s="10"/>
      <c r="I18" s="10"/>
      <c r="J18" s="10"/>
      <c r="K18" s="10"/>
      <c r="L18" s="10"/>
      <c r="M18" s="10"/>
      <c r="N18" s="10"/>
      <c r="O18" s="10"/>
    </row>
    <row r="19" spans="1:15" x14ac:dyDescent="0.75">
      <c r="A19" s="9"/>
      <c r="B19" s="9" t="str">
        <f>'A1.4 Recipient'!$B$9</f>
        <v>name</v>
      </c>
      <c r="C19" s="8" t="s">
        <v>581</v>
      </c>
      <c r="E19" s="14" t="str">
        <f t="shared" si="1"/>
        <v>* name -&gt; ##34#RelatedPerson.name##34#</v>
      </c>
      <c r="G19" s="1"/>
      <c r="H19" s="10"/>
      <c r="I19" s="10"/>
      <c r="J19" s="10"/>
      <c r="K19" s="10"/>
      <c r="L19" s="10"/>
      <c r="M19" s="10"/>
      <c r="N19" s="10"/>
      <c r="O19" s="10"/>
    </row>
    <row r="20" spans="1:15" x14ac:dyDescent="0.75">
      <c r="A20" s="9"/>
      <c r="B20" s="9" t="str">
        <f>'A1.4 Recipient'!B10</f>
        <v>organization</v>
      </c>
      <c r="C20" s="8" t="s">
        <v>584</v>
      </c>
      <c r="E20" s="14" t="str">
        <f t="shared" si="1"/>
        <v>* organization -&gt; ##34#PractictionerRole.organization.resolve()##34#</v>
      </c>
      <c r="G20" s="1"/>
      <c r="H20" s="10"/>
      <c r="I20" s="10"/>
      <c r="J20" s="10"/>
      <c r="K20" s="10"/>
      <c r="L20" s="10"/>
      <c r="M20" s="10"/>
      <c r="N20" s="10"/>
      <c r="O20" s="10"/>
    </row>
    <row r="21" spans="1:15" x14ac:dyDescent="0.75">
      <c r="A21" s="9"/>
      <c r="B21" s="9">
        <f>'A1.4 Recipient'!B11</f>
        <v>0</v>
      </c>
      <c r="C21" s="9"/>
      <c r="E21" s="14" t="str">
        <f>IF(B21=0,"*  -&gt; ##34###34#",CONCATENATE("* ",B21," -&gt; ##34#",C21,"##34#"))</f>
        <v>*  -&gt; ##34###34#</v>
      </c>
      <c r="G21" s="1"/>
      <c r="H21" s="10"/>
      <c r="I21" s="10"/>
      <c r="J21" s="10"/>
      <c r="K21" s="10"/>
      <c r="L21" s="10"/>
      <c r="M21" s="10"/>
      <c r="N21" s="10"/>
      <c r="O21" s="10"/>
    </row>
    <row r="22" spans="1:15" x14ac:dyDescent="0.75">
      <c r="A22" s="9"/>
      <c r="B22" s="9">
        <f>'A1.4 Recipient'!B12</f>
        <v>0</v>
      </c>
      <c r="C22" s="9"/>
      <c r="E22" s="14" t="str">
        <f>IF(B22=0,"*  -&gt; ##34###34#",CONCATENATE("* ",B22," -&gt; ##34#",C22,"##34#"))</f>
        <v>*  -&gt; ##34###34#</v>
      </c>
      <c r="G22" s="1"/>
      <c r="H22" s="10"/>
      <c r="I22" s="10"/>
      <c r="J22" s="10"/>
      <c r="K22" s="10"/>
      <c r="L22" s="10"/>
      <c r="M22" s="10"/>
      <c r="N22" s="10"/>
      <c r="O22" s="10"/>
    </row>
    <row r="23" spans="1:15" x14ac:dyDescent="0.75">
      <c r="A23" s="9"/>
      <c r="B23" s="9">
        <f>'A1.4 Recipient'!B13</f>
        <v>0</v>
      </c>
      <c r="C23" s="9"/>
      <c r="E23" s="14" t="str">
        <f t="shared" ref="E23:E26" si="2">IF(B23=0,"*  -&gt; ##34###34#",CONCATENATE("* ",B23," -&gt; ##34#",C23,"##34#"))</f>
        <v>*  -&gt; ##34###34#</v>
      </c>
      <c r="G23" s="1"/>
      <c r="H23" s="10"/>
      <c r="I23" s="10"/>
      <c r="J23" s="10"/>
      <c r="K23" s="10"/>
      <c r="L23" s="10"/>
      <c r="M23" s="10"/>
      <c r="N23" s="10"/>
      <c r="O23" s="10"/>
    </row>
    <row r="24" spans="1:15" x14ac:dyDescent="0.75">
      <c r="A24" s="9"/>
      <c r="B24" s="9"/>
      <c r="C24" s="9"/>
      <c r="E24" s="14" t="str">
        <f t="shared" si="2"/>
        <v>*  -&gt; ##34###34#</v>
      </c>
      <c r="G24" s="1"/>
      <c r="H24" s="10"/>
      <c r="I24" s="10"/>
      <c r="J24" s="10"/>
      <c r="K24" s="10"/>
      <c r="L24" s="10"/>
      <c r="M24" s="10"/>
      <c r="N24" s="10"/>
      <c r="O24" s="10"/>
    </row>
    <row r="25" spans="1:15" x14ac:dyDescent="0.75">
      <c r="A25" s="9"/>
      <c r="B25" s="9"/>
      <c r="C25" s="9"/>
      <c r="E25" s="14" t="str">
        <f t="shared" si="2"/>
        <v>*  -&gt; ##34###34#</v>
      </c>
      <c r="G25" s="1"/>
    </row>
    <row r="26" spans="1:15" x14ac:dyDescent="0.75">
      <c r="A26" s="9"/>
      <c r="B26" s="9"/>
      <c r="C26" s="9"/>
      <c r="E26" s="14" t="str">
        <f t="shared" si="2"/>
        <v>*  -&gt; ##34###34#</v>
      </c>
      <c r="G26" s="1"/>
    </row>
    <row r="27" spans="1:15" x14ac:dyDescent="0.75">
      <c r="A27" s="9"/>
      <c r="B27" s="9"/>
      <c r="C27" s="9"/>
      <c r="E27" s="14"/>
    </row>
    <row r="28" spans="1:15" x14ac:dyDescent="0.75">
      <c r="A28" s="9"/>
      <c r="B28" s="9"/>
      <c r="C28" s="14"/>
      <c r="E28" s="14"/>
    </row>
    <row r="29" spans="1:15" x14ac:dyDescent="0.75">
      <c r="B29" s="9"/>
      <c r="E29" s="14"/>
    </row>
    <row r="30" spans="1:15" x14ac:dyDescent="0.75">
      <c r="B30" s="9"/>
      <c r="E30" s="14"/>
    </row>
    <row r="31" spans="1:15" x14ac:dyDescent="0.75">
      <c r="E31" s="14"/>
    </row>
    <row r="32" spans="1:15" x14ac:dyDescent="0.75">
      <c r="E32" s="2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28E98F-B3D5-48B3-B87F-32B29384DA97}">
  <sheetPr codeName="Foglio9">
    <tabColor theme="8" tint="-0.249977111117893"/>
  </sheetPr>
  <dimension ref="C1:G53"/>
  <sheetViews>
    <sheetView workbookViewId="0">
      <selection activeCell="G51" sqref="G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'A1.4 Recipient'!I1</f>
        <v>// -------------------------------------------------------------------------------</v>
      </c>
    </row>
    <row r="2" spans="3:7" ht="16.75" thickBot="1" x14ac:dyDescent="0.9">
      <c r="C2" s="33" t="str">
        <f>'A1.4 Recipient'!I2</f>
        <v>//  Logical Model</v>
      </c>
      <c r="G2" s="56" t="s">
        <v>373</v>
      </c>
    </row>
    <row r="3" spans="3:7" x14ac:dyDescent="0.75">
      <c r="C3" s="33" t="str">
        <f>'A1.4 Recipient'!I3</f>
        <v>// -------------------------------------------------------------------------------</v>
      </c>
    </row>
    <row r="4" spans="3:7" x14ac:dyDescent="0.75">
      <c r="C4" s="25" t="str">
        <f>'A1.4 Recipient'!I4</f>
        <v>Logical: RecipientLabEhn</v>
      </c>
    </row>
    <row r="5" spans="3:7" x14ac:dyDescent="0.75">
      <c r="C5" s="25" t="str">
        <f>'A1.4 Recipient'!I5</f>
        <v>Id: Recipient</v>
      </c>
    </row>
    <row r="6" spans="3:7" x14ac:dyDescent="0.75">
      <c r="C6" s="25" t="str">
        <f>'A1.4 Recipient'!I6</f>
        <v>Title: ##34#Information recipient (A.1.4)##34#</v>
      </c>
    </row>
    <row r="7" spans="3:7" ht="29.5" x14ac:dyDescent="0.75">
      <c r="C7" s="25" t="str">
        <f>'A1.4 Recipient'!I7</f>
        <v>Description:  ##334#A.1.4 Information recipient (intended recipient or recipients of the report, additional recipients might be identified by the ordering party, e.g. GP, other specialist), if applicable##334#</v>
      </c>
    </row>
    <row r="8" spans="3:7" ht="59" x14ac:dyDescent="0.75">
      <c r="C8" s="14" t="str">
        <f>IF('A1.4 Recipient'!I8="*  ..  ##34###34# ##334###334#","//--- END",'A1.4 Recipient'!I8)</f>
        <v>* identifier 0..1 Identifier ##34#A.1.4.1 Recipient identifier##34# ##334#The health professional identification number.
Either an internal identifier assigned by a healthcare provider institution or (preferably) a national health professional ID such as the license or registration number.
In case when recipient is not a health professional, e.g. patient, appropriate personal identifier should be used.##334#</v>
      </c>
    </row>
    <row r="9" spans="3:7" ht="29.5" x14ac:dyDescent="0.75">
      <c r="C9" s="14" t="str">
        <f>IF('A1.4 Recipient'!I9="*  ..  ##34###34# ##334###334#","//--- END",'A1.4 Recipient'!I9)</f>
        <v>* name 0..* HumanName ##34#A.1.4.2 Recipient name##34# ##334#Person name.##334#</v>
      </c>
    </row>
    <row r="10" spans="3:7" ht="29.5" x14ac:dyDescent="0.75">
      <c r="C10" s="14" t="str">
        <f>IF('A1.4 Recipient'!I10="*  ..  ##34###34# ##334###334#","//--- END",'A1.4 Recipient'!I10)</f>
        <v>* organization 0..* Organization ##34#A.1.4.3 Recipient organization##34# ##334#The healthcare provider organization information.##334#</v>
      </c>
      <c r="E10" t="s">
        <v>307</v>
      </c>
    </row>
    <row r="11" spans="3:7" x14ac:dyDescent="0.75">
      <c r="C11" s="14" t="str">
        <f>IF('A1.4 Recipient'!I11="*  ..  ##34###34# ##334###334#","//--- END",'A1.4 Recipient'!I11)</f>
        <v>//--- END</v>
      </c>
    </row>
    <row r="12" spans="3:7" x14ac:dyDescent="0.75">
      <c r="C12" s="14" t="str">
        <f>IF('A1.4 Recipient'!I12="*  ..  ##34###34# ##334###334#","//--- END",'A1.4 Recipient'!I12)</f>
        <v>//--- END</v>
      </c>
    </row>
    <row r="13" spans="3:7" x14ac:dyDescent="0.75">
      <c r="C13" s="14" t="str">
        <f>IF('A1.4 Recipient'!I13="*  ..  ##34###34# ##334###334#","//--- END",'A1.4 Recipient'!I13)</f>
        <v>//--- END</v>
      </c>
    </row>
    <row r="14" spans="3:7" x14ac:dyDescent="0.75">
      <c r="C14" s="14" t="str">
        <f>IF('A1.4 Recipient'!I14="*  ..  ##34###34# ##334###334#","//--- END",'A1.4 Recipient'!I14)</f>
        <v>//--- END</v>
      </c>
    </row>
    <row r="30" spans="3:3" x14ac:dyDescent="0.75">
      <c r="C30" s="32" t="str">
        <f>'Recipient-Map-1'!E1</f>
        <v>// -------------------------------------------------------------------------------</v>
      </c>
    </row>
    <row r="31" spans="3:3" x14ac:dyDescent="0.75">
      <c r="C31" s="33" t="str">
        <f>'Recipient-Map-1'!E2</f>
        <v>//  Map to FHIR R4</v>
      </c>
    </row>
    <row r="32" spans="3:3" x14ac:dyDescent="0.75">
      <c r="C32" s="33" t="str">
        <f>'Recipient-Map-1'!E3</f>
        <v>// -------------------------------------------------------------------------------</v>
      </c>
    </row>
    <row r="33" spans="3:7" x14ac:dyDescent="0.75">
      <c r="C33" s="14" t="str">
        <f>'Recipient-Map-1'!E4</f>
        <v>Mapping: eHNLabRecipient2Fhir</v>
      </c>
    </row>
    <row r="34" spans="3:7" x14ac:dyDescent="0.75">
      <c r="C34" s="14" t="str">
        <f>'Recipient-Map-1'!E5</f>
        <v>Id: fhir</v>
      </c>
    </row>
    <row r="35" spans="3:7" x14ac:dyDescent="0.75">
      <c r="C35" s="14" t="str">
        <f>'Recipient-Map-1'!E6</f>
        <v>Title: ##34#eHN Lab Recipient model to FHIR R4 Map##34#</v>
      </c>
    </row>
    <row r="36" spans="3:7" x14ac:dyDescent="0.75">
      <c r="C36" s="14" t="str">
        <f>'Recipient-Map-1'!E7</f>
        <v>Source: Recipient</v>
      </c>
    </row>
    <row r="37" spans="3:7" x14ac:dyDescent="0.75">
      <c r="C37" s="14" t="str">
        <f>'Recipient-Map-1'!E8</f>
        <v>Target: ##34#hl7.org/fhir/r4##34#</v>
      </c>
    </row>
    <row r="39" spans="3:7" x14ac:dyDescent="0.75">
      <c r="C39" s="14" t="str">
        <f>IF('Recipient-Map-1'!E9="*  -&gt; ##34###34#","// --END",'Recipient-Map-1'!E9)</f>
        <v>* -&gt; ##34#Organization##34#</v>
      </c>
    </row>
    <row r="40" spans="3:7" x14ac:dyDescent="0.75">
      <c r="C40" s="14" t="str">
        <f>IF('Recipient-Map-1'!E10="*  -&gt; ##34###34#","// --END",'Recipient-Map-1'!E10)</f>
        <v>* -&gt; ##34#PractictionerRole##34#</v>
      </c>
    </row>
    <row r="41" spans="3:7" x14ac:dyDescent="0.75">
      <c r="C41" s="14" t="str">
        <f>IF('Recipient-Map-1'!E11="*  -&gt; ##34###34#","// --END",'Recipient-Map-1'!E11)</f>
        <v>* -&gt; ##34#Practictioner##34#</v>
      </c>
    </row>
    <row r="42" spans="3:7" x14ac:dyDescent="0.75">
      <c r="C42" s="14" t="str">
        <f>IF('Recipient-Map-1'!E12="*  -&gt; ##34###34#","// --END",'Recipient-Map-1'!E12)</f>
        <v>* -&gt; ##34#Patient##34#</v>
      </c>
    </row>
    <row r="43" spans="3:7" x14ac:dyDescent="0.75">
      <c r="C43" s="14" t="str">
        <f>IF('Recipient-Map-1'!E13="*  -&gt; ##34###34#","// --END",'Recipient-Map-1'!E13)</f>
        <v>* -&gt; ##34#RelatedPerson##34#</v>
      </c>
    </row>
    <row r="44" spans="3:7" x14ac:dyDescent="0.75">
      <c r="C44" s="14" t="str">
        <f>IF('Recipient-Map-1'!E14="*  -&gt; ##34###34#","// --END",'Recipient-Map-1'!E14)</f>
        <v>* identifier -&gt; ##34#.identifier##34#</v>
      </c>
    </row>
    <row r="45" spans="3:7" x14ac:dyDescent="0.75">
      <c r="C45" s="14" t="str">
        <f>IF('Recipient-Map-1'!E15="*  -&gt; ##34###34#","// --END",'Recipient-Map-1'!E15)</f>
        <v>* name -&gt; ##34#Organization.name##34#</v>
      </c>
    </row>
    <row r="46" spans="3:7" x14ac:dyDescent="0.75">
      <c r="C46" s="14" t="str">
        <f>IF('Recipient-Map-1'!E16="*  -&gt; ##34###34#","// --END",'Recipient-Map-1'!E16)</f>
        <v>* name -&gt; ##34#PractictionerRole.practitioner.resolve().name##34#</v>
      </c>
    </row>
    <row r="47" spans="3:7" x14ac:dyDescent="0.75">
      <c r="C47" s="14" t="str">
        <f>IF('Recipient-Map-1'!E17="*  -&gt; ##34###34#","// --END",'Recipient-Map-1'!E17)</f>
        <v>* name -&gt; ##34#Practictioner.name##34#</v>
      </c>
    </row>
    <row r="48" spans="3:7" x14ac:dyDescent="0.75">
      <c r="C48" s="14" t="str">
        <f>IF('Recipient-Map-1'!E18="*  -&gt; ##34###34#","// --END",'Recipient-Map-1'!E18)</f>
        <v>* name -&gt; ##34#Patientn.name##34#</v>
      </c>
      <c r="G48" s="10"/>
    </row>
    <row r="49" spans="3:3" x14ac:dyDescent="0.75">
      <c r="C49" s="14" t="str">
        <f>IF('Recipient-Map-1'!E19="*  -&gt; ##34###34#","// --END",'Recipient-Map-1'!E19)</f>
        <v>* name -&gt; ##34#RelatedPerson.name##34#</v>
      </c>
    </row>
    <row r="50" spans="3:3" x14ac:dyDescent="0.75">
      <c r="C50" s="14" t="str">
        <f>IF('Recipient-Map-1'!E20="*  -&gt; ##34###34#","// --END",'Recipient-Map-1'!E20)</f>
        <v>* organization -&gt; ##34#PractictionerRole.organization.resolve()##34#</v>
      </c>
    </row>
    <row r="51" spans="3:3" x14ac:dyDescent="0.75">
      <c r="C51" s="14" t="str">
        <f>IF('Recipient-Map-1'!E21="*  -&gt; ##34###34#","// --END",'Recipient-Map-1'!E21)</f>
        <v>// --END</v>
      </c>
    </row>
    <row r="52" spans="3:3" x14ac:dyDescent="0.75">
      <c r="C52" s="14" t="str">
        <f>IF('Recipient-Map-1'!E22="*  -&gt; ##34###34#","// --END",'Recipient-Map-1'!E22)</f>
        <v>// --END</v>
      </c>
    </row>
    <row r="53" spans="3:3" x14ac:dyDescent="0.75">
      <c r="C53" s="14" t="str">
        <f>IF('Recipient-Map-1'!E23="*  -&gt; ##34###34#","// --END",'Recipient-Map-1'!E23)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017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DD654-6228-4634-B11A-A018FBC56A4C}">
  <sheetPr codeName="Foglio36">
    <tabColor theme="7" tint="0.39997558519241921"/>
  </sheetPr>
  <dimension ref="A1:L29"/>
  <sheetViews>
    <sheetView workbookViewId="0">
      <selection activeCell="D8" sqref="D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410</v>
      </c>
      <c r="I4" s="25" t="str">
        <f>CONCATENATE("Logical: ",B4)</f>
        <v>Logical: AuthorLabEhn</v>
      </c>
    </row>
    <row r="5" spans="1:11" x14ac:dyDescent="0.75">
      <c r="A5" s="18" t="s">
        <v>19</v>
      </c>
      <c r="B5" s="34" t="s">
        <v>411</v>
      </c>
      <c r="I5" s="25" t="str">
        <f>CONCATENATE("Id: ",B5)</f>
        <v>Id: Author</v>
      </c>
    </row>
    <row r="6" spans="1:11" x14ac:dyDescent="0.75">
      <c r="A6" s="18" t="s">
        <v>13</v>
      </c>
      <c r="B6" s="19" t="s">
        <v>435</v>
      </c>
      <c r="I6" s="26" t="str">
        <f>CONCATENATE("Title: ##34#",B6,"##34#")</f>
        <v>Title: ##34#Author (A.1.5)##34#</v>
      </c>
    </row>
    <row r="7" spans="1:11" ht="45" customHeight="1" x14ac:dyDescent="0.75">
      <c r="A7" s="46" t="s">
        <v>5</v>
      </c>
      <c r="B7" s="58" t="s">
        <v>93</v>
      </c>
      <c r="C7" s="12"/>
      <c r="D7" s="2"/>
      <c r="E7" s="57"/>
      <c r="F7" s="3" t="s">
        <v>9</v>
      </c>
      <c r="G7" s="3" t="s">
        <v>10</v>
      </c>
      <c r="I7" s="26" t="str">
        <f>CONCATENATE("Description: "," ##334#",B7,"##334#",)</f>
        <v>Description:  ##334#A.1.5 Author (by whom the Laboratory result report or a subset of its results was authored)##334#</v>
      </c>
    </row>
    <row r="8" spans="1:11" ht="74.5" customHeight="1" x14ac:dyDescent="0.75">
      <c r="A8" s="9">
        <v>1</v>
      </c>
      <c r="B8" s="9" t="s">
        <v>367</v>
      </c>
      <c r="C8" s="9" t="s">
        <v>403</v>
      </c>
      <c r="D8" s="14" t="s">
        <v>538</v>
      </c>
      <c r="E8" s="9">
        <v>0</v>
      </c>
      <c r="F8" s="9">
        <v>1</v>
      </c>
      <c r="G8" s="9" t="s">
        <v>0</v>
      </c>
      <c r="H8" s="23"/>
      <c r="I8" s="14" t="str">
        <f>CONCATENATE("* ",B8, " ",E8,"..",F8," ",G8," ##34#",C8,"##34# ##334#",D8,"##334#")</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404</v>
      </c>
      <c r="D9" s="14" t="s">
        <v>405</v>
      </c>
      <c r="E9" s="9">
        <v>0</v>
      </c>
      <c r="F9" s="9" t="s">
        <v>11</v>
      </c>
      <c r="G9" s="9" t="s">
        <v>414</v>
      </c>
      <c r="H9" s="23"/>
      <c r="I9" s="14" t="str">
        <f t="shared" ref="I9:I14" si="0">CONCATENATE("* ",B9, " ",E9,"..",F9," ",G9," ##34#",C9,"##34# ##334#",D9,"##334#")</f>
        <v>* name 0..* HumanName ##34#A.1.5.2 Author name##34# ##334#Person or device name. - Preferred system(s): ##334#</v>
      </c>
    </row>
    <row r="10" spans="1:11" ht="30.25" customHeight="1" x14ac:dyDescent="0.75">
      <c r="A10" s="9">
        <v>3</v>
      </c>
      <c r="B10" s="9" t="s">
        <v>369</v>
      </c>
      <c r="C10" s="9" t="s">
        <v>537</v>
      </c>
      <c r="D10" s="14" t="s">
        <v>386</v>
      </c>
      <c r="E10" s="9">
        <v>0</v>
      </c>
      <c r="F10" s="9" t="s">
        <v>11</v>
      </c>
      <c r="G10" s="9" t="s">
        <v>370</v>
      </c>
      <c r="H10" s="23"/>
      <c r="I10" s="14" t="str">
        <f t="shared" si="0"/>
        <v>* organization 0..* Organization ##34#A.1.5.3 Author organization##34# ##334#The healthcare provider organization information. - Preferred system(s): ##334#</v>
      </c>
    </row>
    <row r="11" spans="1:11" ht="45" customHeight="1" x14ac:dyDescent="0.75">
      <c r="A11" s="59">
        <v>4</v>
      </c>
      <c r="B11" s="59"/>
      <c r="D11" s="60"/>
      <c r="E11" s="59"/>
      <c r="F11" s="59"/>
      <c r="G11" s="59"/>
      <c r="H11" s="23"/>
      <c r="I11" s="14" t="str">
        <f t="shared" si="0"/>
        <v>*  ..  ##34###34# ##334###334#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68" t="s">
        <v>93</v>
      </c>
      <c r="D26" s="69"/>
      <c r="E26" s="69"/>
      <c r="F26" s="70"/>
    </row>
    <row r="27" spans="2:9" ht="409.6" thickBot="1" x14ac:dyDescent="0.9">
      <c r="B27" t="str">
        <f t="shared" ref="B27:B29" si="2">CONCATENATE(C27," ",D27)</f>
        <v>A.1.5.1 Author identifier</v>
      </c>
      <c r="C27" s="36" t="s">
        <v>94</v>
      </c>
      <c r="D27" s="37" t="s">
        <v>95</v>
      </c>
      <c r="E27" s="37" t="s">
        <v>539</v>
      </c>
      <c r="F27" s="42"/>
      <c r="I27" s="1" t="str">
        <f t="shared" ref="I27:I29" si="3">CONCATENATE(E27," - Preferred system(s): ",F27)</f>
        <v xml:space="preserve">The health professional or authoring device identification number. Either an internal identifier assigned by a healthcare provider institution or (preferably) a national health professional ID such as the license or registration number.  - Preferred system(s): </v>
      </c>
    </row>
    <row r="28" spans="2:9" ht="48.75" thickBot="1" x14ac:dyDescent="0.9">
      <c r="B28" t="str">
        <f t="shared" si="2"/>
        <v>A.1.5.2 Author name</v>
      </c>
      <c r="C28" s="36" t="s">
        <v>97</v>
      </c>
      <c r="D28" s="37" t="s">
        <v>98</v>
      </c>
      <c r="E28" s="37" t="s">
        <v>99</v>
      </c>
      <c r="F28" s="42"/>
      <c r="I28" s="1" t="str">
        <f t="shared" si="3"/>
        <v xml:space="preserve">Person or device name. - Preferred system(s): </v>
      </c>
    </row>
    <row r="29" spans="2:9" ht="112.75" thickBot="1" x14ac:dyDescent="0.9">
      <c r="B29" t="str">
        <f t="shared" si="2"/>
        <v xml:space="preserve">A.1.5.3 Author organization </v>
      </c>
      <c r="C29" s="36" t="s">
        <v>100</v>
      </c>
      <c r="D29" s="37" t="s">
        <v>540</v>
      </c>
      <c r="E29" s="37" t="s">
        <v>92</v>
      </c>
      <c r="F29" s="42"/>
      <c r="I29" s="1" t="str">
        <f t="shared" si="3"/>
        <v xml:space="preserve">The healthcare provider organization information. - Preferred system(s): </v>
      </c>
    </row>
  </sheetData>
  <mergeCells count="1">
    <mergeCell ref="C26:F26"/>
  </mergeCell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A78C68-4D08-4DF9-931B-E8C6BAC0DAB1}">
  <sheetPr codeName="Foglio37"/>
  <dimension ref="A1:O25"/>
  <sheetViews>
    <sheetView workbookViewId="0">
      <selection activeCell="C10" sqref="C10:C13"/>
    </sheetView>
  </sheetViews>
  <sheetFormatPr defaultRowHeight="14.75" x14ac:dyDescent="0.75"/>
  <cols>
    <col min="2" max="2" width="31.6796875" bestFit="1" customWidth="1"/>
    <col min="3" max="3" width="74.86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412</v>
      </c>
      <c r="E4" s="28" t="str">
        <f>CONCATENATE("Mapping: ",C4)</f>
        <v>Mapping: eHNLabAuthor2Fhir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413</v>
      </c>
      <c r="E6" s="29" t="str">
        <f>CONCATENATE("Title: ##34#",C6,"##34#")</f>
        <v>Title: ##34#eHN Lab Author model to FHIR R4 Map##34#</v>
      </c>
      <c r="G6" s="1" t="s">
        <v>22</v>
      </c>
      <c r="H6" s="10"/>
      <c r="I6" s="10"/>
      <c r="J6" s="10"/>
      <c r="K6" s="10"/>
      <c r="L6" s="10"/>
      <c r="M6" s="10"/>
      <c r="N6" s="10"/>
      <c r="O6" s="10"/>
    </row>
    <row r="7" spans="1:15" ht="15.5" thickBot="1" x14ac:dyDescent="0.9">
      <c r="B7" s="13" t="s">
        <v>35</v>
      </c>
      <c r="C7" s="11" t="str">
        <f>B9</f>
        <v>Author</v>
      </c>
      <c r="E7" s="29" t="str">
        <f>CONCATENATE("Source: ",C7)</f>
        <v>Source: Author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9" t="str">
        <f>'A1.5 Author'!B5</f>
        <v>Author</v>
      </c>
      <c r="C9" s="8" t="s">
        <v>585</v>
      </c>
      <c r="E9" s="4" t="str">
        <f>CONCATENATE("* -&gt; ##34#",C9,"##34#")</f>
        <v>* -&gt; ##34#Composition.author.resolve()##34#</v>
      </c>
      <c r="H9" s="10"/>
      <c r="I9" s="10"/>
      <c r="J9" s="10"/>
      <c r="K9" s="10"/>
      <c r="L9" s="10"/>
      <c r="M9" s="10"/>
      <c r="N9" s="10"/>
      <c r="O9" s="10"/>
    </row>
    <row r="10" spans="1:15" ht="44.25" x14ac:dyDescent="0.75">
      <c r="A10" s="9"/>
      <c r="B10" s="62" t="str">
        <f>'A1.5 Author'!$B$8</f>
        <v>identifier</v>
      </c>
      <c r="C10" s="9" t="s">
        <v>586</v>
      </c>
      <c r="E10" s="14" t="str">
        <f t="shared" ref="E10:E18" si="0">IF(B10=0,"*  -&gt; ##34###34#",CONCATENATE("* ",B10," -&gt; ##34#",C10,"##34#"))</f>
        <v>* identifier -&gt; ##34#Composition.author.resolve().ofType(PractictionerRole).practictioner.resolve().identifier##34#</v>
      </c>
      <c r="G10" s="1" t="s">
        <v>25</v>
      </c>
      <c r="H10" s="10"/>
      <c r="I10" s="10"/>
      <c r="J10" s="10"/>
      <c r="K10" s="10"/>
      <c r="L10" s="10"/>
      <c r="M10" s="10"/>
      <c r="N10" s="10"/>
      <c r="O10" s="10"/>
    </row>
    <row r="11" spans="1:15" ht="44.25" x14ac:dyDescent="0.75">
      <c r="A11" s="9"/>
      <c r="B11" s="62" t="str">
        <f>'A1.5 Author'!$B$8</f>
        <v>identifier</v>
      </c>
      <c r="C11" s="9" t="s">
        <v>587</v>
      </c>
      <c r="E11" s="14" t="str">
        <f t="shared" si="0"/>
        <v>* identifier -&gt; ##34#Composition.author.resolve().ofType(PractictionerRole).identifier##34#</v>
      </c>
      <c r="G11" s="1"/>
      <c r="H11" s="10"/>
      <c r="I11" s="10"/>
      <c r="J11" s="10"/>
      <c r="K11" s="10"/>
      <c r="L11" s="10"/>
      <c r="M11" s="10"/>
      <c r="N11" s="10"/>
      <c r="O11" s="10"/>
    </row>
    <row r="12" spans="1:15" ht="44.25" x14ac:dyDescent="0.75">
      <c r="A12" s="9"/>
      <c r="B12" s="9" t="str">
        <f>'A1.5 Author'!B9</f>
        <v>name</v>
      </c>
      <c r="C12" s="9" t="s">
        <v>588</v>
      </c>
      <c r="E12" s="14" t="str">
        <f t="shared" si="0"/>
        <v>* name -&gt; ##34#Composition.author.resolve().ofType(PractictionerRole).practictioner.resolve().name##34#</v>
      </c>
      <c r="G12" s="1" t="s">
        <v>26</v>
      </c>
      <c r="H12" s="10"/>
      <c r="I12" s="10"/>
      <c r="J12" s="10"/>
      <c r="K12" s="10"/>
      <c r="L12" s="10"/>
      <c r="M12" s="10"/>
      <c r="N12" s="10"/>
      <c r="O12" s="10"/>
    </row>
    <row r="13" spans="1:15" ht="44.25" x14ac:dyDescent="0.75">
      <c r="A13" s="9"/>
      <c r="B13" s="9" t="str">
        <f>'A1.5 Author'!B10</f>
        <v>organization</v>
      </c>
      <c r="C13" s="9" t="s">
        <v>589</v>
      </c>
      <c r="E13" s="14" t="str">
        <f t="shared" si="0"/>
        <v>* organization -&gt; ##34#Composition.author.resolve().ofType(PractictionerRole).organization.resolve()##34#</v>
      </c>
      <c r="G13" s="1" t="s">
        <v>27</v>
      </c>
      <c r="H13" s="10"/>
      <c r="I13" s="10"/>
      <c r="J13" s="10"/>
      <c r="K13" s="10"/>
      <c r="L13" s="10"/>
      <c r="M13" s="10"/>
      <c r="N13" s="10"/>
      <c r="O13" s="10"/>
    </row>
    <row r="14" spans="1:15" x14ac:dyDescent="0.75">
      <c r="A14" s="9"/>
      <c r="B14" s="9">
        <f>'A1.5 Author'!B11</f>
        <v>0</v>
      </c>
      <c r="C14" s="9"/>
      <c r="E14" s="14" t="str">
        <f t="shared" si="0"/>
        <v>*  -&gt; ##34###34#</v>
      </c>
      <c r="G14" s="1" t="s">
        <v>28</v>
      </c>
      <c r="H14" s="10"/>
      <c r="I14" s="10"/>
      <c r="J14" s="10"/>
      <c r="K14" s="10"/>
      <c r="L14" s="10"/>
      <c r="M14" s="10"/>
      <c r="N14" s="10"/>
      <c r="O14" s="10"/>
    </row>
    <row r="15" spans="1:15" x14ac:dyDescent="0.75">
      <c r="A15" s="9"/>
      <c r="B15" s="9">
        <f>'A1.5 Author'!B12</f>
        <v>0</v>
      </c>
      <c r="C15" s="9"/>
      <c r="E15" s="14" t="str">
        <f t="shared" si="0"/>
        <v>*  -&gt; ##34###34#</v>
      </c>
      <c r="G15" s="1" t="s">
        <v>29</v>
      </c>
      <c r="H15" s="10"/>
      <c r="I15" s="10"/>
      <c r="J15" s="10"/>
      <c r="K15" s="10"/>
      <c r="L15" s="10"/>
      <c r="M15" s="10"/>
      <c r="N15" s="10"/>
      <c r="O15" s="10"/>
    </row>
    <row r="16" spans="1:15" ht="29.5" x14ac:dyDescent="0.75">
      <c r="A16" s="9"/>
      <c r="B16" s="9">
        <f>'A1.5 Author'!B13</f>
        <v>0</v>
      </c>
      <c r="C16" s="9"/>
      <c r="E16" s="14" t="str">
        <f t="shared" si="0"/>
        <v>*  -&gt; ##34###34#</v>
      </c>
      <c r="G16" s="1" t="s">
        <v>30</v>
      </c>
      <c r="H16" s="10"/>
      <c r="I16" s="10"/>
      <c r="J16" s="10"/>
      <c r="K16" s="10"/>
      <c r="L16" s="10"/>
      <c r="M16" s="10"/>
      <c r="N16" s="10"/>
      <c r="O16" s="10"/>
    </row>
    <row r="17" spans="1:15" ht="29.5" x14ac:dyDescent="0.75">
      <c r="A17" s="9"/>
      <c r="B17" s="9"/>
      <c r="C17" s="9"/>
      <c r="E17" s="14" t="str">
        <f t="shared" si="0"/>
        <v>*  -&gt; ##34###34#</v>
      </c>
      <c r="G17" s="1" t="s">
        <v>31</v>
      </c>
      <c r="H17" s="10"/>
      <c r="I17" s="10"/>
      <c r="J17" s="10"/>
      <c r="K17" s="10"/>
      <c r="L17" s="10"/>
      <c r="M17" s="10"/>
      <c r="N17" s="10"/>
      <c r="O17" s="10"/>
    </row>
    <row r="18" spans="1:15" ht="29.5" x14ac:dyDescent="0.75">
      <c r="A18" s="9"/>
      <c r="B18" s="9"/>
      <c r="C18" s="9"/>
      <c r="E18" s="14" t="str">
        <f t="shared" si="0"/>
        <v>*  -&gt; ##34###34#</v>
      </c>
      <c r="G18" s="1" t="s">
        <v>32</v>
      </c>
    </row>
    <row r="19" spans="1:15" x14ac:dyDescent="0.75">
      <c r="A19" s="9"/>
      <c r="B19" s="9"/>
      <c r="C19" s="9"/>
      <c r="E19" s="14" t="str">
        <f t="shared" ref="E19" si="1">IF(B19=0,"*  -&gt; ##34###34#",CONCATENATE("* ",B19," -&gt; ##34#",C19,"##34#"))</f>
        <v>*  -&gt; ##34###34#</v>
      </c>
      <c r="G19" s="1" t="s">
        <v>33</v>
      </c>
    </row>
    <row r="20" spans="1:15" x14ac:dyDescent="0.75">
      <c r="A20" s="9"/>
      <c r="B20" s="9"/>
      <c r="C20" s="9"/>
      <c r="E20" s="14"/>
    </row>
    <row r="21" spans="1:15" x14ac:dyDescent="0.75">
      <c r="A21" s="9"/>
      <c r="B21" s="9"/>
      <c r="C21" s="14"/>
      <c r="E21" s="14"/>
    </row>
    <row r="22" spans="1:15" x14ac:dyDescent="0.75">
      <c r="B22" s="9"/>
      <c r="E22" s="14"/>
    </row>
    <row r="23" spans="1:15" x14ac:dyDescent="0.75">
      <c r="B23" s="9"/>
      <c r="E23" s="14"/>
    </row>
    <row r="24" spans="1:15" x14ac:dyDescent="0.75">
      <c r="E24" s="14"/>
    </row>
    <row r="25" spans="1:15" x14ac:dyDescent="0.75">
      <c r="E25" s="2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6C0B42-9517-45C4-BBB9-BFBAD4C082B0}">
  <sheetPr codeName="Foglio12">
    <tabColor theme="8" tint="-0.249977111117893"/>
  </sheetPr>
  <dimension ref="C1:G51"/>
  <sheetViews>
    <sheetView workbookViewId="0">
      <selection activeCell="C48" sqref="C48:C5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'A1.5 Author'!I1</f>
        <v>// -------------------------------------------------------------------------------</v>
      </c>
    </row>
    <row r="2" spans="3:7" ht="16.75" thickBot="1" x14ac:dyDescent="0.9">
      <c r="C2" s="33" t="str">
        <f>'A1.5 Author'!I2</f>
        <v>//  Logical Model</v>
      </c>
      <c r="G2" s="56" t="s">
        <v>406</v>
      </c>
    </row>
    <row r="3" spans="3:7" x14ac:dyDescent="0.75">
      <c r="C3" s="33" t="str">
        <f>'A1.5 Author'!I3</f>
        <v>// -------------------------------------------------------------------------------</v>
      </c>
    </row>
    <row r="4" spans="3:7" x14ac:dyDescent="0.75">
      <c r="C4" s="25" t="str">
        <f>'A1.5 Author'!I4</f>
        <v>Logical: AuthorLabEhn</v>
      </c>
    </row>
    <row r="5" spans="3:7" x14ac:dyDescent="0.75">
      <c r="C5" s="25" t="str">
        <f>'A1.5 Author'!I5</f>
        <v>Id: Author</v>
      </c>
    </row>
    <row r="6" spans="3:7" x14ac:dyDescent="0.75">
      <c r="C6" s="25" t="str">
        <f>'A1.5 Author'!I6</f>
        <v>Title: ##34#Author (A.1.5)##34#</v>
      </c>
    </row>
    <row r="7" spans="3:7" ht="29.5" x14ac:dyDescent="0.75">
      <c r="C7" s="25" t="str">
        <f>'A1.5 Author'!I7</f>
        <v>Description:  ##334#A.1.5 Author (by whom the Laboratory result report or a subset of its results was authored)##334#</v>
      </c>
    </row>
    <row r="8" spans="3:7" ht="44.25" x14ac:dyDescent="0.75">
      <c r="C8" s="14" t="str">
        <f>IF('A1.5 Author'!I8="*  ..  ##34###34# ##334###334#","//--- END",'A1.5 Author'!I8)</f>
        <v>* identifier 0..1 Identifier ##34#A.1.5.1 Author identifier##34# ##334#The health professional or authoring device identification number. Either an internal identifier assigned by a healthcare provider institution or (preferably) a national health professional ID such as the license or registration number.  - Preferred system(s): ##334#</v>
      </c>
    </row>
    <row r="9" spans="3:7" x14ac:dyDescent="0.75">
      <c r="C9" s="14" t="str">
        <f>IF('A1.5 Author'!I9="*  ..  ##34###34# ##334###334#","//--- END",'A1.5 Author'!I9)</f>
        <v>* name 0..* HumanName ##34#A.1.5.2 Author name##34# ##334#Person or device name. - Preferred system(s): ##334#</v>
      </c>
    </row>
    <row r="10" spans="3:7" ht="29.5" x14ac:dyDescent="0.75">
      <c r="C10" s="14" t="str">
        <f>IF('A1.5 Author'!I10="*  ..  ##34###34# ##334###334#","//--- END",'A1.5 Author'!I10)</f>
        <v>* organization 0..* Organization ##34#A.1.5.3 Author organization##34# ##334#The healthcare provider organization information. - Preferred system(s): ##334#</v>
      </c>
      <c r="E10" t="s">
        <v>307</v>
      </c>
    </row>
    <row r="11" spans="3:7" x14ac:dyDescent="0.75">
      <c r="C11" s="14" t="str">
        <f>IF('A1.5 Author'!I11="*  ..  ##34###34# ##334###334#","//--- END",'A1.5 Author'!I11)</f>
        <v>//--- END</v>
      </c>
    </row>
    <row r="12" spans="3:7" x14ac:dyDescent="0.75">
      <c r="C12" s="14" t="str">
        <f>IF('A1.5 Author'!I12="*  ..  ##34###34# ##334###334#","//--- END",'A1.5 Author'!I12)</f>
        <v>//--- END</v>
      </c>
    </row>
    <row r="13" spans="3:7" x14ac:dyDescent="0.75">
      <c r="C13" s="14" t="str">
        <f>IF('A1.5 Author'!I13="*  ..  ##34###34# ##334###334#","//--- END",'A1.5 Author'!I13)</f>
        <v>//--- END</v>
      </c>
    </row>
    <row r="14" spans="3:7" x14ac:dyDescent="0.75">
      <c r="C14" s="14" t="str">
        <f>IF('A1.5 Author'!I14="*  ..  ##34###34# ##334###334#","//--- END",'A1.5 Author'!I14)</f>
        <v>//--- END</v>
      </c>
    </row>
    <row r="30" spans="3:3" x14ac:dyDescent="0.75">
      <c r="C30" s="32" t="str">
        <f>'Author-Map-1'!E1</f>
        <v>// -------------------------------------------------------------------------------</v>
      </c>
    </row>
    <row r="31" spans="3:3" x14ac:dyDescent="0.75">
      <c r="C31" s="33" t="str">
        <f>'Author-Map-1'!E2</f>
        <v>//  Map to FHIR R4</v>
      </c>
    </row>
    <row r="32" spans="3:3" x14ac:dyDescent="0.75">
      <c r="C32" s="33" t="str">
        <f>'Author-Map-1'!E3</f>
        <v>// -------------------------------------------------------------------------------</v>
      </c>
    </row>
    <row r="33" spans="3:7" x14ac:dyDescent="0.75">
      <c r="C33" s="14" t="str">
        <f>'Author-Map-1'!E4</f>
        <v>Mapping: eHNLabAuthor2Fhir</v>
      </c>
    </row>
    <row r="34" spans="3:7" x14ac:dyDescent="0.75">
      <c r="C34" s="14" t="str">
        <f>'Author-Map-1'!E5</f>
        <v>Id: fhir</v>
      </c>
    </row>
    <row r="35" spans="3:7" x14ac:dyDescent="0.75">
      <c r="C35" s="14" t="str">
        <f>'Author-Map-1'!E6</f>
        <v>Title: ##34#eHN Lab Author model to FHIR R4 Map##34#</v>
      </c>
    </row>
    <row r="36" spans="3:7" x14ac:dyDescent="0.75">
      <c r="C36" s="14" t="str">
        <f>'Author-Map-1'!E7</f>
        <v>Source: Author</v>
      </c>
    </row>
    <row r="37" spans="3:7" x14ac:dyDescent="0.75">
      <c r="C37" s="14" t="str">
        <f>'Author-Map-1'!E8</f>
        <v>Target: ##34#hl7.org/fhir/r4##34#</v>
      </c>
    </row>
    <row r="39" spans="3:7" x14ac:dyDescent="0.75">
      <c r="C39" s="14" t="str">
        <f>'Author-Map-1'!E9</f>
        <v>* -&gt; ##34#Composition.author.resolve()##34#</v>
      </c>
    </row>
    <row r="40" spans="3:7" x14ac:dyDescent="0.75">
      <c r="C40" s="14" t="str">
        <f>IF('Author-Map-1'!E10="*  -&gt; ##34###34#","// --END",'Author-Map-1'!E10)</f>
        <v>* identifier -&gt; ##34#Composition.author.resolve().ofType(PractictionerRole).practictioner.resolve().identifier##34#</v>
      </c>
    </row>
    <row r="41" spans="3:7" x14ac:dyDescent="0.75">
      <c r="C41" s="14" t="str">
        <f>IF('Author-Map-1'!E11="*  -&gt; ##34###34#","// --END",'Author-Map-1'!E11)</f>
        <v>* identifier -&gt; ##34#Composition.author.resolve().ofType(PractictionerRole).identifier##34#</v>
      </c>
    </row>
    <row r="42" spans="3:7" x14ac:dyDescent="0.75">
      <c r="C42" s="14" t="str">
        <f>IF('Author-Map-1'!E12="*  -&gt; ##34###34#","// --END",'Author-Map-1'!E12)</f>
        <v>* name -&gt; ##34#Composition.author.resolve().ofType(PractictionerRole).practictioner.resolve().name##34#</v>
      </c>
    </row>
    <row r="43" spans="3:7" x14ac:dyDescent="0.75">
      <c r="C43" s="14" t="str">
        <f>IF('Author-Map-1'!E13="*  -&gt; ##34###34#","// --END",'Author-Map-1'!E13)</f>
        <v>* organization -&gt; ##34#Composition.author.resolve().ofType(PractictionerRole).organization.resolve()##34#</v>
      </c>
    </row>
    <row r="44" spans="3:7" x14ac:dyDescent="0.75">
      <c r="C44" s="14" t="str">
        <f>IF('Author-Map-1'!E14="*  -&gt; ##34###34#","// --END",'Author-Map-1'!E14)</f>
        <v>// --END</v>
      </c>
    </row>
    <row r="45" spans="3:7" x14ac:dyDescent="0.75">
      <c r="C45" s="14" t="str">
        <f>IF('Author-Map-1'!E15="*  -&gt; ##34###34#","// --END",'Author-Map-1'!E15)</f>
        <v>// --END</v>
      </c>
    </row>
    <row r="46" spans="3:7" x14ac:dyDescent="0.75">
      <c r="C46" s="14" t="str">
        <f>IF('Author-Map-1'!E16="*  -&gt; ##34###34#","// --END",'Author-Map-1'!E16)</f>
        <v>// --END</v>
      </c>
    </row>
    <row r="47" spans="3:7" x14ac:dyDescent="0.75">
      <c r="C47" s="14" t="str">
        <f>IF('Author-Map-1'!E17="*  -&gt; ##34###34#","// --END",'Author-Map-1'!E17)</f>
        <v>// --END</v>
      </c>
    </row>
    <row r="48" spans="3:7" x14ac:dyDescent="0.75">
      <c r="C48" s="63"/>
      <c r="G48" s="10"/>
    </row>
    <row r="49" spans="3:3" x14ac:dyDescent="0.75">
      <c r="C49" s="63"/>
    </row>
    <row r="50" spans="3:3" x14ac:dyDescent="0.75">
      <c r="C50" s="63"/>
    </row>
    <row r="51" spans="3:3" x14ac:dyDescent="0.75">
      <c r="C51" s="63"/>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499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33C045-FBD2-4C15-B379-F710F7977725}">
  <sheetPr codeName="Foglio34">
    <tabColor theme="7" tint="0.39997558519241921"/>
  </sheetPr>
  <dimension ref="A1:L30"/>
  <sheetViews>
    <sheetView workbookViewId="0">
      <selection activeCell="D2" sqref="D2"/>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388</v>
      </c>
      <c r="I4" s="25" t="str">
        <f>CONCATENATE("Logical: ",B4)</f>
        <v>Logical: LegalAuthenticatorLabEhn</v>
      </c>
    </row>
    <row r="5" spans="1:11" x14ac:dyDescent="0.75">
      <c r="A5" s="18" t="s">
        <v>19</v>
      </c>
      <c r="B5" s="34" t="s">
        <v>399</v>
      </c>
      <c r="I5" s="25" t="str">
        <f>CONCATENATE("Id: ",B5)</f>
        <v>Id: LegalAuthenticator</v>
      </c>
    </row>
    <row r="6" spans="1:11" x14ac:dyDescent="0.75">
      <c r="A6" s="18" t="s">
        <v>13</v>
      </c>
      <c r="B6" s="19" t="s">
        <v>436</v>
      </c>
      <c r="I6" s="26" t="str">
        <f>CONCATENATE("Title: ##34#",B6,"##34#")</f>
        <v>Title: ##34#Legal authenticator (A.1.6)##34#</v>
      </c>
    </row>
    <row r="7" spans="1:11" ht="29.5" x14ac:dyDescent="0.75">
      <c r="A7" s="46" t="s">
        <v>5</v>
      </c>
      <c r="B7" s="58" t="s">
        <v>102</v>
      </c>
      <c r="C7" s="12"/>
      <c r="D7" s="2"/>
      <c r="E7" s="57"/>
      <c r="F7" s="3" t="s">
        <v>9</v>
      </c>
      <c r="G7" s="3" t="s">
        <v>10</v>
      </c>
      <c r="I7" s="26" t="str">
        <f>CONCATENATE("Description: "," ##334#",B7,"##334#",)</f>
        <v>Description:  ##334#A.1.6 Legal authenticator (The person taking responsibility for the medical content of the document)##334#</v>
      </c>
    </row>
    <row r="8" spans="1:11" ht="74.5" customHeight="1" x14ac:dyDescent="0.75">
      <c r="A8" s="9">
        <v>1</v>
      </c>
      <c r="B8" s="9" t="s">
        <v>367</v>
      </c>
      <c r="C8" s="9" t="s">
        <v>383</v>
      </c>
      <c r="D8" s="14" t="s">
        <v>542</v>
      </c>
      <c r="E8" s="9">
        <v>0</v>
      </c>
      <c r="F8" s="9">
        <v>1</v>
      </c>
      <c r="G8" s="9" t="s">
        <v>0</v>
      </c>
      <c r="H8" s="23"/>
      <c r="I8" s="14" t="str">
        <f>CONCATENATE("* ",B8, " ",E8,"..",F8," ",G8," ##34#",C8,"##34# ##334#",D8,"##334#")</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1:11" ht="80.75" customHeight="1" x14ac:dyDescent="0.75">
      <c r="A9" s="9">
        <v>2</v>
      </c>
      <c r="B9" s="9" t="s">
        <v>368</v>
      </c>
      <c r="C9" s="9" t="s">
        <v>384</v>
      </c>
      <c r="D9" s="14" t="s">
        <v>379</v>
      </c>
      <c r="E9" s="9">
        <v>0</v>
      </c>
      <c r="F9" s="9" t="s">
        <v>11</v>
      </c>
      <c r="G9" s="9" t="s">
        <v>414</v>
      </c>
      <c r="H9" s="23"/>
      <c r="I9" s="14" t="str">
        <f t="shared" ref="I9:I14" si="0">CONCATENATE("* ",B9, " ",E9,"..",F9," ",G9," ##34#",C9,"##34# ##334#",D9,"##334#")</f>
        <v>* name 0..* HumanName ##34#A.1.6.2 Legal authenticator name##34# ##334#Person name. - Preferred system(s): ##334#</v>
      </c>
    </row>
    <row r="10" spans="1:11" ht="30.25" customHeight="1" x14ac:dyDescent="0.75">
      <c r="A10" s="9">
        <v>3</v>
      </c>
      <c r="B10" s="9" t="s">
        <v>369</v>
      </c>
      <c r="C10" s="9" t="s">
        <v>541</v>
      </c>
      <c r="D10" s="14" t="s">
        <v>386</v>
      </c>
      <c r="E10" s="9">
        <v>0</v>
      </c>
      <c r="F10" s="9" t="s">
        <v>11</v>
      </c>
      <c r="G10" s="9" t="s">
        <v>370</v>
      </c>
      <c r="H10" s="23"/>
      <c r="I10" s="14" t="str">
        <f t="shared" si="0"/>
        <v>* organization 0..* Organization ##34#A.1.6.3 Legal authenticator organization##34# ##334#The healthcare provider organization information. - Preferred system(s): ##334#</v>
      </c>
    </row>
    <row r="11" spans="1:11" ht="45" customHeight="1" x14ac:dyDescent="0.75">
      <c r="A11" s="59">
        <v>4</v>
      </c>
      <c r="B11" s="59" t="s">
        <v>2</v>
      </c>
      <c r="C11" t="s">
        <v>385</v>
      </c>
      <c r="D11" s="60" t="s">
        <v>387</v>
      </c>
      <c r="E11" s="59">
        <v>0</v>
      </c>
      <c r="F11" s="59">
        <v>1</v>
      </c>
      <c r="G11" s="59" t="s">
        <v>2</v>
      </c>
      <c r="H11" s="23"/>
      <c r="I11" s="14" t="str">
        <f t="shared" si="0"/>
        <v>* dateTime 0..1 dateTime ##34#A.1.6.4 Authentication date and time##34# ##334#Date and time when the document was authorized.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68" t="s">
        <v>102</v>
      </c>
      <c r="D26" s="69"/>
      <c r="E26" s="69"/>
      <c r="F26" s="70"/>
    </row>
    <row r="27" spans="2:9" ht="384.75" customHeight="1" thickBot="1" x14ac:dyDescent="0.9">
      <c r="B27" t="str">
        <f t="shared" ref="B27:B30" si="2">CONCATENATE(C27," ",D27)</f>
        <v>A.1.6.1 Legal authenticator identifier</v>
      </c>
      <c r="C27" s="36" t="s">
        <v>103</v>
      </c>
      <c r="D27" s="39" t="s">
        <v>104</v>
      </c>
      <c r="E27" s="37" t="s">
        <v>543</v>
      </c>
      <c r="F27" s="42"/>
      <c r="I27" s="1" t="str">
        <f t="shared" ref="I27:I30" si="3">CONCATENATE(E27," - Preferred system(s): ",F27)</f>
        <v xml:space="preserve">The health professional identification number. Either an internal identifier assigned by a healthcare provider institution or (preferably) a national health professional ID such as the license or registration number.  - Preferred system(s): </v>
      </c>
    </row>
    <row r="28" spans="2:9" ht="32.75" thickBot="1" x14ac:dyDescent="0.9">
      <c r="B28" t="str">
        <f t="shared" si="2"/>
        <v>A.1.6.2 Legal authenticator name</v>
      </c>
      <c r="C28" s="36" t="s">
        <v>106</v>
      </c>
      <c r="D28" s="39" t="s">
        <v>107</v>
      </c>
      <c r="E28" s="37" t="s">
        <v>89</v>
      </c>
      <c r="F28" s="42"/>
      <c r="I28" s="1" t="str">
        <f t="shared" si="3"/>
        <v xml:space="preserve">Person name. - Preferred system(s): </v>
      </c>
    </row>
    <row r="29" spans="2:9" ht="112.75" thickBot="1" x14ac:dyDescent="0.9">
      <c r="B29" t="str">
        <f t="shared" si="2"/>
        <v xml:space="preserve">A.1.6.3 Legal authenticator organization </v>
      </c>
      <c r="C29" s="36" t="s">
        <v>108</v>
      </c>
      <c r="D29" s="39" t="s">
        <v>544</v>
      </c>
      <c r="E29" s="37" t="s">
        <v>92</v>
      </c>
      <c r="F29" s="42"/>
      <c r="I29" s="1" t="str">
        <f t="shared" si="3"/>
        <v xml:space="preserve">The healthcare provider organization information. - Preferred system(s): </v>
      </c>
    </row>
    <row r="30" spans="2:9" ht="112.75" thickBot="1" x14ac:dyDescent="0.9">
      <c r="B30" t="str">
        <f t="shared" si="2"/>
        <v>A.1.6.4 Authentication date and time</v>
      </c>
      <c r="C30" s="36" t="s">
        <v>110</v>
      </c>
      <c r="D30" s="39" t="s">
        <v>111</v>
      </c>
      <c r="E30" s="37" t="s">
        <v>112</v>
      </c>
      <c r="F30" s="39" t="s">
        <v>113</v>
      </c>
      <c r="I30" s="1" t="str">
        <f t="shared" si="3"/>
        <v>Date and time when the document was authorized. - Preferred system(s): ISO 8601</v>
      </c>
    </row>
  </sheetData>
  <mergeCells count="1">
    <mergeCell ref="C26:F26"/>
  </mergeCell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4D4670-1A9B-48C4-AA82-18EEE92EF706}">
  <sheetPr codeName="Foglio35"/>
  <dimension ref="A1:O33"/>
  <sheetViews>
    <sheetView workbookViewId="0">
      <selection activeCell="C10" sqref="C10:C14"/>
    </sheetView>
  </sheetViews>
  <sheetFormatPr defaultRowHeight="14.75" x14ac:dyDescent="0.75"/>
  <cols>
    <col min="2" max="2" width="31.6796875" bestFit="1" customWidth="1"/>
    <col min="3" max="3" width="78.22656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389</v>
      </c>
      <c r="E4" s="28" t="str">
        <f>CONCATENATE("Mapping: ",C4)</f>
        <v>Mapping: eHNLabLegalAuthenticator2Fhir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390</v>
      </c>
      <c r="E6" s="29" t="str">
        <f>CONCATENATE("Title: ##34#",C6,"##34#")</f>
        <v>Title: ##34#eHN Lab LegalAuthenticator model to FHIR R4 Map##34#</v>
      </c>
      <c r="G6" s="1" t="s">
        <v>22</v>
      </c>
      <c r="H6" s="10"/>
      <c r="I6" s="10"/>
      <c r="J6" s="10"/>
      <c r="K6" s="10"/>
      <c r="L6" s="10"/>
      <c r="M6" s="10"/>
      <c r="N6" s="10"/>
      <c r="O6" s="10"/>
    </row>
    <row r="7" spans="1:15" ht="15.5" thickBot="1" x14ac:dyDescent="0.9">
      <c r="B7" s="13" t="s">
        <v>35</v>
      </c>
      <c r="C7" s="11" t="str">
        <f>B9</f>
        <v>LegalAuthenticator</v>
      </c>
      <c r="E7" s="29" t="str">
        <f>CONCATENATE("Source: ",C7)</f>
        <v>Source: LegalAuthenticator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'A1.6 LegalAuth'!B5</f>
        <v>LegalAuthenticator</v>
      </c>
      <c r="C9" s="8" t="s">
        <v>408</v>
      </c>
      <c r="E9" s="4" t="str">
        <f>CONCATENATE("* -&gt; ##34#",C9,"##34#")</f>
        <v>* -&gt; ##34#Composition.attester.where(mode=http://hl7.org/fhir/composition-attestation-mode#legal)##34#</v>
      </c>
      <c r="H9" s="10"/>
      <c r="I9" s="10"/>
      <c r="J9" s="10"/>
      <c r="K9" s="10"/>
      <c r="L9" s="10"/>
      <c r="M9" s="10"/>
      <c r="N9" s="10"/>
      <c r="O9" s="10"/>
    </row>
    <row r="10" spans="1:15" x14ac:dyDescent="0.75">
      <c r="A10" s="9"/>
      <c r="B10" s="62" t="str">
        <f>'A1.6 LegalAuth'!$B$8</f>
        <v>identifier</v>
      </c>
      <c r="C10" s="9" t="s">
        <v>590</v>
      </c>
      <c r="E10" s="14" t="str">
        <f>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'A1.6 LegalAuth'!$B$8</f>
        <v>identifier</v>
      </c>
      <c r="C11" s="9" t="s">
        <v>591</v>
      </c>
      <c r="E11" s="14" t="str">
        <f t="shared" ref="E11:E19" si="0">IF(B11=0,"*  -&gt; ##34###34#",CONCATENATE("* ",B11," -&gt; ##34#",C11,"##34#"))</f>
        <v>* identifier -&gt; ##34#.party.resolve().ofType(PractictionerRole).practictioner.resolve().identifier##34#</v>
      </c>
      <c r="G11" s="1"/>
      <c r="H11" s="10"/>
      <c r="I11" s="10"/>
      <c r="J11" s="10"/>
      <c r="K11" s="10"/>
      <c r="L11" s="10"/>
      <c r="M11" s="10"/>
      <c r="N11" s="10"/>
      <c r="O11" s="10"/>
    </row>
    <row r="12" spans="1:15" ht="29.5" x14ac:dyDescent="0.75">
      <c r="A12" s="9"/>
      <c r="B12" s="9" t="str">
        <f>'A1.6 LegalAuth'!B9</f>
        <v>name</v>
      </c>
      <c r="C12" s="9" t="s">
        <v>592</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'A1.6 LegalAuth'!$B$10</f>
        <v>organization</v>
      </c>
      <c r="C13" s="9" t="s">
        <v>593</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'A1.6 LegalAuth'!$B$10</f>
        <v>organization</v>
      </c>
      <c r="C14" s="9" t="s">
        <v>594</v>
      </c>
      <c r="E14" s="14" t="str">
        <f t="shared" si="0"/>
        <v>* organization -&gt; ##34#.party.resolve().ofType(Organization)##34#</v>
      </c>
      <c r="G14" s="1"/>
      <c r="H14" s="10"/>
      <c r="I14" s="10"/>
      <c r="J14" s="10"/>
      <c r="K14" s="10"/>
      <c r="L14" s="10"/>
      <c r="M14" s="10"/>
      <c r="N14" s="10"/>
      <c r="O14" s="10"/>
    </row>
    <row r="15" spans="1:15" x14ac:dyDescent="0.75">
      <c r="A15" s="9"/>
      <c r="B15" s="9" t="str">
        <f>'A1.6 LegalAuth'!B11</f>
        <v>dateTime</v>
      </c>
      <c r="C15" s="9" t="s">
        <v>595</v>
      </c>
      <c r="E15" s="14" t="str">
        <f t="shared" si="0"/>
        <v>* dateTime -&gt; ##34#.time##34#</v>
      </c>
      <c r="G15" s="1" t="s">
        <v>28</v>
      </c>
      <c r="H15" s="10"/>
      <c r="I15" s="10"/>
      <c r="J15" s="10"/>
      <c r="K15" s="10"/>
      <c r="L15" s="10"/>
      <c r="M15" s="10"/>
      <c r="N15" s="10"/>
      <c r="O15" s="10"/>
    </row>
    <row r="16" spans="1:15" x14ac:dyDescent="0.75">
      <c r="A16" s="9"/>
      <c r="B16" s="9">
        <f>'A1.6 LegalAuth'!B12</f>
        <v>0</v>
      </c>
      <c r="C16" s="9"/>
      <c r="E16" s="14" t="str">
        <f t="shared" si="0"/>
        <v>*  -&gt; ##34###34#</v>
      </c>
      <c r="G16" s="1" t="s">
        <v>29</v>
      </c>
      <c r="H16" s="10"/>
      <c r="I16" s="10"/>
      <c r="J16" s="10"/>
      <c r="K16" s="10"/>
      <c r="L16" s="10"/>
      <c r="M16" s="10"/>
      <c r="N16" s="10"/>
      <c r="O16" s="10"/>
    </row>
    <row r="17" spans="1:15" ht="29.5" x14ac:dyDescent="0.75">
      <c r="A17" s="9"/>
      <c r="B17" s="9">
        <f>'A1.6 LegalAuth'!B13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row r="30" spans="1:15" x14ac:dyDescent="0.75">
      <c r="C30" s="9" t="s">
        <v>586</v>
      </c>
    </row>
    <row r="31" spans="1:15" x14ac:dyDescent="0.75">
      <c r="C31" s="9" t="s">
        <v>587</v>
      </c>
      <c r="E31" s="22"/>
    </row>
    <row r="32" spans="1:15" x14ac:dyDescent="0.75">
      <c r="C32" s="9" t="s">
        <v>588</v>
      </c>
    </row>
    <row r="33" spans="3:3" x14ac:dyDescent="0.75">
      <c r="C33" s="9" t="s">
        <v>589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E74F95-873A-46C7-A935-0F335E46C676}">
  <sheetPr codeName="Foglio11">
    <tabColor theme="8" tint="-0.249977111117893"/>
  </sheetPr>
  <dimension ref="C1:G48"/>
  <sheetViews>
    <sheetView workbookViewId="0">
      <selection activeCell="G11" sqref="G11"/>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'A1.6 LegalAuth'!I1</f>
        <v>// -------------------------------------------------------------------------------</v>
      </c>
    </row>
    <row r="2" spans="3:7" ht="16.75" thickBot="1" x14ac:dyDescent="0.9">
      <c r="C2" s="33" t="str">
        <f>'A1.6 LegalAuth'!I2</f>
        <v>//  Logical Model</v>
      </c>
      <c r="G2" s="56" t="s">
        <v>391</v>
      </c>
    </row>
    <row r="3" spans="3:7" x14ac:dyDescent="0.75">
      <c r="C3" s="33" t="str">
        <f>'A1.6 LegalAuth'!I3</f>
        <v>// -------------------------------------------------------------------------------</v>
      </c>
    </row>
    <row r="4" spans="3:7" x14ac:dyDescent="0.75">
      <c r="C4" s="25" t="str">
        <f>'A1.6 LegalAuth'!I4</f>
        <v>Logical: LegalAuthenticatorLabEhn</v>
      </c>
    </row>
    <row r="5" spans="3:7" x14ac:dyDescent="0.75">
      <c r="C5" s="25" t="str">
        <f>'A1.6 LegalAuth'!I5</f>
        <v>Id: LegalAuthenticator</v>
      </c>
    </row>
    <row r="6" spans="3:7" x14ac:dyDescent="0.75">
      <c r="C6" s="25" t="str">
        <f>'A1.6 LegalAuth'!I6</f>
        <v>Title: ##34#Legal authenticator (A.1.6)##34#</v>
      </c>
    </row>
    <row r="7" spans="3:7" x14ac:dyDescent="0.75">
      <c r="C7" s="25" t="str">
        <f>'A1.6 LegalAuth'!I7</f>
        <v>Description:  ##334#A.1.6 Legal authenticator (The person taking responsibility for the medical content of the document)##334#</v>
      </c>
    </row>
    <row r="8" spans="3:7" ht="44.25" x14ac:dyDescent="0.75">
      <c r="C8" s="14" t="str">
        <f>IF('A1.6 LegalAuth'!I8="*  ..  ##34###34# ##334###334#","//--- END",'A1.6 LegalAuth'!I8)</f>
        <v>* identifier 0..1 Identifier ##34#A.1.6.1 Legal authenticator identifier##34# ##334#The health professional identification number. Either an internal identifier assigned by a healthcare provider institution or (preferably) a national health professional ID such as the license or registration number.  - Preferred system(s): ##334#</v>
      </c>
    </row>
    <row r="9" spans="3:7" x14ac:dyDescent="0.75">
      <c r="C9" s="14" t="str">
        <f>IF('A1.6 LegalAuth'!I9="*  ..  ##34###34# ##334###334#","//--- END",'A1.6 LegalAuth'!I9)</f>
        <v>* name 0..* HumanName ##34#A.1.6.2 Legal authenticator name##34# ##334#Person name. - Preferred system(s): ##334#</v>
      </c>
    </row>
    <row r="10" spans="3:7" ht="29.5" x14ac:dyDescent="0.75">
      <c r="C10" s="14" t="str">
        <f>IF('A1.6 LegalAuth'!I10="*  ..  ##34###34# ##334###334#","//--- END",'A1.6 LegalAuth'!I10)</f>
        <v>* organization 0..* Organization ##34#A.1.6.3 Legal authenticator organization##34# ##334#The healthcare provider organization information. - Preferred system(s): ##334#</v>
      </c>
      <c r="E10" t="s">
        <v>307</v>
      </c>
    </row>
    <row r="11" spans="3:7" ht="29.5" x14ac:dyDescent="0.75">
      <c r="C11" s="14" t="str">
        <f>IF('A1.6 LegalAuth'!I11="*  ..  ##34###34# ##334###334#","//--- END",'A1.6 LegalAuth'!I11)</f>
        <v>* dateTime 0..1 dateTime ##34#A.1.6.4 Authentication date and time##34# ##334#Date and time when the document was authorized. - Preferred system(s): ISO 8601##334#</v>
      </c>
    </row>
    <row r="12" spans="3:7" x14ac:dyDescent="0.75">
      <c r="C12" s="14" t="str">
        <f>IF('A1.6 LegalAuth'!I12="*  ..  ##34###34# ##334###334#","//--- END",'A1.6 LegalAuth'!I12)</f>
        <v>//--- END</v>
      </c>
    </row>
    <row r="13" spans="3:7" x14ac:dyDescent="0.75">
      <c r="C13" s="14" t="str">
        <f>IF('A1.6 LegalAuth'!I13="*  ..  ##34###34# ##334###334#","//--- END",'A1.6 LegalAuth'!I13)</f>
        <v>//--- END</v>
      </c>
    </row>
    <row r="14" spans="3:7" x14ac:dyDescent="0.75">
      <c r="C14" s="14" t="str">
        <f>IF('A1.6 LegalAuth'!I14="*  ..  ##34###34# ##334###334#","//--- END",'A1.6 LegalAuth'!I14)</f>
        <v>//--- END</v>
      </c>
    </row>
    <row r="30" spans="3:3" x14ac:dyDescent="0.75">
      <c r="C30" s="32" t="str">
        <f>'LegalAuth-Map-1'!E1</f>
        <v>// -------------------------------------------------------------------------------</v>
      </c>
    </row>
    <row r="31" spans="3:3" x14ac:dyDescent="0.75">
      <c r="C31" s="33" t="str">
        <f>'LegalAuth-Map-1'!E2</f>
        <v>//  Map to FHIR R4</v>
      </c>
    </row>
    <row r="32" spans="3:3" x14ac:dyDescent="0.75">
      <c r="C32" s="33" t="str">
        <f>'LegalAuth-Map-1'!E3</f>
        <v>// -------------------------------------------------------------------------------</v>
      </c>
    </row>
    <row r="33" spans="3:7" x14ac:dyDescent="0.75">
      <c r="C33" s="14" t="str">
        <f>'LegalAuth-Map-1'!E4</f>
        <v>Mapping: eHNLabLegalAuthenticator2Fhir</v>
      </c>
    </row>
    <row r="34" spans="3:7" x14ac:dyDescent="0.75">
      <c r="C34" s="14" t="str">
        <f>'LegalAuth-Map-1'!E5</f>
        <v>Id: fhir</v>
      </c>
    </row>
    <row r="35" spans="3:7" x14ac:dyDescent="0.75">
      <c r="C35" s="14" t="str">
        <f>'LegalAuth-Map-1'!E6</f>
        <v>Title: ##34#eHN Lab LegalAuthenticator model to FHIR R4 Map##34#</v>
      </c>
    </row>
    <row r="36" spans="3:7" x14ac:dyDescent="0.75">
      <c r="C36" s="14" t="str">
        <f>'LegalAuth-Map-1'!E7</f>
        <v>Source: LegalAuthenticator</v>
      </c>
    </row>
    <row r="37" spans="3:7" x14ac:dyDescent="0.75">
      <c r="C37" s="14" t="str">
        <f>'LegalAuth-Map-1'!E8</f>
        <v>Target: ##34#hl7.org/fhir/r4##34#</v>
      </c>
    </row>
    <row r="39" spans="3:7" x14ac:dyDescent="0.75">
      <c r="C39" s="14" t="str">
        <f>'LegalAuth-Map-1'!E9</f>
        <v>* -&gt; ##34#Composition.attester.where(mode=http://hl7.org/fhir/composition-attestation-mode#legal)##34#</v>
      </c>
    </row>
    <row r="40" spans="3:7" x14ac:dyDescent="0.75">
      <c r="C40" s="14" t="str">
        <f>IF('LegalAuth-Map-1'!E10="*  -&gt; ##34###34#","// --END",'LegalAuth-Map-1'!E10)</f>
        <v>* identifier -&gt; ##34#.party.resolve().ofType(PractictionerRole).identifier##34#</v>
      </c>
    </row>
    <row r="41" spans="3:7" x14ac:dyDescent="0.75">
      <c r="C41" s="14" t="str">
        <f>IF('LegalAuth-Map-1'!E12="*  -&gt; ##34###34#","// --END",'LegalAuth-Map-1'!E12)</f>
        <v>* name -&gt; ##34#.party.resolve().ofType(PractictionerRole).practictioner.resolve().name##34#</v>
      </c>
    </row>
    <row r="42" spans="3:7" x14ac:dyDescent="0.75">
      <c r="C42" s="14" t="str">
        <f>IF('LegalAuth-Map-1'!E13="*  -&gt; ##34###34#","// --END",'LegalAuth-Map-1'!E13)</f>
        <v>* organization -&gt; ##34#.party.resolve().ofType(PractictionerRole).organization.resolve()##34#</v>
      </c>
    </row>
    <row r="43" spans="3:7" x14ac:dyDescent="0.75">
      <c r="C43" s="14" t="str">
        <f>IF('LegalAuth-Map-1'!E14="*  -&gt; ##34###34#","// --END",'LegalAuth-Map-1'!E14)</f>
        <v>* organization -&gt; ##34#.party.resolve().ofType(Organization)##34#</v>
      </c>
    </row>
    <row r="44" spans="3:7" x14ac:dyDescent="0.75">
      <c r="C44" s="14" t="str">
        <f>IF('LegalAuth-Map-1'!E15="*  -&gt; ##34###34#","// --END",'LegalAuth-Map-1'!E15)</f>
        <v>* dateTime -&gt; ##34#.time##34#</v>
      </c>
    </row>
    <row r="45" spans="3:7" x14ac:dyDescent="0.75">
      <c r="C45" s="14" t="str">
        <f>IF('LegalAuth-Map-1'!E16="*  -&gt; ##34###34#","// --END",'LegalAuth-Map-1'!E16)</f>
        <v>// --END</v>
      </c>
    </row>
    <row r="46" spans="3:7" x14ac:dyDescent="0.75">
      <c r="C46" s="14" t="str">
        <f>IF('LegalAuth-Map-1'!E17="*  -&gt; ##34###34#","// --END",'LegalAuth-Map-1'!E17)</f>
        <v>// --END</v>
      </c>
    </row>
    <row r="47" spans="3:7" x14ac:dyDescent="0.75">
      <c r="C47" s="14" t="str">
        <f>IF('LegalAuth-Map-1'!E18="*  -&gt; ##34###34#","// --END",'LegalAuth-Map-1'!E18)</f>
        <v>// --END</v>
      </c>
    </row>
    <row r="48" spans="3:7" x14ac:dyDescent="0.75">
      <c r="G48" s="10"/>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6561"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0F6FCC-CC6B-4F3D-8B6F-2F9955BC9416}">
  <sheetPr codeName="Foglio32">
    <tabColor theme="7" tint="0.39997558519241921"/>
  </sheetPr>
  <dimension ref="A1:L30"/>
  <sheetViews>
    <sheetView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10.816406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374</v>
      </c>
      <c r="I4" s="25" t="str">
        <f>CONCATENATE("Logical: ",B4)</f>
        <v>Logical: ValidatorLabEhn</v>
      </c>
    </row>
    <row r="5" spans="1:11" x14ac:dyDescent="0.75">
      <c r="A5" s="18" t="s">
        <v>19</v>
      </c>
      <c r="B5" s="34" t="s">
        <v>415</v>
      </c>
      <c r="I5" s="25" t="str">
        <f>CONCATENATE("Id: ",B5)</f>
        <v>Id: Validator</v>
      </c>
    </row>
    <row r="6" spans="1:11" x14ac:dyDescent="0.75">
      <c r="A6" s="18" t="s">
        <v>13</v>
      </c>
      <c r="B6" s="19" t="s">
        <v>640</v>
      </c>
      <c r="I6" s="26" t="str">
        <f>CONCATENATE("Title: ##34#",B6,"##34#")</f>
        <v>Title: ##34#Result validator (A.1.7)##34#</v>
      </c>
    </row>
    <row r="7" spans="1:11" x14ac:dyDescent="0.75">
      <c r="A7" s="46" t="s">
        <v>5</v>
      </c>
      <c r="B7" s="58" t="s">
        <v>114</v>
      </c>
      <c r="C7" s="12"/>
      <c r="D7" s="2"/>
      <c r="E7" s="57"/>
      <c r="F7" s="3" t="s">
        <v>9</v>
      </c>
      <c r="G7" s="3" t="s">
        <v>10</v>
      </c>
      <c r="I7" s="26" t="str">
        <f>CONCATENATE("Description: "," ##334#",B7,"##334#",)</f>
        <v>Description:  ##334#A.1.7 Result validator##334#</v>
      </c>
    </row>
    <row r="8" spans="1:11" ht="74.5" customHeight="1" x14ac:dyDescent="0.75">
      <c r="A8" s="9">
        <v>1</v>
      </c>
      <c r="B8" s="9" t="s">
        <v>367</v>
      </c>
      <c r="C8" s="9" t="s">
        <v>377</v>
      </c>
      <c r="D8" s="14" t="s">
        <v>545</v>
      </c>
      <c r="E8" s="9">
        <v>0</v>
      </c>
      <c r="F8" s="9">
        <v>1</v>
      </c>
      <c r="G8" s="9" t="s">
        <v>0</v>
      </c>
      <c r="H8" s="23"/>
      <c r="I8" s="14" t="str">
        <f>CONCATENATE("* ",B8, " ",E8,"..",F8," ",G8," ##34#",C8,"##34# ##334#",D8,"##334#")</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1:11" ht="80.75" customHeight="1" x14ac:dyDescent="0.75">
      <c r="A9" s="9">
        <v>2</v>
      </c>
      <c r="B9" s="9" t="s">
        <v>368</v>
      </c>
      <c r="C9" s="9" t="s">
        <v>546</v>
      </c>
      <c r="D9" s="14" t="s">
        <v>379</v>
      </c>
      <c r="E9" s="9">
        <v>0</v>
      </c>
      <c r="F9" s="9" t="s">
        <v>11</v>
      </c>
      <c r="G9" s="9" t="s">
        <v>414</v>
      </c>
      <c r="H9" s="23"/>
      <c r="I9" s="14" t="str">
        <f t="shared" ref="I9:I14" si="0">CONCATENATE("* ",B9, " ",E9,"..",F9," ",G9," ##34#",C9,"##34# ##334#",D9,"##334#")</f>
        <v>* name 0..* HumanName ##34#A.1.7.2 Result validator name##34# ##334#Person name. - Preferred system(s): ##334#</v>
      </c>
    </row>
    <row r="10" spans="1:11" ht="30.25" customHeight="1" x14ac:dyDescent="0.75">
      <c r="A10" s="9">
        <v>3</v>
      </c>
      <c r="B10" s="9" t="s">
        <v>369</v>
      </c>
      <c r="C10" s="9" t="s">
        <v>550</v>
      </c>
      <c r="D10" s="14" t="s">
        <v>380</v>
      </c>
      <c r="E10" s="9">
        <v>0</v>
      </c>
      <c r="F10" s="9" t="s">
        <v>11</v>
      </c>
      <c r="G10" s="9" t="s">
        <v>370</v>
      </c>
      <c r="H10" s="23"/>
      <c r="I10" s="14" t="str">
        <f t="shared" si="0"/>
        <v>* organization 0..* Organization ##34#A.1.7.3 Result validator organisation##34# ##334#The healthcare provider organisation information. - Preferred system(s): ##334#</v>
      </c>
    </row>
    <row r="11" spans="1:11" ht="45" customHeight="1" x14ac:dyDescent="0.75">
      <c r="A11" s="59">
        <v>4</v>
      </c>
      <c r="B11" s="59" t="s">
        <v>2</v>
      </c>
      <c r="C11" t="s">
        <v>378</v>
      </c>
      <c r="D11" s="60" t="s">
        <v>381</v>
      </c>
      <c r="E11" s="59">
        <v>0</v>
      </c>
      <c r="F11" s="59">
        <v>1</v>
      </c>
      <c r="G11" s="59" t="s">
        <v>2</v>
      </c>
      <c r="H11" s="23"/>
      <c r="I11" s="14" t="str">
        <f t="shared" si="0"/>
        <v>* dateTime 0..1 dateTime ##34#A.1.7.4 Validation date and time##34# ##334#Date and time when the document was validated. - Preferred system(s): ISO 8601##334#</v>
      </c>
    </row>
    <row r="12" spans="1:11" x14ac:dyDescent="0.75">
      <c r="A12" s="9">
        <v>5</v>
      </c>
      <c r="B12" s="9"/>
      <c r="C12" s="9"/>
      <c r="D12" s="14"/>
      <c r="E12" s="9"/>
      <c r="F12" s="9"/>
      <c r="G12" s="9"/>
      <c r="H12" s="23"/>
      <c r="I12" s="14" t="str">
        <f t="shared" si="0"/>
        <v>*  ..  ##34###34# ##334###334#</v>
      </c>
    </row>
    <row r="13" spans="1:11" x14ac:dyDescent="0.75">
      <c r="A13" s="9">
        <v>6</v>
      </c>
      <c r="B13" s="9"/>
      <c r="C13" s="16"/>
      <c r="D13" s="14"/>
      <c r="E13" s="9"/>
      <c r="F13" s="9"/>
      <c r="G13" s="9"/>
      <c r="H13" s="23"/>
      <c r="I13" s="14" t="str">
        <f t="shared" si="0"/>
        <v>*  ..  ##34###34# ##334###334#</v>
      </c>
    </row>
    <row r="14" spans="1:11" x14ac:dyDescent="0.75">
      <c r="A14" s="9">
        <v>7</v>
      </c>
      <c r="B14" s="9"/>
      <c r="C14" s="16"/>
      <c r="D14" s="52"/>
      <c r="E14" s="9"/>
      <c r="F14" s="9"/>
      <c r="G14" s="9"/>
      <c r="H14" s="23"/>
      <c r="I14" s="14" t="str">
        <f t="shared" si="0"/>
        <v>*  ..  ##34###34# ##334###334#</v>
      </c>
    </row>
    <row r="15" spans="1:11" x14ac:dyDescent="0.75">
      <c r="A15" s="9">
        <v>8</v>
      </c>
      <c r="B15" s="9"/>
      <c r="C15" s="9"/>
      <c r="D15" s="14"/>
      <c r="E15" s="9"/>
      <c r="F15" s="9"/>
      <c r="G15" s="9"/>
      <c r="H15" s="23"/>
      <c r="I15" s="14"/>
      <c r="J15" s="16"/>
      <c r="K15" s="9"/>
    </row>
    <row r="16" spans="1:11" ht="29.5" customHeight="1" x14ac:dyDescent="0.75">
      <c r="A16" s="9">
        <v>9</v>
      </c>
      <c r="B16" s="9"/>
      <c r="C16" s="9"/>
      <c r="D16" s="14"/>
      <c r="E16" s="9"/>
      <c r="F16" s="9"/>
      <c r="G16" s="53"/>
      <c r="H16" s="9"/>
      <c r="I16" s="14"/>
    </row>
    <row r="17" spans="2:9" x14ac:dyDescent="0.75">
      <c r="I17" s="14"/>
    </row>
    <row r="18" spans="2:9" x14ac:dyDescent="0.75">
      <c r="I18" s="14"/>
    </row>
    <row r="19" spans="2:9" x14ac:dyDescent="0.75">
      <c r="I19" s="14"/>
    </row>
    <row r="20" spans="2:9" x14ac:dyDescent="0.75">
      <c r="I20" s="14"/>
    </row>
    <row r="21" spans="2:9" x14ac:dyDescent="0.75">
      <c r="B21" t="str">
        <f t="shared" ref="B21" si="1">CONCATENATE(C21," ",D21)</f>
        <v xml:space="preserve"> </v>
      </c>
      <c r="I21"/>
    </row>
    <row r="25" spans="2:9" ht="15.5" thickBot="1" x14ac:dyDescent="0.9"/>
    <row r="26" spans="2:9" ht="16.75" customHeight="1" thickBot="1" x14ac:dyDescent="0.9">
      <c r="C26" s="68" t="s">
        <v>114</v>
      </c>
      <c r="D26" s="69"/>
      <c r="E26" s="69"/>
      <c r="F26" s="70"/>
    </row>
    <row r="27" spans="2:9" ht="384.75" thickBot="1" x14ac:dyDescent="0.9">
      <c r="B27" t="str">
        <f t="shared" ref="B27:B30" si="2">CONCATENATE(C27," ",D27)</f>
        <v>A.1.7.1 Result validator identifier</v>
      </c>
      <c r="C27" s="36" t="s">
        <v>115</v>
      </c>
      <c r="D27" s="39" t="s">
        <v>116</v>
      </c>
      <c r="E27" s="37" t="s">
        <v>547</v>
      </c>
      <c r="F27" s="42"/>
      <c r="I27" s="1" t="str">
        <f t="shared" ref="I27:I30" si="3">CONCATENATE(E27," - Preferred system(s): ",F27)</f>
        <v xml:space="preserve">The health professional identification number. Either an internal identifier assign by a healthcare provider institution or (preferably) a national health professional ID such as the license or registration number.  - Preferred system(s): </v>
      </c>
    </row>
    <row r="28" spans="2:9" ht="32.75" thickBot="1" x14ac:dyDescent="0.9">
      <c r="B28" t="str">
        <f t="shared" si="2"/>
        <v>A.1.7.2 Result validator name</v>
      </c>
      <c r="C28" s="36" t="s">
        <v>118</v>
      </c>
      <c r="D28" s="39" t="s">
        <v>548</v>
      </c>
      <c r="E28" s="37" t="s">
        <v>89</v>
      </c>
      <c r="F28" s="42"/>
      <c r="I28" s="1" t="str">
        <f t="shared" si="3"/>
        <v xml:space="preserve">Person name. - Preferred system(s): </v>
      </c>
    </row>
    <row r="29" spans="2:9" ht="112.75" thickBot="1" x14ac:dyDescent="0.9">
      <c r="B29" t="str">
        <f t="shared" si="2"/>
        <v xml:space="preserve">A.1.7.3 Result validator organisation </v>
      </c>
      <c r="C29" s="36" t="s">
        <v>120</v>
      </c>
      <c r="D29" s="39" t="s">
        <v>549</v>
      </c>
      <c r="E29" s="37" t="s">
        <v>122</v>
      </c>
      <c r="F29" s="42"/>
      <c r="I29" s="1" t="str">
        <f t="shared" si="3"/>
        <v xml:space="preserve">The healthcare provider organisation information. - Preferred system(s): </v>
      </c>
    </row>
    <row r="30" spans="2:9" ht="96.75" thickBot="1" x14ac:dyDescent="0.9">
      <c r="B30" t="str">
        <f t="shared" si="2"/>
        <v>A.1.7.4 Validation date and time</v>
      </c>
      <c r="C30" s="36" t="s">
        <v>123</v>
      </c>
      <c r="D30" s="39" t="s">
        <v>124</v>
      </c>
      <c r="E30" s="37" t="s">
        <v>125</v>
      </c>
      <c r="F30" s="39" t="s">
        <v>113</v>
      </c>
      <c r="I30" s="1" t="str">
        <f t="shared" si="3"/>
        <v>Date and time when the document was validated. - Preferred system(s): ISO 8601</v>
      </c>
    </row>
  </sheetData>
  <mergeCells count="1">
    <mergeCell ref="C26:F26"/>
  </mergeCell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B7EA5E-E993-4C1F-BEDD-0F8C9E7DD3D9}">
  <sheetPr codeName="Foglio33"/>
  <dimension ref="A1:O26"/>
  <sheetViews>
    <sheetView workbookViewId="0">
      <selection sqref="A1:XFD1048576"/>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375</v>
      </c>
      <c r="E4" s="28" t="str">
        <f>CONCATENATE("Mapping: ",C4)</f>
        <v>Mapping: eHNLabValidator2Fhir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376</v>
      </c>
      <c r="E6" s="29" t="str">
        <f>CONCATENATE("Title: ##34#",C6,"##34#")</f>
        <v>Title: ##34#eHN Lab Validator model to FHIR R4 Map##34#</v>
      </c>
      <c r="G6" s="1" t="s">
        <v>22</v>
      </c>
      <c r="H6" s="10"/>
      <c r="I6" s="10"/>
      <c r="J6" s="10"/>
      <c r="K6" s="10"/>
      <c r="L6" s="10"/>
      <c r="M6" s="10"/>
      <c r="N6" s="10"/>
      <c r="O6" s="10"/>
    </row>
    <row r="7" spans="1:15" ht="15.5" thickBot="1" x14ac:dyDescent="0.9">
      <c r="B7" s="13" t="s">
        <v>35</v>
      </c>
      <c r="C7" s="11" t="str">
        <f>B9</f>
        <v>Validator</v>
      </c>
      <c r="E7" s="29" t="str">
        <f>CONCATENATE("Source: ",C7)</f>
        <v>Source: Validator</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29.5" x14ac:dyDescent="0.75">
      <c r="A9" s="9"/>
      <c r="B9" s="9" t="str">
        <f>'A1.7 Validator'!B5</f>
        <v>Validator</v>
      </c>
      <c r="C9" s="14" t="s">
        <v>409</v>
      </c>
      <c r="E9" s="4" t="str">
        <f>CONCATENATE("* -&gt; ##34#",C9,"##34#")</f>
        <v>* -&gt; ##34#Composition.attester.where(mode=http://hl7.org/fhir/composition-attestation-mode#professional)##34#</v>
      </c>
      <c r="H9" s="10"/>
      <c r="I9" s="10"/>
      <c r="J9" s="10"/>
      <c r="K9" s="10"/>
      <c r="L9" s="10"/>
      <c r="M9" s="10"/>
      <c r="N9" s="10"/>
      <c r="O9" s="10"/>
    </row>
    <row r="10" spans="1:15" x14ac:dyDescent="0.75">
      <c r="A10" s="9"/>
      <c r="B10" s="62" t="str">
        <f>'A1.7 Validator'!$B$8</f>
        <v>identifier</v>
      </c>
      <c r="C10" s="9" t="s">
        <v>590</v>
      </c>
      <c r="E10" s="14" t="str">
        <f t="shared" ref="E10:E19" si="0">IF(B10=0,"*  -&gt; ##34###34#",CONCATENATE("* ",B10," -&gt; ##34#",C10,"##34#"))</f>
        <v>* identifier -&gt; ##34#.party.resolve().ofType(PractictionerRole).identifier##34#</v>
      </c>
      <c r="G10" s="1" t="s">
        <v>25</v>
      </c>
      <c r="H10" s="10"/>
      <c r="I10" s="10"/>
      <c r="J10" s="10"/>
      <c r="K10" s="10"/>
      <c r="L10" s="10"/>
      <c r="M10" s="10"/>
      <c r="N10" s="10"/>
      <c r="O10" s="10"/>
    </row>
    <row r="11" spans="1:15" ht="44.25" x14ac:dyDescent="0.75">
      <c r="A11" s="9"/>
      <c r="B11" s="62" t="str">
        <f>'A1.7 Validator'!$B$8</f>
        <v>identifier</v>
      </c>
      <c r="C11" s="9" t="s">
        <v>591</v>
      </c>
      <c r="E11" s="14" t="str">
        <f t="shared" si="0"/>
        <v>* identifier -&gt; ##34#.party.resolve().ofType(PractictionerRole).practictioner.resolve().identifier##34#</v>
      </c>
      <c r="G11" s="1"/>
      <c r="H11" s="10"/>
      <c r="I11" s="10"/>
      <c r="J11" s="10"/>
      <c r="K11" s="10"/>
      <c r="L11" s="10"/>
      <c r="M11" s="10"/>
      <c r="N11" s="10"/>
      <c r="O11" s="10"/>
    </row>
    <row r="12" spans="1:15" ht="29.5" x14ac:dyDescent="0.75">
      <c r="A12" s="9"/>
      <c r="B12" s="9" t="str">
        <f>'A1.7 Validator'!B9</f>
        <v>name</v>
      </c>
      <c r="C12" s="9" t="s">
        <v>592</v>
      </c>
      <c r="E12" s="14" t="str">
        <f t="shared" si="0"/>
        <v>* name -&gt; ##34#.party.resolve().ofType(PractictionerRole).practictioner.resolve().name##34#</v>
      </c>
      <c r="G12" s="1" t="s">
        <v>26</v>
      </c>
      <c r="H12" s="10"/>
      <c r="I12" s="10"/>
      <c r="J12" s="10"/>
      <c r="K12" s="10"/>
      <c r="L12" s="10"/>
      <c r="M12" s="10"/>
      <c r="N12" s="10"/>
      <c r="O12" s="10"/>
    </row>
    <row r="13" spans="1:15" ht="44.25" x14ac:dyDescent="0.75">
      <c r="A13" s="9"/>
      <c r="B13" s="62" t="str">
        <f>'A1.7 Validator'!$B$10</f>
        <v>organization</v>
      </c>
      <c r="C13" s="9" t="s">
        <v>593</v>
      </c>
      <c r="E13" s="14" t="str">
        <f t="shared" si="0"/>
        <v>* organization -&gt; ##34#.party.resolve().ofType(PractictionerRole).organization.resolve()##34#</v>
      </c>
      <c r="G13" s="1" t="s">
        <v>27</v>
      </c>
      <c r="H13" s="10"/>
      <c r="I13" s="10"/>
      <c r="J13" s="10"/>
      <c r="K13" s="10"/>
      <c r="L13" s="10"/>
      <c r="M13" s="10"/>
      <c r="N13" s="10"/>
      <c r="O13" s="10"/>
    </row>
    <row r="14" spans="1:15" x14ac:dyDescent="0.75">
      <c r="A14" s="9"/>
      <c r="B14" s="62" t="str">
        <f>'A1.7 Validator'!$B$10</f>
        <v>organization</v>
      </c>
      <c r="C14" s="9" t="s">
        <v>594</v>
      </c>
      <c r="E14" s="14" t="str">
        <f t="shared" si="0"/>
        <v>* organization -&gt; ##34#.party.resolve().ofType(Organization)##34#</v>
      </c>
      <c r="G14" s="1"/>
      <c r="H14" s="10"/>
      <c r="I14" s="10"/>
      <c r="J14" s="10"/>
      <c r="K14" s="10"/>
      <c r="L14" s="10"/>
      <c r="M14" s="10"/>
      <c r="N14" s="10"/>
      <c r="O14" s="10"/>
    </row>
    <row r="15" spans="1:15" x14ac:dyDescent="0.75">
      <c r="A15" s="9"/>
      <c r="B15" s="9" t="str">
        <f>'A1.7 Validator'!B11</f>
        <v>dateTime</v>
      </c>
      <c r="C15" s="9" t="s">
        <v>595</v>
      </c>
      <c r="E15" s="14" t="str">
        <f t="shared" si="0"/>
        <v>* dateTime -&gt; ##34#.time##34#</v>
      </c>
      <c r="G15" s="1" t="s">
        <v>28</v>
      </c>
      <c r="H15" s="10"/>
      <c r="I15" s="10"/>
      <c r="J15" s="10"/>
      <c r="K15" s="10"/>
      <c r="L15" s="10"/>
      <c r="M15" s="10"/>
      <c r="N15" s="10"/>
      <c r="O15" s="10"/>
    </row>
    <row r="16" spans="1:15" x14ac:dyDescent="0.75">
      <c r="A16" s="9"/>
      <c r="B16" s="9">
        <f>'A1.7 Validator'!B12</f>
        <v>0</v>
      </c>
      <c r="C16" s="9"/>
      <c r="E16" s="14" t="str">
        <f t="shared" si="0"/>
        <v>*  -&gt; ##34###34#</v>
      </c>
      <c r="G16" s="1" t="s">
        <v>29</v>
      </c>
      <c r="H16" s="10"/>
      <c r="I16" s="10"/>
      <c r="J16" s="10"/>
      <c r="K16" s="10"/>
      <c r="L16" s="10"/>
      <c r="M16" s="10"/>
      <c r="N16" s="10"/>
      <c r="O16" s="10"/>
    </row>
    <row r="17" spans="1:15" ht="29.5" x14ac:dyDescent="0.75">
      <c r="A17" s="9"/>
      <c r="B17" s="9">
        <f>'A1.7 Validator'!B13</f>
        <v>0</v>
      </c>
      <c r="C17" s="9"/>
      <c r="E17" s="14" t="str">
        <f t="shared" si="0"/>
        <v>*  -&gt; ##34###34#</v>
      </c>
      <c r="G17" s="1" t="s">
        <v>30</v>
      </c>
      <c r="H17" s="10"/>
      <c r="I17" s="10"/>
      <c r="J17" s="10"/>
      <c r="K17" s="10"/>
      <c r="L17" s="10"/>
      <c r="M17" s="10"/>
      <c r="N17" s="10"/>
      <c r="O17" s="10"/>
    </row>
    <row r="18" spans="1:15" ht="29.5" x14ac:dyDescent="0.75">
      <c r="A18" s="9"/>
      <c r="B18" s="9"/>
      <c r="C18" s="9"/>
      <c r="E18" s="14" t="str">
        <f t="shared" si="0"/>
        <v>*  -&gt; ##34###34#</v>
      </c>
      <c r="G18" s="1" t="s">
        <v>31</v>
      </c>
      <c r="H18" s="10"/>
      <c r="I18" s="10"/>
      <c r="J18" s="10"/>
      <c r="K18" s="10"/>
      <c r="L18" s="10"/>
      <c r="M18" s="10"/>
      <c r="N18" s="10"/>
      <c r="O18" s="10"/>
    </row>
    <row r="19" spans="1:15" ht="29.5" x14ac:dyDescent="0.75">
      <c r="A19" s="9"/>
      <c r="B19" s="9"/>
      <c r="C19" s="9"/>
      <c r="E19" s="14" t="str">
        <f t="shared" si="0"/>
        <v>*  -&gt; ##34###34#</v>
      </c>
      <c r="G19" s="1" t="s">
        <v>32</v>
      </c>
    </row>
    <row r="20" spans="1:15" x14ac:dyDescent="0.75">
      <c r="A20" s="9"/>
      <c r="B20" s="9"/>
      <c r="C20" s="9"/>
      <c r="E20" s="14" t="str">
        <f t="shared" ref="E20" si="1">IF(B20=0,"*  -&gt; ##34###34#",CONCATENATE("* ",B20," -&gt; ##34#",C20,"##34#"))</f>
        <v>*  -&gt; ##34###34#</v>
      </c>
      <c r="G20" s="1" t="s">
        <v>33</v>
      </c>
    </row>
    <row r="21" spans="1:15" x14ac:dyDescent="0.75">
      <c r="A21" s="9"/>
      <c r="B21" s="9"/>
      <c r="C21" s="9"/>
      <c r="E21" s="14"/>
    </row>
    <row r="22" spans="1:15" x14ac:dyDescent="0.75">
      <c r="A22" s="9"/>
      <c r="B22" s="9"/>
      <c r="C22" s="14"/>
      <c r="E22" s="14"/>
    </row>
    <row r="23" spans="1:15" x14ac:dyDescent="0.75">
      <c r="B23" s="9"/>
      <c r="E23" s="14"/>
    </row>
    <row r="24" spans="1:15" x14ac:dyDescent="0.75">
      <c r="B24" s="9"/>
      <c r="E24" s="14"/>
    </row>
    <row r="25" spans="1:15" x14ac:dyDescent="0.75">
      <c r="E25" s="14"/>
    </row>
    <row r="26" spans="1:15" x14ac:dyDescent="0.75">
      <c r="E26" s="22"/>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620E02-E278-4E62-BD4C-DE92F11BEA40}">
  <sheetPr codeName="Foglio10">
    <tabColor theme="8" tint="-0.249977111117893"/>
  </sheetPr>
  <dimension ref="C1:G50"/>
  <sheetViews>
    <sheetView workbookViewId="0">
      <selection activeCell="U6" sqref="U6"/>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'A1.7 Validator'!I1</f>
        <v>// -------------------------------------------------------------------------------</v>
      </c>
    </row>
    <row r="2" spans="3:7" ht="16.75" thickBot="1" x14ac:dyDescent="0.9">
      <c r="C2" s="33" t="str">
        <f>'A1.7 Validator'!I2</f>
        <v>//  Logical Model</v>
      </c>
      <c r="G2" s="56" t="s">
        <v>382</v>
      </c>
    </row>
    <row r="3" spans="3:7" x14ac:dyDescent="0.75">
      <c r="C3" s="33" t="str">
        <f>'A1.7 Validator'!I3</f>
        <v>// -------------------------------------------------------------------------------</v>
      </c>
    </row>
    <row r="4" spans="3:7" x14ac:dyDescent="0.75">
      <c r="C4" s="25" t="str">
        <f>'A1.7 Validator'!I4</f>
        <v>Logical: ValidatorLabEhn</v>
      </c>
    </row>
    <row r="5" spans="3:7" x14ac:dyDescent="0.75">
      <c r="C5" s="25" t="str">
        <f>'A1.7 Validator'!I5</f>
        <v>Id: Validator</v>
      </c>
    </row>
    <row r="6" spans="3:7" x14ac:dyDescent="0.75">
      <c r="C6" s="25" t="str">
        <f>'A1.7 Validator'!I6</f>
        <v>Title: ##34#Result validator (A.1.7)##34#</v>
      </c>
    </row>
    <row r="7" spans="3:7" ht="29.5" x14ac:dyDescent="0.75">
      <c r="C7" s="25" t="str">
        <f>'A1.7 Validator'!I7</f>
        <v>Description:  ##334#A.1.7 Result validator##334#</v>
      </c>
    </row>
    <row r="8" spans="3:7" ht="44.25" x14ac:dyDescent="0.75">
      <c r="C8" s="14" t="str">
        <f>IF('A1.7 Validator'!I8="*  ..  ##34###34# ##334###334#","//--- END",'A1.7 Validator'!I8)</f>
        <v>* identifier 0..1 Identifier ##34#A.1.7.1 Result validator identifier##34# ##334#The health professional identification number. Either an internal identifier assign by a healthcare provider institution or (preferably) a national health professional ID such as the license or registration number.  - Preferred system(s): ##334#</v>
      </c>
    </row>
    <row r="9" spans="3:7" x14ac:dyDescent="0.75">
      <c r="C9" s="14" t="str">
        <f>IF('A1.7 Validator'!I9="*  ..  ##34###34# ##334###334#","//--- END",'A1.7 Validator'!I9)</f>
        <v>* name 0..* HumanName ##34#A.1.7.2 Result validator name##34# ##334#Person name. - Preferred system(s): ##334#</v>
      </c>
    </row>
    <row r="10" spans="3:7" ht="29.5" x14ac:dyDescent="0.75">
      <c r="C10" s="14" t="str">
        <f>IF('A1.7 Validator'!I10="*  ..  ##34###34# ##334###334#","//--- END",'A1.7 Validator'!I10)</f>
        <v>* organization 0..* Organization ##34#A.1.7.3 Result validator organisation##34# ##334#The healthcare provider organisation information. - Preferred system(s): ##334#</v>
      </c>
      <c r="E10" t="s">
        <v>307</v>
      </c>
    </row>
    <row r="11" spans="3:7" x14ac:dyDescent="0.75">
      <c r="C11" s="14" t="str">
        <f>IF('A1.7 Validator'!I11="*  ..  ##34###34# ##334###334#","//--- END",'A1.7 Validator'!I11)</f>
        <v>* dateTime 0..1 dateTime ##34#A.1.7.4 Validation date and time##34# ##334#Date and time when the document was validated. - Preferred system(s): ISO 8601##334#</v>
      </c>
    </row>
    <row r="12" spans="3:7" x14ac:dyDescent="0.75">
      <c r="C12" s="14" t="str">
        <f>IF('A1.7 Validator'!I12="*  ..  ##34###34# ##334###334#","//--- END",'A1.7 Validator'!I12)</f>
        <v>//--- END</v>
      </c>
    </row>
    <row r="13" spans="3:7" x14ac:dyDescent="0.75">
      <c r="C13" s="14" t="str">
        <f>IF('A1.7 Validator'!I13="*  ..  ##34###34# ##334###334#","//--- END",'A1.7 Validator'!I13)</f>
        <v>//--- END</v>
      </c>
    </row>
    <row r="14" spans="3:7" x14ac:dyDescent="0.75">
      <c r="C14" s="14" t="str">
        <f>IF('A1.7 Validator'!I14="*  ..  ##34###34# ##334###334#","//--- END",'A1.7 Validator'!I14)</f>
        <v>//--- END</v>
      </c>
    </row>
    <row r="30" spans="3:3" x14ac:dyDescent="0.75">
      <c r="C30" s="32" t="str">
        <f>'Validator-Map-1'!E1</f>
        <v>// -------------------------------------------------------------------------------</v>
      </c>
    </row>
    <row r="31" spans="3:3" x14ac:dyDescent="0.75">
      <c r="C31" s="33" t="str">
        <f>'Validator-Map-1'!E2</f>
        <v>//  Map to FHIR R4</v>
      </c>
    </row>
    <row r="32" spans="3:3" x14ac:dyDescent="0.75">
      <c r="C32" s="33" t="str">
        <f>'Validator-Map-1'!E3</f>
        <v>// -------------------------------------------------------------------------------</v>
      </c>
    </row>
    <row r="33" spans="3:7" x14ac:dyDescent="0.75">
      <c r="C33" s="14" t="str">
        <f>'Validator-Map-1'!E4</f>
        <v>Mapping: eHNLabValidator2Fhir</v>
      </c>
    </row>
    <row r="34" spans="3:7" x14ac:dyDescent="0.75">
      <c r="C34" s="14" t="str">
        <f>'Validator-Map-1'!E5</f>
        <v>Id: fhir</v>
      </c>
    </row>
    <row r="35" spans="3:7" x14ac:dyDescent="0.75">
      <c r="C35" s="14" t="str">
        <f>'Validator-Map-1'!E6</f>
        <v>Title: ##34#eHN Lab Validator model to FHIR R4 Map##34#</v>
      </c>
    </row>
    <row r="36" spans="3:7" x14ac:dyDescent="0.75">
      <c r="C36" s="14" t="str">
        <f>'Validator-Map-1'!E7</f>
        <v>Source: Validator</v>
      </c>
    </row>
    <row r="37" spans="3:7" x14ac:dyDescent="0.75">
      <c r="C37" s="14" t="str">
        <f>'Validator-Map-1'!E8</f>
        <v>Target: ##34#hl7.org/fhir/r4##34#</v>
      </c>
    </row>
    <row r="39" spans="3:7" x14ac:dyDescent="0.75">
      <c r="C39" s="14" t="str">
        <f>'Validator-Map-1'!E9</f>
        <v>* -&gt; ##34#Composition.attester.where(mode=http://hl7.org/fhir/composition-attestation-mode#professional)##34#</v>
      </c>
    </row>
    <row r="40" spans="3:7" x14ac:dyDescent="0.75">
      <c r="C40" s="14" t="str">
        <f>IF('Validator-Map-1'!E10="*  -&gt; ##34###34#","// --END",'Validator-Map-1'!E10)</f>
        <v>* identifier -&gt; ##34#.party.resolve().ofType(PractictionerRole).identifier##34#</v>
      </c>
    </row>
    <row r="41" spans="3:7" x14ac:dyDescent="0.75">
      <c r="C41" s="14" t="str">
        <f>IF('Validator-Map-1'!E11="*  -&gt; ##34###34#","// --END",'Validator-Map-1'!E11)</f>
        <v>* identifier -&gt; ##34#.party.resolve().ofType(PractictionerRole).practictioner.resolve().identifier##34#</v>
      </c>
    </row>
    <row r="42" spans="3:7" x14ac:dyDescent="0.75">
      <c r="C42" s="14" t="str">
        <f>IF('Validator-Map-1'!E12="*  -&gt; ##34###34#","// --END",'Validator-Map-1'!E12)</f>
        <v>* name -&gt; ##34#.party.resolve().ofType(PractictionerRole).practictioner.resolve().name##34#</v>
      </c>
    </row>
    <row r="43" spans="3:7" x14ac:dyDescent="0.75">
      <c r="C43" s="14" t="str">
        <f>IF('Validator-Map-1'!E13="*  -&gt; ##34###34#","// --END",'Validator-Map-1'!E13)</f>
        <v>* organization -&gt; ##34#.party.resolve().ofType(PractictionerRole).organization.resolve()##34#</v>
      </c>
    </row>
    <row r="44" spans="3:7" x14ac:dyDescent="0.75">
      <c r="C44" s="14" t="str">
        <f>IF('Validator-Map-1'!E14="*  -&gt; ##34###34#","// --END",'Validator-Map-1'!E14)</f>
        <v>* organization -&gt; ##34#.party.resolve().ofType(Organization)##34#</v>
      </c>
    </row>
    <row r="45" spans="3:7" x14ac:dyDescent="0.75">
      <c r="C45" s="14" t="str">
        <f>IF('Validator-Map-1'!E15="*  -&gt; ##34###34#","// --END",'Validator-Map-1'!E15)</f>
        <v>* dateTime -&gt; ##34#.time##34#</v>
      </c>
    </row>
    <row r="46" spans="3:7" x14ac:dyDescent="0.75">
      <c r="C46" s="14" t="str">
        <f>IF('Validator-Map-1'!E16="*  -&gt; ##34###34#","// --END",'Validator-Map-1'!E16)</f>
        <v>// --END</v>
      </c>
    </row>
    <row r="47" spans="3:7" x14ac:dyDescent="0.75">
      <c r="C47" s="14" t="str">
        <f>IF('Validator-Map-1'!E17="*  -&gt; ##34###34#","// --END",'Validator-Map-1'!E17)</f>
        <v>// --END</v>
      </c>
    </row>
    <row r="48" spans="3:7" x14ac:dyDescent="0.75">
      <c r="C48" s="14" t="str">
        <f>IF('Validator-Map-1'!E18="*  -&gt; ##34###34#","// --END",'Validator-Map-1'!E18)</f>
        <v>// --END</v>
      </c>
      <c r="G48" s="10"/>
    </row>
    <row r="49" spans="3:3" x14ac:dyDescent="0.75">
      <c r="C49" s="14" t="str">
        <f>IF('Validator-Map-1'!E19="*  -&gt; ##34###34#","// --END",'Validator-Map-1'!E19)</f>
        <v>// --END</v>
      </c>
    </row>
    <row r="50" spans="3:3" x14ac:dyDescent="0.75">
      <c r="C50" s="14" t="str">
        <f>IF('Validator-Map-1'!E20="*  -&gt; ##34###34#","// --END",'Validator-Map-1'!E20)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45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C8F9A-BA74-4D98-BEE1-567D29B66478}">
  <sheetPr codeName="Foglio38">
    <tabColor theme="7" tint="0.39997558519241921"/>
  </sheetPr>
  <dimension ref="A1:L39"/>
  <sheetViews>
    <sheetView zoomScaleNormal="100" workbookViewId="0">
      <selection activeCell="D10" sqref="D10"/>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424</v>
      </c>
      <c r="I4" s="25" t="str">
        <f>CONCATENATE("Logical: ",B4)</f>
        <v>Logical: OrderLabEhn</v>
      </c>
    </row>
    <row r="5" spans="1:11" x14ac:dyDescent="0.75">
      <c r="A5" s="18" t="s">
        <v>19</v>
      </c>
      <c r="B5" s="34" t="s">
        <v>230</v>
      </c>
      <c r="I5" s="25" t="str">
        <f>CONCATENATE("Id: ",B5)</f>
        <v>Id: Order</v>
      </c>
    </row>
    <row r="6" spans="1:11" x14ac:dyDescent="0.75">
      <c r="A6" s="18" t="s">
        <v>13</v>
      </c>
      <c r="B6" s="19" t="s">
        <v>427</v>
      </c>
      <c r="I6" s="26" t="str">
        <f>CONCATENATE("Title: ##34#",B6,"##34#")</f>
        <v>Title: ##34#Order (A2, A3)##34#</v>
      </c>
    </row>
    <row r="7" spans="1:11" x14ac:dyDescent="0.75">
      <c r="A7" s="46" t="s">
        <v>5</v>
      </c>
      <c r="B7" s="19" t="s">
        <v>428</v>
      </c>
      <c r="C7" s="12"/>
      <c r="D7" s="2"/>
      <c r="E7" s="57"/>
      <c r="F7" s="3" t="s">
        <v>9</v>
      </c>
      <c r="G7" s="3" t="s">
        <v>10</v>
      </c>
      <c r="I7" s="26" t="str">
        <f>CONCATENATE("Description: "," ##334#",B7,"##334#",)</f>
        <v>Description:  ##334#Order information (A.2) and reason (A3)##334#</v>
      </c>
    </row>
    <row r="8" spans="1:11" ht="44.25" x14ac:dyDescent="0.75">
      <c r="A8" s="9">
        <v>1</v>
      </c>
      <c r="B8" s="9" t="s">
        <v>440</v>
      </c>
      <c r="C8" s="14" t="s">
        <v>431</v>
      </c>
      <c r="D8" s="14" t="s">
        <v>416</v>
      </c>
      <c r="E8" s="9">
        <v>0</v>
      </c>
      <c r="F8" s="9">
        <v>1</v>
      </c>
      <c r="G8" s="9" t="s">
        <v>4</v>
      </c>
      <c r="H8" s="23"/>
      <c r="I8" s="14" t="str">
        <f>CONCATENATE("* ",B8, " ",E8,"..",F8," ",G8," ##34#",C8,"##34# ##334#",D8,"##334#")</f>
        <v>* orderDetails 0..1 BackboneElement ##34#A.2 Order information##34# ##334#A.2 Order information (Laboratory Result Report could respond to multiple test orders) ##334#</v>
      </c>
    </row>
    <row r="9" spans="1:11" ht="45" thickBot="1" x14ac:dyDescent="0.9">
      <c r="A9" s="9">
        <v>2</v>
      </c>
      <c r="B9" s="9" t="s">
        <v>441</v>
      </c>
      <c r="C9" s="14" t="s">
        <v>417</v>
      </c>
      <c r="D9" s="64" t="s">
        <v>147</v>
      </c>
      <c r="E9" s="9">
        <v>0</v>
      </c>
      <c r="F9" s="9" t="s">
        <v>11</v>
      </c>
      <c r="G9" s="9" t="s">
        <v>0</v>
      </c>
      <c r="H9" s="23"/>
      <c r="I9" s="14" t="str">
        <f t="shared" ref="I9:I19" si="0">CONCATENATE("* ",B9, " ",E9,"..",F9," ",G9," ##34#",C9,"##34# ##334#",D9,"##334#")</f>
        <v>* orderDetails.identifier 0..* Identifier ##34#A.2.1 Order Id##34# ##334#An identifier of the laboratory test order. Laboratory Result Report may respond to multiple orders.##334#</v>
      </c>
    </row>
    <row r="10" spans="1:11" ht="29.5" x14ac:dyDescent="0.75">
      <c r="A10" s="9">
        <v>3</v>
      </c>
      <c r="B10" s="9" t="s">
        <v>442</v>
      </c>
      <c r="C10" s="14" t="s">
        <v>418</v>
      </c>
      <c r="D10" s="14" t="s">
        <v>429</v>
      </c>
      <c r="E10" s="9">
        <v>0</v>
      </c>
      <c r="F10" s="9" t="s">
        <v>11</v>
      </c>
      <c r="G10" s="59" t="s">
        <v>2</v>
      </c>
      <c r="H10" s="23"/>
      <c r="I10" s="14" t="str">
        <f t="shared" si="0"/>
        <v>* orderDetails.dateTime 0..* dateTime ##34#A.2.2 Order date and time##34# ##334#Date and time of the order placement. - Preferred system(s): ISO 8601##334#</v>
      </c>
    </row>
    <row r="11" spans="1:11" ht="88.5" x14ac:dyDescent="0.75">
      <c r="A11" s="59">
        <v>4</v>
      </c>
      <c r="B11" s="9" t="s">
        <v>443</v>
      </c>
      <c r="C11" s="1" t="s">
        <v>419</v>
      </c>
      <c r="D11" s="60" t="s">
        <v>551</v>
      </c>
      <c r="E11" s="59">
        <v>0</v>
      </c>
      <c r="F11" s="59" t="s">
        <v>11</v>
      </c>
      <c r="G11" s="9" t="s">
        <v>0</v>
      </c>
      <c r="H11" s="23"/>
      <c r="I11" s="14" t="str">
        <f t="shared" si="0"/>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1:11" ht="29.5" x14ac:dyDescent="0.75">
      <c r="A12" s="9">
        <v>5</v>
      </c>
      <c r="B12" s="9" t="s">
        <v>444</v>
      </c>
      <c r="C12" s="14" t="s">
        <v>420</v>
      </c>
      <c r="D12" s="14" t="s">
        <v>89</v>
      </c>
      <c r="E12" s="59">
        <v>0</v>
      </c>
      <c r="F12" s="59" t="s">
        <v>11</v>
      </c>
      <c r="G12" s="9" t="s">
        <v>414</v>
      </c>
      <c r="H12" s="23"/>
      <c r="I12" s="14" t="str">
        <f t="shared" si="0"/>
        <v>* orderDetails.orderPlacerName 0..* HumanName ##34#A.2.4 Order placer name##34# ##334#Person name.##334#</v>
      </c>
    </row>
    <row r="13" spans="1:11" ht="44.25" x14ac:dyDescent="0.75">
      <c r="A13" s="9">
        <v>6</v>
      </c>
      <c r="B13" s="9" t="s">
        <v>445</v>
      </c>
      <c r="C13" s="52" t="s">
        <v>421</v>
      </c>
      <c r="D13" s="14" t="s">
        <v>158</v>
      </c>
      <c r="E13" s="59">
        <v>0</v>
      </c>
      <c r="F13" s="59" t="s">
        <v>11</v>
      </c>
      <c r="G13" s="9" t="s">
        <v>4</v>
      </c>
      <c r="H13" s="23"/>
      <c r="I13" s="14" t="str">
        <f t="shared" si="0"/>
        <v>* orderDetails.orderPlacerContacts 0..* BackboneElement ##34#A.2.5 Order placer contact details##34# ##334#Contact details of order placer (address and telecom details).##334#</v>
      </c>
    </row>
    <row r="14" spans="1:11" ht="29.5" x14ac:dyDescent="0.75">
      <c r="A14" s="9">
        <v>7</v>
      </c>
      <c r="B14" s="9" t="s">
        <v>446</v>
      </c>
      <c r="C14" s="52" t="s">
        <v>553</v>
      </c>
      <c r="D14" s="52" t="s">
        <v>161</v>
      </c>
      <c r="E14" s="59">
        <v>0</v>
      </c>
      <c r="F14" s="59" t="s">
        <v>11</v>
      </c>
      <c r="G14" s="9" t="s">
        <v>370</v>
      </c>
      <c r="H14" s="23"/>
      <c r="I14" s="14" t="str">
        <f t="shared" si="0"/>
        <v>* orderDetails.orderPlacerOrganization 0..* Organization ##34#A.2.6 Order placer organization##34# ##334#Order placer organization information.##334#</v>
      </c>
    </row>
    <row r="15" spans="1:11" ht="29.5" x14ac:dyDescent="0.75">
      <c r="A15" s="9">
        <v>8</v>
      </c>
      <c r="B15" s="9" t="s">
        <v>437</v>
      </c>
      <c r="C15" s="14" t="s">
        <v>430</v>
      </c>
      <c r="D15" s="14" t="s">
        <v>422</v>
      </c>
      <c r="E15" s="9">
        <v>0</v>
      </c>
      <c r="F15" s="9" t="s">
        <v>11</v>
      </c>
      <c r="G15" s="9" t="s">
        <v>4</v>
      </c>
      <c r="H15" s="23"/>
      <c r="I15" s="14" t="str">
        <f t="shared" si="0"/>
        <v>* reason 0..* BackboneElement ##34#A.3 Order reason##34# ##334#A.3 Order reason (Laboratory Result Report could respond to multiple reasons) ##334#</v>
      </c>
      <c r="J15" s="16"/>
      <c r="K15" s="9"/>
    </row>
    <row r="16" spans="1:11" ht="118" x14ac:dyDescent="0.75">
      <c r="A16" s="9">
        <v>9</v>
      </c>
      <c r="B16" s="9" t="s">
        <v>438</v>
      </c>
      <c r="C16" s="14" t="s">
        <v>423</v>
      </c>
      <c r="D16" s="14" t="s">
        <v>439</v>
      </c>
      <c r="E16" s="9">
        <v>0</v>
      </c>
      <c r="F16" s="9" t="s">
        <v>11</v>
      </c>
      <c r="G16" s="53" t="s">
        <v>1</v>
      </c>
      <c r="H16" s="9"/>
      <c r="I16" s="14" t="str">
        <f t="shared" si="0"/>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thickBot="1" x14ac:dyDescent="0.9">
      <c r="B26" t="str">
        <f t="shared" ref="B26:B34" si="1">CONCATENATE(C26," ",D26)</f>
        <v xml:space="preserve">A.2 Order information (Laboratory Result Report could respond to multiple test orders) </v>
      </c>
      <c r="C26" s="82" t="s">
        <v>144</v>
      </c>
      <c r="D26" s="83"/>
      <c r="E26" s="83"/>
      <c r="F26" s="84"/>
    </row>
    <row r="27" spans="2:9" ht="64.75" thickBot="1" x14ac:dyDescent="0.9">
      <c r="B27" t="str">
        <f t="shared" si="1"/>
        <v>A.2.1 Order Id</v>
      </c>
      <c r="C27" s="36" t="s">
        <v>145</v>
      </c>
      <c r="D27" s="39" t="s">
        <v>146</v>
      </c>
      <c r="E27" s="37" t="s">
        <v>147</v>
      </c>
      <c r="F27" s="42"/>
      <c r="I27" s="1" t="str">
        <f t="shared" ref="I27:I36" si="2">CONCATENATE(E27," - Preferred system(s): ",F27)</f>
        <v xml:space="preserve">An identifier of the laboratory test order. Laboratory Result Report may respond to multiple orders. - Preferred system(s): </v>
      </c>
    </row>
    <row r="28" spans="2:9" ht="32.75" thickBot="1" x14ac:dyDescent="0.9">
      <c r="B28" t="str">
        <f t="shared" si="1"/>
        <v>A.2.2 Order date and time</v>
      </c>
      <c r="C28" s="36" t="s">
        <v>148</v>
      </c>
      <c r="D28" s="39" t="s">
        <v>149</v>
      </c>
      <c r="E28" s="37" t="s">
        <v>150</v>
      </c>
      <c r="F28" s="39" t="s">
        <v>113</v>
      </c>
      <c r="I28" s="1" t="str">
        <f t="shared" si="2"/>
        <v>Date and time of the order placement. - Preferred system(s): ISO 8601</v>
      </c>
    </row>
    <row r="29" spans="2:9" ht="192.75" thickBot="1" x14ac:dyDescent="0.9">
      <c r="B29" t="str">
        <f t="shared" si="1"/>
        <v>A.2.3 Order placer identifier</v>
      </c>
      <c r="C29" s="36" t="s">
        <v>151</v>
      </c>
      <c r="D29" s="39" t="s">
        <v>152</v>
      </c>
      <c r="E29" s="37" t="s">
        <v>551</v>
      </c>
      <c r="F29" s="42"/>
      <c r="I29" s="1" t="str">
        <f t="shared" si="2"/>
        <v xml:space="preserve">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 Preferred system(s): </v>
      </c>
    </row>
    <row r="30" spans="2:9" ht="16.75" thickBot="1" x14ac:dyDescent="0.9">
      <c r="B30" t="str">
        <f t="shared" si="1"/>
        <v>A.2.4 Order placer name</v>
      </c>
      <c r="C30" s="36" t="s">
        <v>154</v>
      </c>
      <c r="D30" s="39" t="s">
        <v>155</v>
      </c>
      <c r="E30" s="37" t="s">
        <v>89</v>
      </c>
      <c r="F30" s="42"/>
      <c r="I30" s="1" t="str">
        <f t="shared" si="2"/>
        <v xml:space="preserve">Person name. - Preferred system(s): </v>
      </c>
    </row>
    <row r="31" spans="2:9" ht="32.75" thickBot="1" x14ac:dyDescent="0.9">
      <c r="B31" t="str">
        <f t="shared" si="1"/>
        <v>A.2.5 Order placer contact details</v>
      </c>
      <c r="C31" s="36" t="s">
        <v>156</v>
      </c>
      <c r="D31" s="39" t="s">
        <v>157</v>
      </c>
      <c r="E31" s="37" t="s">
        <v>158</v>
      </c>
      <c r="F31" s="38"/>
      <c r="I31" s="1" t="str">
        <f t="shared" si="2"/>
        <v xml:space="preserve">Contact details of order placer (address and telecom details). - Preferred system(s): </v>
      </c>
    </row>
    <row r="32" spans="2:9" ht="32.75" thickBot="1" x14ac:dyDescent="0.9">
      <c r="B32" t="str">
        <f t="shared" si="1"/>
        <v xml:space="preserve">A.2.6 Order placer organization </v>
      </c>
      <c r="C32" s="36" t="s">
        <v>159</v>
      </c>
      <c r="D32" s="39" t="s">
        <v>552</v>
      </c>
      <c r="E32" s="37" t="s">
        <v>161</v>
      </c>
      <c r="F32" s="42"/>
      <c r="I32" s="1" t="str">
        <f t="shared" si="2"/>
        <v xml:space="preserve">Order placer organization information. - Preferred system(s): </v>
      </c>
    </row>
    <row r="33" spans="2:9" ht="15.5" thickBot="1" x14ac:dyDescent="0.9">
      <c r="B33" t="str">
        <f t="shared" si="1"/>
        <v xml:space="preserve">A.3 Order reason (Laboratory Result Report could respond to multiple reasons) </v>
      </c>
      <c r="C33" s="85" t="s">
        <v>162</v>
      </c>
      <c r="D33" s="86"/>
      <c r="E33" s="86"/>
      <c r="F33" s="87"/>
    </row>
    <row r="34" spans="2:9" ht="80" x14ac:dyDescent="0.75">
      <c r="B34" t="str">
        <f t="shared" si="1"/>
        <v>A.3.1 Problem / diagnosis / condition description</v>
      </c>
      <c r="C34" s="76" t="s">
        <v>163</v>
      </c>
      <c r="D34" s="76" t="s">
        <v>164</v>
      </c>
      <c r="E34" s="76" t="s">
        <v>165</v>
      </c>
      <c r="F34" s="43" t="s">
        <v>166</v>
      </c>
      <c r="I34" s="1" t="str">
        <f t="shared" si="2"/>
        <v>Health conditions affecting the health of the patient and are important to be known for a health professional during a health encounter. Clinical conditions of the subject relevant for the results interpretation. - Preferred system(s): ICD-10 (ICD-11 when available)</v>
      </c>
    </row>
    <row r="35" spans="2:9" ht="32" x14ac:dyDescent="0.75">
      <c r="C35" s="77"/>
      <c r="D35" s="77"/>
      <c r="E35" s="77"/>
      <c r="F35" s="43" t="s">
        <v>167</v>
      </c>
      <c r="I35" s="1" t="str">
        <f t="shared" si="2"/>
        <v xml:space="preserve"> - Preferred system(s): SNOMED CT</v>
      </c>
    </row>
    <row r="36" spans="2:9" ht="32.75" thickBot="1" x14ac:dyDescent="0.9">
      <c r="C36" s="78"/>
      <c r="D36" s="78"/>
      <c r="E36" s="78"/>
      <c r="F36" s="39" t="s">
        <v>168</v>
      </c>
      <c r="I36" s="1" t="str">
        <f t="shared" si="2"/>
        <v xml:space="preserve"> - Preferred system(s): Orphacode</v>
      </c>
    </row>
    <row r="39" spans="2:9" ht="59" x14ac:dyDescent="0.75">
      <c r="D39" s="1" t="s">
        <v>432</v>
      </c>
    </row>
  </sheetData>
  <mergeCells count="5">
    <mergeCell ref="C26:F26"/>
    <mergeCell ref="C33:F33"/>
    <mergeCell ref="C34:C36"/>
    <mergeCell ref="D34:D36"/>
    <mergeCell ref="E34:E36"/>
  </mergeCells>
  <hyperlinks>
    <hyperlink ref="C26:F26" location="Order!A1" display="A.2 Order information (Laboratory Result Report could respond to multiple test orders)" xr:uid="{E964704F-8005-4CDC-86EC-8C869BFFCD93}"/>
    <hyperlink ref="C33:F33" location="Order!A1" display="A.3 Order reason (Laboratory Result Report could respond to multiple reasons)" xr:uid="{C60B70A8-DA84-4B62-8C55-7BD28E382899}"/>
  </hyperlinks>
  <pageMargins left="0.7" right="0.7" top="0.75" bottom="0.75" header="0.3" footer="0.3"/>
  <pageSetup paperSize="9" orientation="portrait"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290BCC-B07F-46AB-957B-7F2744A3CBC6}">
  <sheetPr codeName="Foglio39"/>
  <dimension ref="A1:O27"/>
  <sheetViews>
    <sheetView topLeftCell="A3" zoomScale="130" zoomScaleNormal="130" workbookViewId="0">
      <selection activeCell="C9" sqref="C9"/>
    </sheetView>
  </sheetViews>
  <sheetFormatPr defaultRowHeight="14.75" x14ac:dyDescent="0.75"/>
  <cols>
    <col min="2" max="2" width="31.6796875" bestFit="1" customWidth="1"/>
    <col min="3" max="3" width="82.76953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425</v>
      </c>
      <c r="E4" s="28" t="str">
        <f>CONCATENATE("Mapping: ",C4)</f>
        <v>Mapping: eHNLabOrder2Fhir</v>
      </c>
      <c r="H4" s="10"/>
      <c r="I4" s="10"/>
      <c r="J4" s="10"/>
      <c r="K4" s="10"/>
      <c r="L4" s="10"/>
      <c r="M4" s="10"/>
      <c r="N4" s="10"/>
      <c r="O4" s="10"/>
    </row>
    <row r="5" spans="1:15" ht="15.5" thickBot="1" x14ac:dyDescent="0.9">
      <c r="B5" s="13" t="s">
        <v>19</v>
      </c>
      <c r="C5" s="5" t="s">
        <v>16</v>
      </c>
      <c r="E5" s="29" t="str">
        <f>CONCATENATE("Id: ",C5)</f>
        <v>Id: fhir</v>
      </c>
      <c r="H5" s="10"/>
      <c r="I5" s="10"/>
      <c r="J5" s="10"/>
      <c r="K5" s="10"/>
      <c r="L5" s="10"/>
      <c r="M5" s="10"/>
      <c r="N5" s="10"/>
      <c r="O5" s="10"/>
    </row>
    <row r="6" spans="1:15" ht="15.5" thickBot="1" x14ac:dyDescent="0.9">
      <c r="B6" s="13" t="s">
        <v>13</v>
      </c>
      <c r="C6" s="22" t="s">
        <v>426</v>
      </c>
      <c r="E6" s="29" t="str">
        <f>CONCATENATE("Title: ##34#",C6,"##34#")</f>
        <v>Title: ##34#eHN Lab Order model to FHIR R4 Map##34#</v>
      </c>
      <c r="H6" s="10"/>
      <c r="I6" s="10"/>
      <c r="J6" s="10"/>
      <c r="K6" s="10"/>
      <c r="L6" s="10"/>
      <c r="M6" s="10"/>
      <c r="N6" s="10"/>
      <c r="O6" s="10"/>
    </row>
    <row r="7" spans="1:15" ht="15.5" thickBot="1" x14ac:dyDescent="0.9">
      <c r="B7" s="13" t="s">
        <v>35</v>
      </c>
      <c r="C7" s="11" t="str">
        <f>B9</f>
        <v>Order</v>
      </c>
      <c r="E7" s="29" t="str">
        <f>CONCATENATE("Source: ",C7)</f>
        <v>Source: Order</v>
      </c>
      <c r="H7" s="10"/>
      <c r="I7" s="10"/>
      <c r="J7" s="10"/>
      <c r="K7" s="10"/>
      <c r="L7" s="10"/>
      <c r="M7" s="10"/>
      <c r="N7" s="10"/>
      <c r="O7" s="10"/>
    </row>
    <row r="8" spans="1:15" ht="15.5" thickBot="1" x14ac:dyDescent="0.9">
      <c r="B8" s="27" t="s">
        <v>18</v>
      </c>
      <c r="C8" t="s">
        <v>15</v>
      </c>
      <c r="E8" s="30" t="str">
        <f>CONCATENATE("Target: ##34#",C8,"##34#")</f>
        <v>Target: ##34#hl7.org/fhir/r4##34#</v>
      </c>
      <c r="H8" s="10"/>
      <c r="I8" s="10"/>
      <c r="J8" s="10"/>
      <c r="K8" s="10"/>
      <c r="L8" s="10"/>
      <c r="M8" s="10"/>
      <c r="N8" s="10"/>
      <c r="O8" s="10"/>
    </row>
    <row r="9" spans="1:15" ht="44.25" x14ac:dyDescent="0.75">
      <c r="A9" s="9"/>
      <c r="B9" s="8" t="str">
        <f>Order!B5</f>
        <v>Order</v>
      </c>
      <c r="C9" s="4" t="s">
        <v>339</v>
      </c>
      <c r="E9" s="4" t="str">
        <f>CONCATENATE("* -&gt; ##34#",C9,"##34#")</f>
        <v>* -&gt; ##34#Composition.extension('http://hl7.eu/fhir/ig/xeh/StructureDefinition/composition-basedOn-order-or-requisition').valueReference.resolve()##34#</v>
      </c>
      <c r="H9" s="10"/>
      <c r="I9" s="10"/>
      <c r="J9" s="10"/>
      <c r="K9" s="10"/>
      <c r="L9" s="10"/>
      <c r="M9" s="10"/>
      <c r="N9" s="10"/>
      <c r="O9" s="10"/>
    </row>
    <row r="10" spans="1:15" ht="44.25" x14ac:dyDescent="0.75">
      <c r="A10" s="9"/>
      <c r="B10" s="9" t="str">
        <f>Order!B8</f>
        <v>orderDetails</v>
      </c>
      <c r="C10" s="14" t="s">
        <v>339</v>
      </c>
      <c r="E10" s="14" t="str">
        <f t="shared" ref="E10:E24" si="0">IF(B10=0,"*  -&gt; ##34###34#",CONCATENATE("* ",B10," -&gt; ##34#",C10,"##34#"))</f>
        <v>* orderDetails -&gt; ##34#Composition.extension('http://hl7.eu/fhir/ig/xeh/StructureDefinition/composition-basedOn-order-or-requisition').valueReference.resolve()##34#</v>
      </c>
      <c r="H10" s="10"/>
      <c r="I10" s="10"/>
      <c r="J10" s="10"/>
      <c r="K10" s="10"/>
      <c r="L10" s="10"/>
      <c r="M10" s="10"/>
      <c r="N10" s="10"/>
      <c r="O10" s="10"/>
    </row>
    <row r="11" spans="1:15" x14ac:dyDescent="0.75">
      <c r="A11" s="9"/>
      <c r="B11" s="9" t="str">
        <f>Order!B9</f>
        <v>orderDetails.identifier</v>
      </c>
      <c r="C11" s="9" t="s">
        <v>598</v>
      </c>
      <c r="E11" s="14" t="str">
        <f t="shared" si="0"/>
        <v>* orderDetails.identifier -&gt; ##34#ServiceRequest.identifier##34#</v>
      </c>
      <c r="H11" s="10"/>
      <c r="I11" s="10"/>
      <c r="J11" s="10"/>
      <c r="K11" s="10"/>
      <c r="L11" s="10"/>
      <c r="M11" s="10"/>
      <c r="N11" s="10"/>
      <c r="O11" s="10"/>
    </row>
    <row r="12" spans="1:15" x14ac:dyDescent="0.75">
      <c r="A12" s="9"/>
      <c r="B12" s="9" t="str">
        <f>Order!B10</f>
        <v>orderDetails.dateTime</v>
      </c>
      <c r="C12" s="9" t="s">
        <v>599</v>
      </c>
      <c r="E12" s="14" t="str">
        <f t="shared" si="0"/>
        <v>* orderDetails.dateTime -&gt; ##34#ServiceRequest.authoredOn##34#</v>
      </c>
      <c r="H12" s="10"/>
      <c r="I12" s="10"/>
      <c r="J12" s="10"/>
      <c r="K12" s="10"/>
      <c r="L12" s="10"/>
      <c r="M12" s="10"/>
      <c r="N12" s="10"/>
      <c r="O12" s="10"/>
    </row>
    <row r="13" spans="1:15" ht="29.5" x14ac:dyDescent="0.75">
      <c r="A13" s="9"/>
      <c r="B13" s="62" t="str">
        <f>Order!$B$11</f>
        <v>orderDetails.orderPlacerIdentifier</v>
      </c>
      <c r="C13" s="9" t="s">
        <v>600</v>
      </c>
      <c r="E13" s="14" t="str">
        <f t="shared" si="0"/>
        <v>* orderDetails.orderPlacerIdentifier -&gt; ##34#ServiceRequest.requester.resolve().ofType(PractictionerRole).identifier##34#</v>
      </c>
      <c r="H13" s="10"/>
      <c r="I13" s="10"/>
      <c r="J13" s="10"/>
      <c r="K13" s="10"/>
      <c r="L13" s="10"/>
      <c r="M13" s="10"/>
      <c r="N13" s="10"/>
      <c r="O13" s="10"/>
    </row>
    <row r="14" spans="1:15" ht="44.25" x14ac:dyDescent="0.75">
      <c r="A14" s="9"/>
      <c r="B14" s="62" t="str">
        <f>Order!$B$11</f>
        <v>orderDetails.orderPlacerIdentifier</v>
      </c>
      <c r="C14" s="9" t="s">
        <v>601</v>
      </c>
      <c r="E14" s="14" t="str">
        <f t="shared" si="0"/>
        <v>* orderDetails.orderPlacerIdentifier -&gt; ##34#ServiceRequest.requester.resolve().ofType(PractictionerRole).practictioner.resolve().identifier##34#</v>
      </c>
      <c r="H14" s="10"/>
      <c r="I14" s="10"/>
      <c r="J14" s="10"/>
      <c r="K14" s="10"/>
      <c r="L14" s="10"/>
      <c r="M14" s="10"/>
      <c r="N14" s="10"/>
      <c r="O14" s="10"/>
    </row>
    <row r="15" spans="1:15" ht="44.25" x14ac:dyDescent="0.75">
      <c r="A15" s="9"/>
      <c r="B15" s="9" t="str">
        <f>Order!B12</f>
        <v>orderDetails.orderPlacerName</v>
      </c>
      <c r="C15" s="9" t="s">
        <v>602</v>
      </c>
      <c r="E15" s="14" t="str">
        <f t="shared" si="0"/>
        <v>* orderDetails.orderPlacerName -&gt; ##34#ServiceRequest.requester.resolve().ofType(PractictionerRole).practictioner.resolve().name##34#</v>
      </c>
      <c r="H15" s="10"/>
      <c r="I15" s="10"/>
      <c r="J15" s="10"/>
      <c r="K15" s="10"/>
      <c r="L15" s="10"/>
      <c r="M15" s="10"/>
      <c r="N15" s="10"/>
      <c r="O15" s="10"/>
    </row>
    <row r="16" spans="1:15" ht="29.5" x14ac:dyDescent="0.75">
      <c r="A16" s="9"/>
      <c r="B16" s="62" t="str">
        <f>Order!$B$13</f>
        <v>orderDetails.orderPlacerContacts</v>
      </c>
      <c r="C16" s="9" t="s">
        <v>605</v>
      </c>
      <c r="E16" s="14" t="str">
        <f t="shared" si="0"/>
        <v>* orderDetails.orderPlacerContacts -&gt; ##34#ServiceRequest.requester.resolve().ofType(PractictionerRole).telecom##34#</v>
      </c>
      <c r="H16" s="10"/>
      <c r="I16" s="10"/>
      <c r="J16" s="10"/>
      <c r="K16" s="10"/>
      <c r="L16" s="10"/>
      <c r="M16" s="10"/>
      <c r="N16" s="10"/>
      <c r="O16" s="10"/>
    </row>
    <row r="17" spans="1:15" ht="29.5" x14ac:dyDescent="0.75">
      <c r="A17" s="9"/>
      <c r="B17" s="62" t="str">
        <f>Order!$B$13</f>
        <v>orderDetails.orderPlacerContacts</v>
      </c>
      <c r="C17" s="9" t="s">
        <v>606</v>
      </c>
      <c r="E17" s="14" t="str">
        <f t="shared" si="0"/>
        <v>* orderDetails.orderPlacerContacts -&gt; ##34#ServiceRequest.requester.resolve().ofType(PractictionerRole).location##34#</v>
      </c>
      <c r="H17" s="10"/>
      <c r="I17" s="10"/>
      <c r="J17" s="10"/>
      <c r="K17" s="10"/>
      <c r="L17" s="10"/>
      <c r="M17" s="10"/>
      <c r="N17" s="10"/>
      <c r="O17" s="10"/>
    </row>
    <row r="18" spans="1:15" ht="44.25" x14ac:dyDescent="0.75">
      <c r="A18" s="9"/>
      <c r="B18" s="65" t="str">
        <f>Order!$B$14</f>
        <v>orderDetails.orderPlacerOrganization</v>
      </c>
      <c r="C18" s="9" t="s">
        <v>603</v>
      </c>
      <c r="E18" s="14" t="str">
        <f t="shared" si="0"/>
        <v>* orderDetails.orderPlacerOrganization -&gt; ##34#ServiceRequest.requester.resolve().ofType(PractictionerRole).organization.resolve()##34#</v>
      </c>
      <c r="H18" s="10"/>
      <c r="I18" s="10"/>
      <c r="J18" s="10"/>
      <c r="K18" s="10"/>
      <c r="L18" s="10"/>
      <c r="M18" s="10"/>
      <c r="N18" s="10"/>
      <c r="O18" s="10"/>
    </row>
    <row r="19" spans="1:15" ht="29.5" x14ac:dyDescent="0.75">
      <c r="A19" s="9"/>
      <c r="B19" s="65" t="str">
        <f>Order!$B$14</f>
        <v>orderDetails.orderPlacerOrganization</v>
      </c>
      <c r="C19" s="9" t="s">
        <v>604</v>
      </c>
      <c r="E19" s="14" t="str">
        <f t="shared" si="0"/>
        <v>* orderDetails.orderPlacerOrganization -&gt; ##34#ServiceRequest.requester.resolve().ofType(Organization)##34#</v>
      </c>
      <c r="H19" s="10"/>
      <c r="I19" s="10"/>
      <c r="J19" s="10"/>
      <c r="K19" s="10"/>
      <c r="L19" s="10"/>
      <c r="M19" s="10"/>
      <c r="N19" s="10"/>
      <c r="O19" s="10"/>
    </row>
    <row r="20" spans="1:15" x14ac:dyDescent="0.75">
      <c r="A20" s="9"/>
      <c r="B20" s="9" t="str">
        <f>Order!B15</f>
        <v>reason</v>
      </c>
      <c r="C20" s="9" t="s">
        <v>607</v>
      </c>
      <c r="E20" s="14" t="str">
        <f t="shared" si="0"/>
        <v>* reason -&gt; ##34#ServiceRequest.reasonCode##34#</v>
      </c>
    </row>
    <row r="21" spans="1:15" x14ac:dyDescent="0.75">
      <c r="A21" s="9"/>
      <c r="B21" s="9" t="str">
        <f>Order!B16</f>
        <v>reason.code</v>
      </c>
      <c r="C21" s="9" t="s">
        <v>607</v>
      </c>
      <c r="E21" s="14" t="str">
        <f t="shared" si="0"/>
        <v>* reason.code -&gt; ##34#ServiceRequest.reasonCode##34#</v>
      </c>
    </row>
    <row r="22" spans="1:15" x14ac:dyDescent="0.75">
      <c r="A22" s="9"/>
      <c r="B22" s="9">
        <f>Order!B17</f>
        <v>0</v>
      </c>
      <c r="C22" s="53" t="s">
        <v>354</v>
      </c>
      <c r="E22" s="14" t="str">
        <f t="shared" si="0"/>
        <v>*  -&gt; ##34###34#</v>
      </c>
    </row>
    <row r="23" spans="1:15" x14ac:dyDescent="0.75">
      <c r="A23" s="9"/>
      <c r="B23" s="9">
        <f>Order!B18</f>
        <v>0</v>
      </c>
      <c r="C23" s="9" t="s">
        <v>354</v>
      </c>
      <c r="E23" s="14" t="str">
        <f t="shared" si="0"/>
        <v>*  -&gt; ##34###34#</v>
      </c>
    </row>
    <row r="24" spans="1:15" x14ac:dyDescent="0.75">
      <c r="B24" s="9"/>
      <c r="C24" s="9" t="s">
        <v>354</v>
      </c>
      <c r="E24" s="14" t="str">
        <f t="shared" si="0"/>
        <v>*  -&gt; ##34###34#</v>
      </c>
    </row>
    <row r="25" spans="1:15" x14ac:dyDescent="0.75">
      <c r="B25" s="9"/>
      <c r="E25" s="14"/>
    </row>
    <row r="26" spans="1:15" x14ac:dyDescent="0.75">
      <c r="E26" s="14"/>
    </row>
    <row r="27" spans="1:15" x14ac:dyDescent="0.75">
      <c r="E27" s="22"/>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EDC9CA-7C02-4673-B529-3F03B5E60572}">
  <sheetPr codeName="Foglio13">
    <tabColor theme="8" tint="-0.249977111117893"/>
  </sheetPr>
  <dimension ref="C1:G54"/>
  <sheetViews>
    <sheetView workbookViewId="0">
      <selection activeCell="C23" sqref="C23"/>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Order!I1</f>
        <v>// -------------------------------------------------------------------------------</v>
      </c>
    </row>
    <row r="2" spans="3:7" ht="16.75" thickBot="1" x14ac:dyDescent="0.9">
      <c r="C2" s="33" t="str">
        <f>Order!I2</f>
        <v>//  Logical Model</v>
      </c>
      <c r="G2" s="56" t="s">
        <v>447</v>
      </c>
    </row>
    <row r="3" spans="3:7" x14ac:dyDescent="0.75">
      <c r="C3" s="33" t="str">
        <f>Order!I3</f>
        <v>// -------------------------------------------------------------------------------</v>
      </c>
    </row>
    <row r="4" spans="3:7" x14ac:dyDescent="0.75">
      <c r="C4" s="25" t="str">
        <f>Order!I4</f>
        <v>Logical: OrderLabEhn</v>
      </c>
    </row>
    <row r="5" spans="3:7" x14ac:dyDescent="0.75">
      <c r="C5" s="25" t="str">
        <f>Order!I5</f>
        <v>Id: Order</v>
      </c>
    </row>
    <row r="6" spans="3:7" x14ac:dyDescent="0.75">
      <c r="C6" s="25" t="str">
        <f>Order!I6</f>
        <v>Title: ##34#Order (A2, A3)##34#</v>
      </c>
    </row>
    <row r="7" spans="3:7" x14ac:dyDescent="0.75">
      <c r="C7" s="25" t="str">
        <f>Order!I7</f>
        <v>Description:  ##334#Order information (A.2) and reason (A3)##334#</v>
      </c>
    </row>
    <row r="8" spans="3:7" ht="44.25" x14ac:dyDescent="0.75">
      <c r="C8" s="14" t="str">
        <f>IF(Order!I8="*  ..  ##34###34# ##334###334#","//--- END",Order!I8)</f>
        <v>* orderDetails 0..1 BackboneElement ##34#A.2 Order information##34# ##334#A.2 Order information (Laboratory Result Report could respond to multiple test orders) ##334#</v>
      </c>
    </row>
    <row r="9" spans="3:7" x14ac:dyDescent="0.75">
      <c r="C9" s="14" t="str">
        <f>IF(Order!I9="*  ..  ##34###34# ##334###334#","//--- END",Order!I9)</f>
        <v>* orderDetails.identifier 0..* Identifier ##34#A.2.1 Order Id##34# ##334#An identifier of the laboratory test order. Laboratory Result Report may respond to multiple orders.##334#</v>
      </c>
    </row>
    <row r="10" spans="3:7" ht="29.5" x14ac:dyDescent="0.75">
      <c r="C10" s="14" t="str">
        <f>IF(Order!I10="*  ..  ##34###34# ##334###334#","//--- END",Order!I10)</f>
        <v>* orderDetails.dateTime 0..* dateTime ##34#A.2.2 Order date and time##34# ##334#Date and time of the order placement. - Preferred system(s): ISO 8601##334#</v>
      </c>
      <c r="E10" t="s">
        <v>307</v>
      </c>
    </row>
    <row r="11" spans="3:7" ht="59" x14ac:dyDescent="0.75">
      <c r="C11" s="14" t="str">
        <f>IF(Order!I11="*  ..  ##34###34# ##334###334#","//--- END",Order!I11)</f>
        <v>* orderDetails.orderPlacerIdentifier 0..* Identifier ##34#A.2.3 Order placer identifier##34# ##334#The health professional identification number. Either an internal identifier assigned by a healthcare provider institution or (preferably) a national health professional ID such as the license or registration number. In case when order placer is not a health professional, e.g. by patients themselves where applicable, appropriate personal identifier should be used. ##334#</v>
      </c>
    </row>
    <row r="12" spans="3:7" x14ac:dyDescent="0.75">
      <c r="C12" s="14" t="str">
        <f>IF(Order!I12="*  ..  ##34###34# ##334###334#","//--- END",Order!I12)</f>
        <v>* orderDetails.orderPlacerName 0..* HumanName ##34#A.2.4 Order placer name##34# ##334#Person name.##334#</v>
      </c>
    </row>
    <row r="13" spans="3:7" ht="29.5" x14ac:dyDescent="0.75">
      <c r="C13" s="14" t="str">
        <f>IF(Order!I13="*  ..  ##34###34# ##334###334#","//--- END",Order!I13)</f>
        <v>* orderDetails.orderPlacerContacts 0..* BackboneElement ##34#A.2.5 Order placer contact details##34# ##334#Contact details of order placer (address and telecom details).##334#</v>
      </c>
    </row>
    <row r="14" spans="3:7" ht="29.5" x14ac:dyDescent="0.75">
      <c r="C14" s="14" t="str">
        <f>IF(Order!I14="*  ..  ##34###34# ##334###334#","//--- END",Order!I14)</f>
        <v>* orderDetails.orderPlacerOrganization 0..* Organization ##34#A.2.6 Order placer organization##34# ##334#Order placer organization information.##334#</v>
      </c>
    </row>
    <row r="15" spans="3:7" ht="29.5" x14ac:dyDescent="0.75">
      <c r="C15" s="14" t="str">
        <f>IF(Order!I15="*  ..  ##34###34# ##334###334#","//--- END",Order!I15)</f>
        <v>* reason 0..* BackboneElement ##34#A.3 Order reason##34# ##334#A.3 Order reason (Laboratory Result Report could respond to multiple reasons) ##334#</v>
      </c>
    </row>
    <row r="16" spans="3:7" ht="88.5" x14ac:dyDescent="0.75">
      <c r="C16" s="14" t="str">
        <f>IF(Order!I16="*  ..  ##34###34# ##334###334#","//--- END",Order!I16)</f>
        <v>* reason.code 0..* CodeableConcept ##34#A.3.1 Problem / diagnosis / condition description##34# ##334#Health conditions affecting the health of the patient and are important to be known for a health professional during a health encounter. Clinical conditions of the subject relevant for the results interpretation.
- Preferred system(s): ICD-10 (ICD-11 when available)
- Preferred system(s): SNOMED CT
- Preferred system(s): Orphacode##334#</v>
      </c>
    </row>
    <row r="17" spans="3:3" x14ac:dyDescent="0.75">
      <c r="C17" s="14" t="str">
        <f>IF(Order!I17="*  ..  ##34###34# ##334###334#","//--- END",Order!I17)</f>
        <v>//--- END</v>
      </c>
    </row>
    <row r="18" spans="3:3" x14ac:dyDescent="0.75">
      <c r="C18" s="14" t="str">
        <f>IF(Order!I18="*  ..  ##34###34# ##334###334#","//--- END",Order!I18)</f>
        <v>//--- END</v>
      </c>
    </row>
    <row r="19" spans="3:3" x14ac:dyDescent="0.75">
      <c r="C19" s="14" t="str">
        <f>IF(Order!I19="*  ..  ##34###34# ##334###334#","//--- END",Order!I19)</f>
        <v>//--- END</v>
      </c>
    </row>
    <row r="30" spans="3:3" x14ac:dyDescent="0.75">
      <c r="C30" s="32" t="str">
        <f>'Order-Map-1'!E1</f>
        <v>// -------------------------------------------------------------------------------</v>
      </c>
    </row>
    <row r="31" spans="3:3" x14ac:dyDescent="0.75">
      <c r="C31" s="33" t="str">
        <f>'Order-Map-1'!E2</f>
        <v>//  Map to FHIR R4</v>
      </c>
    </row>
    <row r="32" spans="3:3" x14ac:dyDescent="0.75">
      <c r="C32" s="33" t="str">
        <f>'Order-Map-1'!E3</f>
        <v>// -------------------------------------------------------------------------------</v>
      </c>
    </row>
    <row r="33" spans="3:7" x14ac:dyDescent="0.75">
      <c r="C33" s="14" t="str">
        <f>'Order-Map-1'!E4</f>
        <v>Mapping: eHNLabOrder2Fhir</v>
      </c>
    </row>
    <row r="34" spans="3:7" x14ac:dyDescent="0.75">
      <c r="C34" s="14" t="str">
        <f>'Order-Map-1'!E5</f>
        <v>Id: fhir</v>
      </c>
    </row>
    <row r="35" spans="3:7" x14ac:dyDescent="0.75">
      <c r="C35" s="14" t="str">
        <f>'Order-Map-1'!E6</f>
        <v>Title: ##34#eHN Lab Order model to FHIR R4 Map##34#</v>
      </c>
    </row>
    <row r="36" spans="3:7" x14ac:dyDescent="0.75">
      <c r="C36" s="14" t="str">
        <f>'Order-Map-1'!E7</f>
        <v>Source: Order</v>
      </c>
    </row>
    <row r="37" spans="3:7" x14ac:dyDescent="0.75">
      <c r="C37" s="14" t="str">
        <f>'Order-Map-1'!E8</f>
        <v>Target: ##34#hl7.org/fhir/r4##34#</v>
      </c>
    </row>
    <row r="39" spans="3:7" ht="29.5" x14ac:dyDescent="0.75">
      <c r="C39" s="14" t="str">
        <f>'Order-Map-1'!E9</f>
        <v>* -&gt; ##34#Composition.extension('http://hl7.eu/fhir/ig/xeh/StructureDefinition/composition-basedOn-order-or-requisition').valueReference.resolve()##34#</v>
      </c>
    </row>
    <row r="40" spans="3:7" ht="29.5" x14ac:dyDescent="0.75">
      <c r="C40" s="14" t="str">
        <f>IF('Order-Map-1'!E10="*  -&gt; ##34###34#","// --END",'Order-Map-1'!E10)</f>
        <v>* orderDetails -&gt; ##34#Composition.extension('http://hl7.eu/fhir/ig/xeh/StructureDefinition/composition-basedOn-order-or-requisition').valueReference.resolve()##34#</v>
      </c>
    </row>
    <row r="41" spans="3:7" x14ac:dyDescent="0.75">
      <c r="C41" s="14" t="str">
        <f>IF('Order-Map-1'!E11="*  -&gt; ##34###34#","// --END",'Order-Map-1'!E11)</f>
        <v>* orderDetails.identifier -&gt; ##34#ServiceRequest.identifier##34#</v>
      </c>
    </row>
    <row r="42" spans="3:7" x14ac:dyDescent="0.75">
      <c r="C42" s="14" t="str">
        <f>IF('Order-Map-1'!E12="*  -&gt; ##34###34#","// --END",'Order-Map-1'!E12)</f>
        <v>* orderDetails.dateTime -&gt; ##34#ServiceRequest.authoredOn##34#</v>
      </c>
    </row>
    <row r="43" spans="3:7" x14ac:dyDescent="0.75">
      <c r="C43" s="14" t="str">
        <f>IF('Order-Map-1'!E13="*  -&gt; ##34###34#","// --END",'Order-Map-1'!E13)</f>
        <v>* orderDetails.orderPlacerIdentifier -&gt; ##34#ServiceRequest.requester.resolve().ofType(PractictionerRole).identifier##34#</v>
      </c>
    </row>
    <row r="44" spans="3:7" ht="29.5" x14ac:dyDescent="0.75">
      <c r="C44" s="14" t="str">
        <f>IF('Order-Map-1'!E14="*  -&gt; ##34###34#","// --END",'Order-Map-1'!E14)</f>
        <v>* orderDetails.orderPlacerIdentifier -&gt; ##34#ServiceRequest.requester.resolve().ofType(PractictionerRole).practictioner.resolve().identifier##34#</v>
      </c>
    </row>
    <row r="45" spans="3:7" ht="29.5" x14ac:dyDescent="0.75">
      <c r="C45" s="14" t="str">
        <f>IF('Order-Map-1'!E15="*  -&gt; ##34###34#","// --END",'Order-Map-1'!E15)</f>
        <v>* orderDetails.orderPlacerName -&gt; ##34#ServiceRequest.requester.resolve().ofType(PractictionerRole).practictioner.resolve().name##34#</v>
      </c>
    </row>
    <row r="46" spans="3:7" x14ac:dyDescent="0.75">
      <c r="C46" s="14" t="str">
        <f>IF('Order-Map-1'!E16="*  -&gt; ##34###34#","// --END",'Order-Map-1'!E16)</f>
        <v>* orderDetails.orderPlacerContacts -&gt; ##34#ServiceRequest.requester.resolve().ofType(PractictionerRole).telecom##34#</v>
      </c>
    </row>
    <row r="47" spans="3:7" x14ac:dyDescent="0.75">
      <c r="C47" s="14" t="str">
        <f>IF('Order-Map-1'!E17="*  -&gt; ##34###34#","// --END",'Order-Map-1'!E17)</f>
        <v>* orderDetails.orderPlacerContacts -&gt; ##34#ServiceRequest.requester.resolve().ofType(PractictionerRole).location##34#</v>
      </c>
    </row>
    <row r="48" spans="3:7" ht="29.5" x14ac:dyDescent="0.75">
      <c r="C48" s="14" t="str">
        <f>IF('Order-Map-1'!E18="*  -&gt; ##34###34#","// --END",'Order-Map-1'!E18)</f>
        <v>* orderDetails.orderPlacerOrganization -&gt; ##34#ServiceRequest.requester.resolve().ofType(PractictionerRole).organization.resolve()##34#</v>
      </c>
      <c r="G48" s="10"/>
    </row>
    <row r="49" spans="3:3" x14ac:dyDescent="0.75">
      <c r="C49" s="14" t="str">
        <f>IF('Order-Map-1'!E19="*  -&gt; ##34###34#","// --END",'Order-Map-1'!E19)</f>
        <v>* orderDetails.orderPlacerOrganization -&gt; ##34#ServiceRequest.requester.resolve().ofType(Organization)##34#</v>
      </c>
    </row>
    <row r="50" spans="3:3" x14ac:dyDescent="0.75">
      <c r="C50" s="14" t="str">
        <f>IF('Order-Map-1'!E20="*  -&gt; ##34###34#","// --END",'Order-Map-1'!E20)</f>
        <v>* reason -&gt; ##34#ServiceRequest.reasonCode##34#</v>
      </c>
    </row>
    <row r="51" spans="3:3" x14ac:dyDescent="0.75">
      <c r="C51" s="14" t="str">
        <f>IF('Order-Map-1'!E21="*  -&gt; ##34###34#","// --END",'Order-Map-1'!E21)</f>
        <v>* reason.code -&gt; ##34#ServiceRequest.reasonCode##34#</v>
      </c>
    </row>
    <row r="52" spans="3:3" x14ac:dyDescent="0.75">
      <c r="C52" s="14" t="str">
        <f>IF('Order-Map-1'!E22="*  -&gt; ##34###34#","// --END",'Order-Map-1'!E22)</f>
        <v>// --END</v>
      </c>
    </row>
    <row r="53" spans="3:3" x14ac:dyDescent="0.75">
      <c r="C53" s="14" t="str">
        <f>IF('Order-Map-1'!E23="*  -&gt; ##34###34#","// --END",'Order-Map-1'!E23)</f>
        <v>// --END</v>
      </c>
    </row>
    <row r="54" spans="3:3" x14ac:dyDescent="0.75">
      <c r="C54" s="14" t="str">
        <f>IF('Order-Map-1'!E24="*  -&gt; ##34###34#","// --END",'Order-Map-1'!E24)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9089"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3A17B-5619-4949-ADA4-4CA5CEE32BE4}">
  <sheetPr codeName="Foglio41">
    <tabColor theme="7" tint="0.39997558519241921"/>
  </sheetPr>
  <dimension ref="A1:L37"/>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459</v>
      </c>
      <c r="I4" s="25" t="str">
        <f>CONCATENATE("Logical: ",B4)</f>
        <v>Logical: SpecimenLabEhn</v>
      </c>
    </row>
    <row r="5" spans="1:11" x14ac:dyDescent="0.75">
      <c r="A5" s="18" t="s">
        <v>19</v>
      </c>
      <c r="B5" s="34" t="s">
        <v>565</v>
      </c>
      <c r="I5" s="25" t="str">
        <f>CONCATENATE("Id: ",B5)</f>
        <v>Id: SpecimenLab</v>
      </c>
    </row>
    <row r="6" spans="1:11" x14ac:dyDescent="0.75">
      <c r="A6" s="18" t="s">
        <v>13</v>
      </c>
      <c r="B6" s="19" t="s">
        <v>458</v>
      </c>
      <c r="I6" s="26" t="str">
        <f>CONCATENATE("Title: ##34#",B6,"##34#")</f>
        <v>Title: ##34#Specimen information (A.4)##34#</v>
      </c>
    </row>
    <row r="7" spans="1:11" x14ac:dyDescent="0.75">
      <c r="A7" s="46" t="s">
        <v>5</v>
      </c>
      <c r="B7" s="19" t="s">
        <v>169</v>
      </c>
      <c r="C7" s="12"/>
      <c r="D7" s="2"/>
      <c r="E7" s="57"/>
      <c r="F7" s="3" t="s">
        <v>9</v>
      </c>
      <c r="G7" s="3" t="s">
        <v>10</v>
      </c>
      <c r="I7" s="26" t="str">
        <f>CONCATENATE("Description: "," ##334#",B7,"##334#",)</f>
        <v>Description:  ##334#A.4 Specimen information##334#</v>
      </c>
    </row>
    <row r="8" spans="1:11" ht="59" x14ac:dyDescent="0.75">
      <c r="A8" s="9">
        <v>1</v>
      </c>
      <c r="B8" s="9" t="s">
        <v>367</v>
      </c>
      <c r="C8" s="14" t="s">
        <v>449</v>
      </c>
      <c r="D8" s="14" t="s">
        <v>463</v>
      </c>
      <c r="E8" s="9">
        <v>0</v>
      </c>
      <c r="F8" s="9">
        <v>1</v>
      </c>
      <c r="G8" s="9" t="s">
        <v>0</v>
      </c>
      <c r="H8" s="23"/>
      <c r="I8" s="14" t="str">
        <f>CONCATENATE("* ",B8, " ",E8,"..",F8," ",G8," ##34#",C8,"##34# ##334#",D8,"##334#")</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1:11" ht="45" thickBot="1" x14ac:dyDescent="0.9">
      <c r="A9" s="9">
        <v>2</v>
      </c>
      <c r="B9" s="9" t="s">
        <v>472</v>
      </c>
      <c r="C9" s="14" t="s">
        <v>450</v>
      </c>
      <c r="D9" s="37" t="s">
        <v>464</v>
      </c>
      <c r="E9" s="9">
        <v>0</v>
      </c>
      <c r="F9" s="9" t="s">
        <v>11</v>
      </c>
      <c r="G9" s="9" t="s">
        <v>1</v>
      </c>
      <c r="H9" s="23"/>
      <c r="I9" s="14" t="str">
        <f t="shared" ref="I9:I19" si="0">CONCATENATE("* ",B9, " ",E9,"..",F9," ",G9," ##34#",C9,"##34# ##334#",D9,"##334#")</f>
        <v>* speciesType 0..* CodeableConcept ##34#A.4.2 Type of species##34# ##334#Biologic type of species for laboratory result reports bound to non-human subjects. - Preferred system(s): SNOMED CT##334#</v>
      </c>
    </row>
    <row r="10" spans="1:11" ht="29.5" x14ac:dyDescent="0.75">
      <c r="A10" s="9">
        <v>3</v>
      </c>
      <c r="B10" s="9" t="s">
        <v>473</v>
      </c>
      <c r="C10" s="1" t="s">
        <v>451</v>
      </c>
      <c r="D10" s="14" t="s">
        <v>465</v>
      </c>
      <c r="E10" s="9">
        <v>0</v>
      </c>
      <c r="F10" s="9" t="s">
        <v>11</v>
      </c>
      <c r="G10" s="9" t="s">
        <v>1</v>
      </c>
      <c r="H10" s="23"/>
      <c r="I10" s="14" t="str">
        <f t="shared" si="0"/>
        <v>* material 0..* CodeableConcept ##34#A.4.3 Material##34# ##334#Specimen material. - Preferred system(s): SNOMED CT##334#</v>
      </c>
    </row>
    <row r="11" spans="1:11" ht="29.5" x14ac:dyDescent="0.75">
      <c r="A11" s="59">
        <v>4</v>
      </c>
      <c r="B11" s="9" t="s">
        <v>2</v>
      </c>
      <c r="C11" s="14" t="s">
        <v>452</v>
      </c>
      <c r="D11" s="60" t="s">
        <v>466</v>
      </c>
      <c r="E11" s="59">
        <v>0</v>
      </c>
      <c r="F11" s="59" t="s">
        <v>11</v>
      </c>
      <c r="G11" s="9" t="s">
        <v>2</v>
      </c>
      <c r="H11" s="23"/>
      <c r="I11" s="14" t="str">
        <f t="shared" si="0"/>
        <v>* dateTime 0..* dateTime ##34#A.4.4 Collection period##34# ##334#Collection date time or period. - Preferred system(s): ISO 8601##334#</v>
      </c>
    </row>
    <row r="12" spans="1:11" ht="44.25" x14ac:dyDescent="0.75">
      <c r="A12" s="9">
        <v>5</v>
      </c>
      <c r="B12" s="9" t="s">
        <v>474</v>
      </c>
      <c r="C12" s="52" t="s">
        <v>453</v>
      </c>
      <c r="D12" s="14" t="s">
        <v>467</v>
      </c>
      <c r="E12" s="59">
        <v>0</v>
      </c>
      <c r="F12" s="59" t="s">
        <v>11</v>
      </c>
      <c r="G12" s="9" t="s">
        <v>1</v>
      </c>
      <c r="H12" s="23"/>
      <c r="I12" s="14" t="str">
        <f t="shared" si="0"/>
        <v>* anatomicLocation 0..* CodeableConcept ##34#A.4.5 Anatomic location##34# ##334#Anatomic location (body location, laterality) where the material is collected, e.g. Elbow, left - Preferred system(s): SNOMED CT##334#</v>
      </c>
    </row>
    <row r="13" spans="1:11" ht="59" x14ac:dyDescent="0.75">
      <c r="A13" s="9">
        <v>6</v>
      </c>
      <c r="B13" s="9" t="s">
        <v>476</v>
      </c>
      <c r="C13" s="52" t="s">
        <v>454</v>
      </c>
      <c r="D13" s="14" t="s">
        <v>468</v>
      </c>
      <c r="E13" s="59">
        <v>0</v>
      </c>
      <c r="F13" s="59" t="s">
        <v>11</v>
      </c>
      <c r="G13" s="9" t="s">
        <v>1</v>
      </c>
      <c r="H13" s="23"/>
      <c r="I13" s="14" t="str">
        <f t="shared" si="0"/>
        <v>* morphology 0..* CodeableConcept ##34#A.4.6 Morphology##34# ##334#Morphological abnormalities of the anatomical location where the material is taken, for example wound, ulcer. - Preferred system(s): SNOMED CT##334#</v>
      </c>
    </row>
    <row r="14" spans="1:11" ht="73.75" x14ac:dyDescent="0.75">
      <c r="A14" s="9">
        <v>7</v>
      </c>
      <c r="B14" s="9" t="s">
        <v>475</v>
      </c>
      <c r="C14" s="14" t="s">
        <v>455</v>
      </c>
      <c r="D14" s="52" t="s">
        <v>471</v>
      </c>
      <c r="E14" s="59">
        <v>0</v>
      </c>
      <c r="F14" s="59" t="s">
        <v>11</v>
      </c>
      <c r="G14" s="9" t="s">
        <v>1</v>
      </c>
      <c r="H14" s="23"/>
      <c r="I14" s="14" t="str">
        <f t="shared" si="0"/>
        <v>* sourceDevice 0..* CodeableConcept ##34#A.4.7 Source Device##34# ##334#If the material is not collected directly from the patient but comes from a patient-related object, e.g. a catheter
 - Preferred system(s): SNOMED CT
 - Preferred system(s): EMDN##334#</v>
      </c>
    </row>
    <row r="15" spans="1:11" ht="44.25" x14ac:dyDescent="0.75">
      <c r="A15" s="9">
        <v>8</v>
      </c>
      <c r="B15" s="9" t="s">
        <v>477</v>
      </c>
      <c r="C15" t="s">
        <v>456</v>
      </c>
      <c r="D15" s="1" t="s">
        <v>469</v>
      </c>
      <c r="E15" s="9">
        <v>0</v>
      </c>
      <c r="F15" s="9" t="s">
        <v>11</v>
      </c>
      <c r="G15" s="9" t="s">
        <v>1</v>
      </c>
      <c r="H15" s="23"/>
      <c r="I15" s="14" t="str">
        <f t="shared" si="0"/>
        <v>* collectionMethod 0..* CodeableConcept ##34#A.4.8 Collection procedure/method##34# ##334#If relevant for the results, the method of obtaining the specimen. - Preferred system(s): SNOMED CT##334#</v>
      </c>
      <c r="J15" s="16"/>
      <c r="K15" s="9"/>
    </row>
    <row r="16" spans="1:11" ht="44.25" x14ac:dyDescent="0.75">
      <c r="A16" s="9">
        <v>9</v>
      </c>
      <c r="B16" s="9" t="s">
        <v>478</v>
      </c>
      <c r="C16" t="s">
        <v>457</v>
      </c>
      <c r="D16" s="1" t="s">
        <v>470</v>
      </c>
      <c r="E16" s="9">
        <v>0</v>
      </c>
      <c r="F16" s="9" t="s">
        <v>11</v>
      </c>
      <c r="G16" s="53" t="s">
        <v>2</v>
      </c>
      <c r="H16" s="9"/>
      <c r="I16" s="14" t="str">
        <f t="shared" si="0"/>
        <v>* receivedDateTime 0..* dateTime ##34#A.4.9 Received date##34# ##334#Date and time that the material is handed over at the laboratory or specimen collection centre. - Preferred system(s): ISO 8601##334#</v>
      </c>
    </row>
    <row r="17" spans="2:9" ht="14.75" customHeight="1" x14ac:dyDescent="0.75">
      <c r="I17" s="14" t="str">
        <f t="shared" si="0"/>
        <v>*  ..  ##34###34# ##334###334#</v>
      </c>
    </row>
    <row r="18" spans="2:9" ht="15.5" customHeight="1" x14ac:dyDescent="0.75">
      <c r="I18" s="14" t="str">
        <f t="shared" si="0"/>
        <v>*  ..  ##34###34# ##334###334#</v>
      </c>
    </row>
    <row r="19" spans="2:9" x14ac:dyDescent="0.75">
      <c r="I19" s="14" t="str">
        <f t="shared" si="0"/>
        <v>*  ..  ##34###34# ##334###334#</v>
      </c>
    </row>
    <row r="20" spans="2:9" x14ac:dyDescent="0.75">
      <c r="I20" s="14"/>
    </row>
    <row r="21" spans="2:9" x14ac:dyDescent="0.75">
      <c r="I21"/>
    </row>
    <row r="25" spans="2:9" ht="15.5" thickBot="1" x14ac:dyDescent="0.9"/>
    <row r="26" spans="2:9" ht="15.5" customHeight="1" thickBot="1" x14ac:dyDescent="0.9">
      <c r="B26" t="str">
        <f t="shared" ref="B26:B37" si="1">CONCATENATE(C26," ",D26)</f>
        <v xml:space="preserve">A.4 Specimen information </v>
      </c>
      <c r="C26" s="85" t="s">
        <v>169</v>
      </c>
      <c r="D26" s="86"/>
      <c r="E26" s="86"/>
      <c r="F26" s="87"/>
    </row>
    <row r="27" spans="2:9" ht="112.75" thickBot="1" x14ac:dyDescent="0.9">
      <c r="B27" t="str">
        <f t="shared" si="1"/>
        <v>A.4.1 Specimen identifier</v>
      </c>
      <c r="C27" s="36" t="s">
        <v>170</v>
      </c>
      <c r="D27" s="39" t="s">
        <v>171</v>
      </c>
      <c r="E27" s="37" t="s">
        <v>460</v>
      </c>
      <c r="F27" s="42"/>
      <c r="I27" s="1" t="str">
        <f t="shared" ref="I27:I37" si="2">CONCATENATE(E27," - Preferred system(s): ",F27)</f>
        <v xml:space="preserve">An identifier of the specimen which is unique within in a defined scope. Example: identifier assigned by Specimening system, identifier assigned by laboratory etc. Multiple identifiers can be used. - Preferred system(s): </v>
      </c>
    </row>
    <row r="28" spans="2:9" ht="48.75" thickBot="1" x14ac:dyDescent="0.9">
      <c r="B28" t="str">
        <f t="shared" si="1"/>
        <v>A.4.2 Type of species</v>
      </c>
      <c r="C28" s="36" t="s">
        <v>173</v>
      </c>
      <c r="D28" s="39" t="s">
        <v>174</v>
      </c>
      <c r="E28" s="37" t="s">
        <v>175</v>
      </c>
      <c r="F28" s="39" t="s">
        <v>167</v>
      </c>
      <c r="I28" s="1" t="str">
        <f t="shared" si="2"/>
        <v>Biologic type of species for laboratory result reports bound to non-human subjects. - Preferred system(s): SNOMED CT</v>
      </c>
    </row>
    <row r="29" spans="2:9" ht="32.75" thickBot="1" x14ac:dyDescent="0.9">
      <c r="B29" t="str">
        <f t="shared" si="1"/>
        <v>A.4.3 Material</v>
      </c>
      <c r="C29" s="36" t="s">
        <v>176</v>
      </c>
      <c r="D29" s="39" t="s">
        <v>177</v>
      </c>
      <c r="E29" s="37" t="s">
        <v>178</v>
      </c>
      <c r="F29" s="39" t="s">
        <v>167</v>
      </c>
      <c r="I29" s="1" t="str">
        <f t="shared" si="2"/>
        <v>Specimen material. - Preferred system(s): SNOMED CT</v>
      </c>
    </row>
    <row r="30" spans="2:9" ht="16.75" thickBot="1" x14ac:dyDescent="0.9">
      <c r="B30" t="str">
        <f t="shared" si="1"/>
        <v>A.4.4 Collection period</v>
      </c>
      <c r="C30" s="36" t="s">
        <v>179</v>
      </c>
      <c r="D30" s="39" t="s">
        <v>180</v>
      </c>
      <c r="E30" s="37" t="s">
        <v>181</v>
      </c>
      <c r="F30" s="39" t="s">
        <v>113</v>
      </c>
      <c r="I30" s="1" t="str">
        <f t="shared" si="2"/>
        <v>Collection date time or period. - Preferred system(s): ISO 8601</v>
      </c>
    </row>
    <row r="31" spans="2:9" ht="64.75" thickBot="1" x14ac:dyDescent="0.9">
      <c r="B31" t="str">
        <f t="shared" si="1"/>
        <v>A.4.5 Anatomic location</v>
      </c>
      <c r="C31" s="36" t="s">
        <v>182</v>
      </c>
      <c r="D31" s="39" t="s">
        <v>183</v>
      </c>
      <c r="E31" s="37" t="s">
        <v>184</v>
      </c>
      <c r="F31" s="39" t="s">
        <v>167</v>
      </c>
      <c r="I31" s="1" t="str">
        <f t="shared" si="2"/>
        <v>Anatomic location (body location, laterality) where the material is collected, e.g. Elbow, left - Preferred system(s): SNOMED CT</v>
      </c>
    </row>
    <row r="32" spans="2:9" ht="64.75" thickBot="1" x14ac:dyDescent="0.9">
      <c r="B32" t="str">
        <f t="shared" si="1"/>
        <v>A.4.6 Morphology</v>
      </c>
      <c r="C32" s="36" t="s">
        <v>185</v>
      </c>
      <c r="D32" s="39" t="s">
        <v>186</v>
      </c>
      <c r="E32" s="37" t="s">
        <v>187</v>
      </c>
      <c r="F32" s="39" t="s">
        <v>167</v>
      </c>
      <c r="I32" s="1" t="str">
        <f t="shared" si="2"/>
        <v>Morphological abnormalities of the anatomical location where the material is taken, for example wound, ulcer. - Preferred system(s): SNOMED CT</v>
      </c>
    </row>
    <row r="33" spans="2:9" ht="15.5" customHeight="1" x14ac:dyDescent="0.75">
      <c r="B33" t="str">
        <f t="shared" si="1"/>
        <v>A.4.7 Source Device</v>
      </c>
      <c r="C33" s="76" t="s">
        <v>188</v>
      </c>
      <c r="D33" s="79" t="s">
        <v>189</v>
      </c>
      <c r="E33" s="76" t="s">
        <v>190</v>
      </c>
      <c r="F33" s="43" t="s">
        <v>167</v>
      </c>
      <c r="I33" s="1" t="str">
        <f t="shared" si="2"/>
        <v>If the material is not collected directly from the patient but comes from a patient-related object, e.g. a catheter - Preferred system(s): SNOMED CT</v>
      </c>
    </row>
    <row r="34" spans="2:9" ht="80" customHeight="1" x14ac:dyDescent="0.75">
      <c r="B34" t="str">
        <f t="shared" si="1"/>
        <v xml:space="preserve"> </v>
      </c>
      <c r="C34" s="77"/>
      <c r="D34" s="80"/>
      <c r="E34" s="77"/>
      <c r="F34" s="41"/>
      <c r="I34" s="1" t="str">
        <f t="shared" si="2"/>
        <v xml:space="preserve"> - Preferred system(s): </v>
      </c>
    </row>
    <row r="35" spans="2:9" ht="16.75" thickBot="1" x14ac:dyDescent="0.9">
      <c r="B35" t="str">
        <f t="shared" si="1"/>
        <v xml:space="preserve"> </v>
      </c>
      <c r="C35" s="78"/>
      <c r="D35" s="81"/>
      <c r="E35" s="78"/>
      <c r="F35" s="39" t="s">
        <v>191</v>
      </c>
      <c r="I35" s="1" t="str">
        <f t="shared" si="2"/>
        <v xml:space="preserve"> - Preferred system(s): EMDN</v>
      </c>
    </row>
    <row r="36" spans="2:9" ht="48.75" thickBot="1" x14ac:dyDescent="0.9">
      <c r="B36" t="str">
        <f t="shared" si="1"/>
        <v>A.4.8 Collection procedure/method</v>
      </c>
      <c r="C36" s="36" t="s">
        <v>192</v>
      </c>
      <c r="D36" s="39" t="s">
        <v>193</v>
      </c>
      <c r="E36" s="37" t="s">
        <v>194</v>
      </c>
      <c r="F36" s="39" t="s">
        <v>167</v>
      </c>
      <c r="I36" s="1" t="str">
        <f t="shared" si="2"/>
        <v>If relevant for the results, the method of obtaining the specimen. - Preferred system(s): SNOMED CT</v>
      </c>
    </row>
    <row r="37" spans="2:9" ht="48.75" thickBot="1" x14ac:dyDescent="0.9">
      <c r="B37" t="str">
        <f t="shared" si="1"/>
        <v>A.4.9 Received date</v>
      </c>
      <c r="C37" s="36" t="s">
        <v>195</v>
      </c>
      <c r="D37" s="39" t="s">
        <v>196</v>
      </c>
      <c r="E37" s="37" t="s">
        <v>197</v>
      </c>
      <c r="F37" s="39" t="s">
        <v>113</v>
      </c>
      <c r="I37" s="1" t="str">
        <f t="shared" si="2"/>
        <v>Date and time that the material is handed over at the laboratory or specimen collection centre. - Preferred system(s): ISO 8601</v>
      </c>
    </row>
  </sheetData>
  <mergeCells count="4">
    <mergeCell ref="C26:F26"/>
    <mergeCell ref="C33:C35"/>
    <mergeCell ref="D33:D35"/>
    <mergeCell ref="E33:E35"/>
  </mergeCells>
  <hyperlinks>
    <hyperlink ref="C26:F26" location="'Specimen-fsh'!A1" display="A.4 Specimen information" xr:uid="{940CAA3B-8A30-49B9-8816-1815E351159B}"/>
  </hyperlinks>
  <pageMargins left="0.7" right="0.7" top="0.75" bottom="0.75" header="0.3" footer="0.3"/>
  <pageSetup paperSize="9"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748A8-01BE-4EF7-AE5C-EB65A42991A0}">
  <sheetPr codeName="Foglio42"/>
  <dimension ref="A1:O24"/>
  <sheetViews>
    <sheetView workbookViewId="0">
      <selection activeCell="C12" sqref="C12"/>
    </sheetView>
  </sheetViews>
  <sheetFormatPr defaultRowHeight="14.75" x14ac:dyDescent="0.75"/>
  <cols>
    <col min="2" max="2" width="31.6796875" bestFit="1" customWidth="1"/>
    <col min="3" max="3" width="72.1328125"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461</v>
      </c>
      <c r="E4" s="28" t="str">
        <f>CONCATENATE("Mapping: ",C4)</f>
        <v>Mapping: eHNLabSpecimen2Fhir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462</v>
      </c>
      <c r="E6" s="29" t="str">
        <f>CONCATENATE("Title: ##34#",C6,"##34#")</f>
        <v>Title: ##34#eHN Lab Specimen model to FHIR R4 Map##34#</v>
      </c>
      <c r="G6" s="1" t="s">
        <v>22</v>
      </c>
      <c r="H6" s="10"/>
      <c r="I6" s="10"/>
      <c r="J6" s="10"/>
      <c r="K6" s="10"/>
      <c r="L6" s="10"/>
      <c r="M6" s="10"/>
      <c r="N6" s="10"/>
      <c r="O6" s="10"/>
    </row>
    <row r="7" spans="1:15" ht="15.5" thickBot="1" x14ac:dyDescent="0.9">
      <c r="B7" s="13" t="s">
        <v>35</v>
      </c>
      <c r="C7" s="11" t="str">
        <f>B9</f>
        <v>SpecimenLab</v>
      </c>
      <c r="E7" s="29" t="str">
        <f>CONCATENATE("Source: ",C7)</f>
        <v>Source: SpecimenLab</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ht="44.25" x14ac:dyDescent="0.75">
      <c r="A9" s="9"/>
      <c r="B9" s="8" t="str">
        <f>Specimen!B5</f>
        <v>SpecimenLab</v>
      </c>
      <c r="C9" s="4" t="s">
        <v>340</v>
      </c>
      <c r="E9" s="4" t="str">
        <f>CONCATENATE("* -&gt; ##34#",C9,"##34#")</f>
        <v>* -&gt; ##34#Observation.conformsTo('http://hl7.eu/fhir/ig/xeh/StructureDefinition/Observation-results-laboratory-eu-xeh').specimen.resolve()##34#</v>
      </c>
      <c r="H9" s="10"/>
      <c r="I9" s="10"/>
      <c r="J9" s="10"/>
      <c r="K9" s="10"/>
      <c r="L9" s="10"/>
      <c r="M9" s="10"/>
      <c r="N9" s="10"/>
      <c r="O9" s="10"/>
    </row>
    <row r="10" spans="1:15" x14ac:dyDescent="0.75">
      <c r="A10" s="9">
        <v>1</v>
      </c>
      <c r="B10" s="9" t="str">
        <f>Specimen!B8</f>
        <v>identifier</v>
      </c>
      <c r="C10" s="9" t="s">
        <v>608</v>
      </c>
      <c r="E10" s="14" t="str">
        <f t="shared" ref="E10:E12" si="0">IF(B10=0,"*  -&gt; ##34###34#",CONCATENATE("* ",B10," -&gt; ##34#",C10,"##34#"))</f>
        <v>* identifier -&gt; ##34#Specimen.identifier##34#</v>
      </c>
      <c r="G10" s="1" t="s">
        <v>25</v>
      </c>
      <c r="H10" s="10"/>
      <c r="I10" s="10"/>
      <c r="J10" s="10"/>
      <c r="K10" s="10"/>
      <c r="L10" s="10"/>
      <c r="M10" s="10"/>
      <c r="N10" s="10"/>
      <c r="O10" s="10"/>
    </row>
    <row r="11" spans="1:15" x14ac:dyDescent="0.75">
      <c r="A11" s="9">
        <v>2</v>
      </c>
      <c r="B11" s="9" t="str">
        <f>Specimen!B9</f>
        <v>speciesType</v>
      </c>
      <c r="C11" s="9" t="s">
        <v>609</v>
      </c>
      <c r="E11" s="14" t="str">
        <f t="shared" si="0"/>
        <v>* speciesType -&gt; ##34#Specimen.type##34#</v>
      </c>
      <c r="G11" s="1" t="s">
        <v>26</v>
      </c>
      <c r="H11" s="10"/>
      <c r="I11" s="10"/>
      <c r="J11" s="10"/>
      <c r="K11" s="10"/>
      <c r="L11" s="10"/>
      <c r="M11" s="10"/>
      <c r="N11" s="10"/>
      <c r="O11" s="10"/>
    </row>
    <row r="12" spans="1:15" ht="44.25" x14ac:dyDescent="0.75">
      <c r="A12" s="9">
        <v>3</v>
      </c>
      <c r="B12" s="9" t="str">
        <f>Specimen!B10</f>
        <v>material</v>
      </c>
      <c r="C12" s="66" t="s">
        <v>354</v>
      </c>
      <c r="E12" s="14" t="str">
        <f t="shared" si="0"/>
        <v>* material -&gt; ##34#to be mapped##34#</v>
      </c>
      <c r="G12" s="1" t="s">
        <v>27</v>
      </c>
      <c r="H12" s="10"/>
      <c r="I12" s="10"/>
      <c r="J12" s="10"/>
      <c r="K12" s="10"/>
      <c r="L12" s="10"/>
      <c r="M12" s="10"/>
      <c r="N12" s="10"/>
      <c r="O12" s="10"/>
    </row>
    <row r="13" spans="1:15" x14ac:dyDescent="0.75">
      <c r="A13" s="9">
        <v>4</v>
      </c>
      <c r="B13" s="9" t="str">
        <f>Specimen!B11</f>
        <v>dateTime</v>
      </c>
      <c r="C13" s="9" t="s">
        <v>610</v>
      </c>
      <c r="E13" s="14" t="str">
        <f>IF(B13=0,"*  -&gt; ##34###34#",CONCATENATE("* ",B13," -&gt; ##34#",C13,"##34#"))</f>
        <v>* dateTime -&gt; ##34#Specimen.collection.collected[x]##34#</v>
      </c>
      <c r="G13" s="1" t="s">
        <v>28</v>
      </c>
      <c r="H13" s="10"/>
      <c r="I13" s="10"/>
      <c r="J13" s="10"/>
      <c r="K13" s="10"/>
      <c r="L13" s="10"/>
      <c r="M13" s="10"/>
      <c r="N13" s="10"/>
      <c r="O13" s="10"/>
    </row>
    <row r="14" spans="1:15" x14ac:dyDescent="0.75">
      <c r="A14" s="9">
        <v>5</v>
      </c>
      <c r="B14" s="9" t="str">
        <f>Specimen!B12</f>
        <v>anatomicLocation</v>
      </c>
      <c r="C14" s="9" t="s">
        <v>611</v>
      </c>
      <c r="E14" s="14" t="str">
        <f>IF(B14=0,"*  -&gt; ##34###34#",CONCATENATE("* ",B14," -&gt; ##34#",C14,"##34#"))</f>
        <v>* anatomicLocation -&gt; ##34#Specimen.collection.bodySite##34#</v>
      </c>
      <c r="G14" s="1" t="s">
        <v>29</v>
      </c>
      <c r="H14" s="10"/>
      <c r="I14" s="10"/>
      <c r="J14" s="10"/>
      <c r="K14" s="10"/>
      <c r="L14" s="10"/>
      <c r="M14" s="10"/>
      <c r="N14" s="10"/>
      <c r="O14" s="10"/>
    </row>
    <row r="15" spans="1:15" ht="29.5" x14ac:dyDescent="0.75">
      <c r="A15" s="9">
        <v>6</v>
      </c>
      <c r="B15" s="9" t="str">
        <f>Specimen!B13</f>
        <v>morphology</v>
      </c>
      <c r="C15" s="66" t="s">
        <v>612</v>
      </c>
      <c r="E15" s="14" t="str">
        <f t="shared" ref="E15:E21" si="1">IF(B15=0,"*  -&gt; ##34###34#",CONCATENATE("* ",B15," -&gt; ##34#",C15,"##34#"))</f>
        <v>* morphology -&gt; ##34#Specimen.collection.bodySite.extension(qualifier) (TBD)##34#</v>
      </c>
      <c r="G15" s="1" t="s">
        <v>30</v>
      </c>
      <c r="H15" s="10"/>
      <c r="I15" s="10"/>
      <c r="J15" s="10"/>
      <c r="K15" s="10"/>
      <c r="L15" s="10"/>
      <c r="M15" s="10"/>
      <c r="N15" s="10"/>
      <c r="O15" s="10"/>
    </row>
    <row r="16" spans="1:15" ht="29.5" x14ac:dyDescent="0.75">
      <c r="A16" s="9">
        <v>7</v>
      </c>
      <c r="B16" s="9" t="str">
        <f>Specimen!B14</f>
        <v>sourceDevice</v>
      </c>
      <c r="C16" s="9" t="s">
        <v>613</v>
      </c>
      <c r="E16" s="14" t="str">
        <f t="shared" si="1"/>
        <v>* sourceDevice -&gt; ##34#Specimen.container##34#</v>
      </c>
      <c r="G16" s="1" t="s">
        <v>31</v>
      </c>
      <c r="H16" s="10"/>
      <c r="I16" s="10"/>
      <c r="J16" s="10"/>
      <c r="K16" s="10"/>
      <c r="L16" s="10"/>
      <c r="M16" s="10"/>
      <c r="N16" s="10"/>
      <c r="O16" s="10"/>
    </row>
    <row r="17" spans="1:7" ht="29.5" x14ac:dyDescent="0.75">
      <c r="A17" s="9">
        <v>8</v>
      </c>
      <c r="B17" s="9" t="str">
        <f>Specimen!B15</f>
        <v>collectionMethod</v>
      </c>
      <c r="C17" s="9" t="s">
        <v>614</v>
      </c>
      <c r="E17" s="14" t="str">
        <f t="shared" si="1"/>
        <v>* collectionMethod -&gt; ##34#Specimen.collection.method##34#</v>
      </c>
      <c r="G17" s="1" t="s">
        <v>32</v>
      </c>
    </row>
    <row r="18" spans="1:7" x14ac:dyDescent="0.75">
      <c r="A18" s="9">
        <v>9</v>
      </c>
      <c r="B18" s="9" t="str">
        <f>Specimen!B16</f>
        <v>receivedDateTime</v>
      </c>
      <c r="C18" s="9" t="s">
        <v>615</v>
      </c>
      <c r="E18" s="14" t="str">
        <f t="shared" si="1"/>
        <v>* receivedDateTime -&gt; ##34#Specimen.receivedTime##34#</v>
      </c>
      <c r="G18" s="1" t="s">
        <v>33</v>
      </c>
    </row>
    <row r="19" spans="1:7" x14ac:dyDescent="0.75">
      <c r="A19" s="9">
        <v>10</v>
      </c>
      <c r="B19" s="9">
        <f>Specimen!B17</f>
        <v>0</v>
      </c>
      <c r="C19" s="9" t="s">
        <v>354</v>
      </c>
      <c r="E19" s="14" t="str">
        <f t="shared" si="1"/>
        <v>*  -&gt; ##34###34#</v>
      </c>
    </row>
    <row r="20" spans="1:7" x14ac:dyDescent="0.75">
      <c r="A20" s="9"/>
      <c r="B20" s="9">
        <f>Specimen!B18</f>
        <v>0</v>
      </c>
      <c r="C20" s="9" t="s">
        <v>354</v>
      </c>
      <c r="E20" s="14" t="str">
        <f t="shared" si="1"/>
        <v>*  -&gt; ##34###34#</v>
      </c>
    </row>
    <row r="21" spans="1:7" x14ac:dyDescent="0.75">
      <c r="B21" s="9">
        <f>Specimen!B19</f>
        <v>0</v>
      </c>
      <c r="C21" s="9" t="s">
        <v>354</v>
      </c>
      <c r="E21" s="14" t="str">
        <f t="shared" si="1"/>
        <v>*  -&gt; ##34###34#</v>
      </c>
    </row>
    <row r="22" spans="1:7" x14ac:dyDescent="0.75">
      <c r="B22" s="9">
        <f>Specimen!B20</f>
        <v>0</v>
      </c>
      <c r="E22" s="14"/>
    </row>
    <row r="23" spans="1:7" x14ac:dyDescent="0.75">
      <c r="E23" s="14"/>
    </row>
    <row r="24" spans="1:7" x14ac:dyDescent="0.75">
      <c r="E24" s="22"/>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BE0B1A-5FF1-414E-9484-4A41E4829924}">
  <sheetPr codeName="Foglio14">
    <tabColor theme="8" tint="-0.249977111117893"/>
  </sheetPr>
  <dimension ref="C1:G51"/>
  <sheetViews>
    <sheetView workbookViewId="0">
      <selection activeCell="C20" sqref="C20:C22"/>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Specimen!I1</f>
        <v>// -------------------------------------------------------------------------------</v>
      </c>
    </row>
    <row r="2" spans="3:7" ht="16.75" thickBot="1" x14ac:dyDescent="0.9">
      <c r="C2" s="33" t="str">
        <f>Specimen!I2</f>
        <v>//  Logical Model</v>
      </c>
      <c r="G2" s="56" t="s">
        <v>479</v>
      </c>
    </row>
    <row r="3" spans="3:7" x14ac:dyDescent="0.75">
      <c r="C3" s="33" t="str">
        <f>Specimen!I3</f>
        <v>// -------------------------------------------------------------------------------</v>
      </c>
    </row>
    <row r="4" spans="3:7" x14ac:dyDescent="0.75">
      <c r="C4" s="25" t="str">
        <f>Specimen!I4</f>
        <v>Logical: SpecimenLabEhn</v>
      </c>
    </row>
    <row r="5" spans="3:7" x14ac:dyDescent="0.75">
      <c r="C5" s="25" t="str">
        <f>Specimen!I5</f>
        <v>Id: SpecimenLab</v>
      </c>
    </row>
    <row r="6" spans="3:7" x14ac:dyDescent="0.75">
      <c r="C6" s="25" t="str">
        <f>Specimen!I6</f>
        <v>Title: ##34#Specimen information (A.4)##34#</v>
      </c>
    </row>
    <row r="7" spans="3:7" x14ac:dyDescent="0.75">
      <c r="C7" s="25" t="str">
        <f>Specimen!I7</f>
        <v>Description:  ##334#A.4 Specimen information##334#</v>
      </c>
    </row>
    <row r="8" spans="3:7" ht="29.5" x14ac:dyDescent="0.75">
      <c r="C8" s="14" t="str">
        <f>IF(Specimen!I8="*  ..  ##34###34# ##334###334#","//--- END",Specimen!I8)</f>
        <v>* identifier 0..1 Identifier ##34#A.4.1 Specimen identifier##34# ##334#An identifier of the specimen which is unique within in a defined scope. Example: identifier assigned by Specimening system, identifier assigned by laboratory etc. Multiple identifiers can be used. - Preferred system(s): ##334#</v>
      </c>
    </row>
    <row r="9" spans="3:7" ht="29.5" x14ac:dyDescent="0.75">
      <c r="C9" s="14" t="str">
        <f>IF(Specimen!I9="*  ..  ##34###34# ##334###334#","//--- END",Specimen!I9)</f>
        <v>* speciesType 0..* CodeableConcept ##34#A.4.2 Type of species##34# ##334#Biologic type of species for laboratory result reports bound to non-human subjects. - Preferred system(s): SNOMED CT##334#</v>
      </c>
    </row>
    <row r="10" spans="3:7" ht="29.5" x14ac:dyDescent="0.75">
      <c r="C10" s="14" t="str">
        <f>IF(Specimen!I10="*  ..  ##34###34# ##334###334#","//--- END",Specimen!I10)</f>
        <v>* material 0..* CodeableConcept ##34#A.4.3 Material##34# ##334#Specimen material. - Preferred system(s): SNOMED CT##334#</v>
      </c>
      <c r="E10" t="s">
        <v>307</v>
      </c>
    </row>
    <row r="11" spans="3:7" ht="29.5" x14ac:dyDescent="0.75">
      <c r="C11" s="14" t="str">
        <f>IF(Specimen!I11="*  ..  ##34###34# ##334###334#","//--- END",Specimen!I11)</f>
        <v>* dateTime 0..* dateTime ##34#A.4.4 Collection period##34# ##334#Collection date time or period. - Preferred system(s): ISO 8601##334#</v>
      </c>
    </row>
    <row r="12" spans="3:7" ht="29.5" x14ac:dyDescent="0.75">
      <c r="C12" s="14" t="str">
        <f>IF(Specimen!I12="*  ..  ##34###34# ##334###334#","//--- END",Specimen!I12)</f>
        <v>* anatomicLocation 0..* CodeableConcept ##34#A.4.5 Anatomic location##34# ##334#Anatomic location (body location, laterality) where the material is collected, e.g. Elbow, left - Preferred system(s): SNOMED CT##334#</v>
      </c>
    </row>
    <row r="13" spans="3:7" ht="29.5" x14ac:dyDescent="0.75">
      <c r="C13" s="14" t="str">
        <f>IF(Specimen!I13="*  ..  ##34###34# ##334###334#","//--- END",Specimen!I13)</f>
        <v>* morphology 0..* CodeableConcept ##34#A.4.6 Morphology##34# ##334#Morphological abnormalities of the anatomical location where the material is taken, for example wound, ulcer. - Preferred system(s): SNOMED CT##334#</v>
      </c>
    </row>
    <row r="14" spans="3:7" ht="59" x14ac:dyDescent="0.75">
      <c r="C14" s="14" t="str">
        <f>IF(Specimen!I14="*  ..  ##34###34# ##334###334#","//--- END",Specimen!I14)</f>
        <v>* sourceDevice 0..* CodeableConcept ##34#A.4.7 Source Device##34# ##334#If the material is not collected directly from the patient but comes from a patient-related object, e.g. a catheter
 - Preferred system(s): SNOMED CT
 - Preferred system(s): EMDN##334#</v>
      </c>
    </row>
    <row r="15" spans="3:7" ht="29.5" x14ac:dyDescent="0.75">
      <c r="C15" s="14" t="str">
        <f>IF(Specimen!I15="*  ..  ##34###34# ##334###334#","//--- END",Specimen!I15)</f>
        <v>* collectionMethod 0..* CodeableConcept ##34#A.4.8 Collection procedure/method##34# ##334#If relevant for the results, the method of obtaining the specimen. - Preferred system(s): SNOMED CT##334#</v>
      </c>
    </row>
    <row r="16" spans="3:7" ht="29.5" x14ac:dyDescent="0.75">
      <c r="C16" s="14" t="str">
        <f>IF(Specimen!I16="*  ..  ##34###34# ##334###334#","//--- END",Specimen!I16)</f>
        <v>* receivedDateTime 0..* dateTime ##34#A.4.9 Received date##34# ##334#Date and time that the material is handed over at the laboratory or specimen collection centre. - Preferred system(s): ISO 8601##334#</v>
      </c>
    </row>
    <row r="17" spans="3:3" x14ac:dyDescent="0.75">
      <c r="C17" s="14" t="str">
        <f>IF(Specimen!I17="*  ..  ##34###34# ##334###334#","//--- END",Specimen!I17)</f>
        <v>//--- END</v>
      </c>
    </row>
    <row r="18" spans="3:3" x14ac:dyDescent="0.75">
      <c r="C18" s="14" t="str">
        <f>IF(Specimen!I18="*  ..  ##34###34# ##334###334#","//--- END",Specimen!I18)</f>
        <v>//--- END</v>
      </c>
    </row>
    <row r="19" spans="3:3" x14ac:dyDescent="0.75">
      <c r="C19" s="14" t="str">
        <f>IF(Specimen!I19="*  ..  ##34###34# ##334###334#","//--- END",Specimen!I19)</f>
        <v>//--- END</v>
      </c>
    </row>
    <row r="30" spans="3:3" x14ac:dyDescent="0.75">
      <c r="C30" s="32" t="str">
        <f>'Specimen-Map-1'!E1</f>
        <v>// -------------------------------------------------------------------------------</v>
      </c>
    </row>
    <row r="31" spans="3:3" x14ac:dyDescent="0.75">
      <c r="C31" s="33" t="str">
        <f>'Specimen-Map-1'!E2</f>
        <v>//  Map to FHIR R4</v>
      </c>
    </row>
    <row r="32" spans="3:3" x14ac:dyDescent="0.75">
      <c r="C32" s="33" t="str">
        <f>'Specimen-Map-1'!E3</f>
        <v>// -------------------------------------------------------------------------------</v>
      </c>
    </row>
    <row r="33" spans="3:7" x14ac:dyDescent="0.75">
      <c r="C33" s="14" t="str">
        <f>'Specimen-Map-1'!E4</f>
        <v>Mapping: eHNLabSpecimen2Fhir</v>
      </c>
    </row>
    <row r="34" spans="3:7" x14ac:dyDescent="0.75">
      <c r="C34" s="14" t="str">
        <f>'Specimen-Map-1'!E5</f>
        <v>Id: fhir</v>
      </c>
    </row>
    <row r="35" spans="3:7" x14ac:dyDescent="0.75">
      <c r="C35" s="14" t="str">
        <f>'Specimen-Map-1'!E6</f>
        <v>Title: ##34#eHN Lab Specimen model to FHIR R4 Map##34#</v>
      </c>
    </row>
    <row r="36" spans="3:7" x14ac:dyDescent="0.75">
      <c r="C36" s="14" t="str">
        <f>'Specimen-Map-1'!E7</f>
        <v>Source: SpecimenLab</v>
      </c>
    </row>
    <row r="37" spans="3:7" x14ac:dyDescent="0.75">
      <c r="C37" s="14" t="str">
        <f>'Specimen-Map-1'!E8</f>
        <v>Target: ##34#hl7.org/fhir/r4##34#</v>
      </c>
    </row>
    <row r="39" spans="3:7" ht="29.5" x14ac:dyDescent="0.75">
      <c r="C39" s="14" t="str">
        <f>'Specimen-Map-1'!E9</f>
        <v>* -&gt; ##34#Observation.conformsTo('http://hl7.eu/fhir/ig/xeh/StructureDefinition/Observation-results-laboratory-eu-xeh').specimen.resolve()##34#</v>
      </c>
    </row>
    <row r="40" spans="3:7" x14ac:dyDescent="0.75">
      <c r="C40" s="14" t="str">
        <f>IF('Specimen-Map-1'!E10="*  -&gt; ##34###34#","// --END",'Specimen-Map-1'!E10)</f>
        <v>* identifier -&gt; ##34#Specimen.identifier##34#</v>
      </c>
    </row>
    <row r="41" spans="3:7" x14ac:dyDescent="0.75">
      <c r="C41" s="14" t="str">
        <f>IF('Specimen-Map-1'!E11="*  -&gt; ##34###34#","// --END",'Specimen-Map-1'!E11)</f>
        <v>* speciesType -&gt; ##34#Specimen.type##34#</v>
      </c>
    </row>
    <row r="42" spans="3:7" x14ac:dyDescent="0.75">
      <c r="C42" s="14" t="str">
        <f>IF('Specimen-Map-1'!E12="*  -&gt; ##34###34#","// --END",'Specimen-Map-1'!E12)</f>
        <v>* material -&gt; ##34#to be mapped##34#</v>
      </c>
    </row>
    <row r="43" spans="3:7" x14ac:dyDescent="0.75">
      <c r="C43" s="14" t="str">
        <f>IF('Specimen-Map-1'!E13="*  -&gt; ##34###34#","// --END",'Specimen-Map-1'!E13)</f>
        <v>* dateTime -&gt; ##34#Specimen.collection.collected[x]##34#</v>
      </c>
    </row>
    <row r="44" spans="3:7" x14ac:dyDescent="0.75">
      <c r="C44" s="14" t="str">
        <f>IF('Specimen-Map-1'!E14="*  -&gt; ##34###34#","// --END",'Specimen-Map-1'!E14)</f>
        <v>* anatomicLocation -&gt; ##34#Specimen.collection.bodySite##34#</v>
      </c>
    </row>
    <row r="45" spans="3:7" x14ac:dyDescent="0.75">
      <c r="C45" s="14" t="str">
        <f>IF('Specimen-Map-1'!E15="*  -&gt; ##34###34#","// --END",'Specimen-Map-1'!E15)</f>
        <v>* morphology -&gt; ##34#Specimen.collection.bodySite.extension(qualifier) (TBD)##34#</v>
      </c>
    </row>
    <row r="46" spans="3:7" x14ac:dyDescent="0.75">
      <c r="C46" s="14" t="str">
        <f>IF('Specimen-Map-1'!E16="*  -&gt; ##34###34#","// --END",'Specimen-Map-1'!E16)</f>
        <v>* sourceDevice -&gt; ##34#Specimen.container##34#</v>
      </c>
    </row>
    <row r="47" spans="3:7" x14ac:dyDescent="0.75">
      <c r="C47" s="14" t="str">
        <f>IF('Specimen-Map-1'!E17="*  -&gt; ##34###34#","// --END",'Specimen-Map-1'!E17)</f>
        <v>* collectionMethod -&gt; ##34#Specimen.collection.method##34#</v>
      </c>
    </row>
    <row r="48" spans="3:7" x14ac:dyDescent="0.75">
      <c r="C48" s="14" t="str">
        <f>IF('Specimen-Map-1'!E18="*  -&gt; ##34###34#","// --END",'Specimen-Map-1'!E18)</f>
        <v>* receivedDateTime -&gt; ##34#Specimen.receivedTime##34#</v>
      </c>
      <c r="G48" s="10"/>
    </row>
    <row r="49" spans="3:3" x14ac:dyDescent="0.75">
      <c r="C49" s="14" t="str">
        <f>IF('Specimen-Map-1'!E19="*  -&gt; ##34###34#","// --END",'Specimen-Map-1'!E19)</f>
        <v>// --END</v>
      </c>
    </row>
    <row r="50" spans="3:3" x14ac:dyDescent="0.75">
      <c r="C50" s="14" t="str">
        <f>IF('Specimen-Map-1'!E20="*  -&gt; ##34###34#","// --END",'Specimen-Map-1'!E20)</f>
        <v>// --END</v>
      </c>
    </row>
    <row r="51" spans="3:3" x14ac:dyDescent="0.75">
      <c r="C51" s="14" t="str">
        <f>IF('Specimen-Map-1'!E21="*  -&gt; ##34###34#","// --END",'Specimen-Map-1'!E21)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1137"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AE7F3B-D4A2-44B4-AA14-E44F31B27FB7}">
  <sheetPr codeName="Foglio43">
    <tabColor theme="7" tint="0.39997558519241921"/>
  </sheetPr>
  <dimension ref="A1:L62"/>
  <sheetViews>
    <sheetView zoomScaleNormal="100" workbookViewId="0">
      <selection activeCell="B8" sqref="B8"/>
    </sheetView>
  </sheetViews>
  <sheetFormatPr defaultRowHeight="14.75" x14ac:dyDescent="0.75"/>
  <cols>
    <col min="1" max="1" width="16.54296875" customWidth="1"/>
    <col min="2" max="2" width="59.5" customWidth="1"/>
    <col min="3" max="3" width="44.6328125" customWidth="1"/>
    <col min="4" max="4" width="71.58984375" style="1" bestFit="1" customWidth="1"/>
    <col min="5" max="5" width="30.6328125" customWidth="1"/>
    <col min="6" max="6" width="9" customWidth="1"/>
    <col min="7" max="8" width="21.76953125" customWidth="1"/>
    <col min="9" max="9" width="67.1796875" style="1" customWidth="1"/>
    <col min="10" max="10" width="19.31640625" customWidth="1"/>
    <col min="12" max="12" width="45.81640625" style="1" customWidth="1"/>
    <col min="13" max="13" width="8.7265625" customWidth="1"/>
  </cols>
  <sheetData>
    <row r="1" spans="1:11" x14ac:dyDescent="0.75">
      <c r="I1" s="32" t="s">
        <v>37</v>
      </c>
    </row>
    <row r="2" spans="1:11" x14ac:dyDescent="0.75">
      <c r="I2" s="33" t="s">
        <v>36</v>
      </c>
    </row>
    <row r="3" spans="1:11" ht="15.5" thickBot="1" x14ac:dyDescent="0.9">
      <c r="I3" s="33" t="str">
        <f>I1</f>
        <v>// -------------------------------------------------------------------------------</v>
      </c>
    </row>
    <row r="4" spans="1:11" x14ac:dyDescent="0.75">
      <c r="A4" s="6" t="s">
        <v>14</v>
      </c>
      <c r="B4" s="17" t="s">
        <v>480</v>
      </c>
      <c r="I4" s="25" t="str">
        <f>CONCATENATE("Logical: ",B4)</f>
        <v>Logical: ResultLabEhn</v>
      </c>
    </row>
    <row r="5" spans="1:11" x14ac:dyDescent="0.75">
      <c r="A5" s="18" t="s">
        <v>19</v>
      </c>
      <c r="B5" s="34" t="s">
        <v>481</v>
      </c>
      <c r="I5" s="25" t="str">
        <f>CONCATENATE("Id: ",B5)</f>
        <v>Id: Result</v>
      </c>
    </row>
    <row r="6" spans="1:11" x14ac:dyDescent="0.75">
      <c r="A6" s="18" t="s">
        <v>13</v>
      </c>
      <c r="B6" s="14" t="s">
        <v>502</v>
      </c>
      <c r="I6" s="26" t="str">
        <f>CONCATENATE("Title: ##34#",B6,"##34#")</f>
        <v>Title: ##34#Results data elements (A.5)##34#</v>
      </c>
    </row>
    <row r="7" spans="1:11" x14ac:dyDescent="0.75">
      <c r="A7" s="46" t="s">
        <v>5</v>
      </c>
      <c r="B7" s="14" t="s">
        <v>198</v>
      </c>
      <c r="C7" s="12"/>
      <c r="D7" s="2"/>
      <c r="E7" s="57"/>
      <c r="F7" s="3" t="s">
        <v>9</v>
      </c>
      <c r="G7" s="3" t="s">
        <v>10</v>
      </c>
      <c r="I7" s="26" t="str">
        <f>CONCATENATE("Description: "," ##334#",B7,"##334#",)</f>
        <v>Description:  ##334#A.5 Results data elements##334#</v>
      </c>
    </row>
    <row r="8" spans="1:11" ht="29.5" x14ac:dyDescent="0.75">
      <c r="A8" s="9">
        <v>1</v>
      </c>
      <c r="B8" s="9" t="s">
        <v>503</v>
      </c>
      <c r="C8" s="14" t="s">
        <v>554</v>
      </c>
      <c r="D8" s="14" t="s">
        <v>554</v>
      </c>
      <c r="E8" s="9">
        <v>0</v>
      </c>
      <c r="F8" s="9">
        <v>1</v>
      </c>
      <c r="G8" s="9" t="s">
        <v>4</v>
      </c>
      <c r="H8" s="23"/>
      <c r="I8" s="14" t="str">
        <f>CONCATENATE("* ",B8, " ",E8,"..",F8," ",G8," ##34#",C8,"##34# ##334#",D8,"##334#")</f>
        <v>* narrative 0..1 BackboneElement ##34#A.5.1 Laboratory report narrative##34# ##334#A.5.1 Laboratory report narrative##334#</v>
      </c>
    </row>
    <row r="9" spans="1:11" ht="44.25" x14ac:dyDescent="0.75">
      <c r="A9" s="9">
        <v>2</v>
      </c>
      <c r="B9" s="9" t="s">
        <v>504</v>
      </c>
      <c r="C9" s="1" t="s">
        <v>485</v>
      </c>
      <c r="D9" s="14" t="s">
        <v>617</v>
      </c>
      <c r="E9" s="9">
        <v>0</v>
      </c>
      <c r="F9" s="9" t="s">
        <v>11</v>
      </c>
      <c r="G9" s="9" t="s">
        <v>507</v>
      </c>
      <c r="H9" s="23"/>
      <c r="I9" s="14" t="str">
        <f t="shared" ref="I9:I31" si="0">CONCATENATE("* ",B9, " ",E9,"..",F9," ",G9," ##34#",C9,"##34# ##334#",D9,"##334#")</f>
        <v>* narrative.report 0..* Narrative ##34#A.5.1.1 Narrative report##34# ##334#Entire report (textual summary inside the laboratory result report document) as issued by the laboratory.##334#</v>
      </c>
    </row>
    <row r="10" spans="1:11" ht="44.25" x14ac:dyDescent="0.75">
      <c r="A10" s="9">
        <v>3</v>
      </c>
      <c r="B10" s="9" t="s">
        <v>505</v>
      </c>
      <c r="C10" s="14" t="s">
        <v>486</v>
      </c>
      <c r="D10" s="60" t="s">
        <v>205</v>
      </c>
      <c r="E10" s="9">
        <v>0</v>
      </c>
      <c r="F10" s="9" t="s">
        <v>11</v>
      </c>
      <c r="G10" s="9" t="s">
        <v>507</v>
      </c>
      <c r="H10" s="23"/>
      <c r="I10" s="14" t="str">
        <f t="shared" si="0"/>
        <v>* narrative.notes 0..* Narrative ##34#A.5.1.2 Comments, interpretation and recommendations##34# ##334#Comments, such as a textual interpretation or advice accompanying the result report, for example.##334#</v>
      </c>
    </row>
    <row r="11" spans="1:11" ht="44.25" x14ac:dyDescent="0.75">
      <c r="A11" s="59">
        <v>4</v>
      </c>
      <c r="B11" s="9" t="s">
        <v>506</v>
      </c>
      <c r="C11" s="52" t="s">
        <v>508</v>
      </c>
      <c r="D11" s="52" t="s">
        <v>555</v>
      </c>
      <c r="E11" s="59">
        <v>0</v>
      </c>
      <c r="F11" s="59" t="s">
        <v>11</v>
      </c>
      <c r="G11" s="9" t="s">
        <v>4</v>
      </c>
      <c r="H11" s="23"/>
      <c r="I11" s="14" t="str">
        <f t="shared" si="0"/>
        <v>* observation 0..* BackboneElement ##34#A.5.2 Observation details##34# ##334#A.5.2 Observation details (report could consist of multiple observations) ##334#</v>
      </c>
    </row>
    <row r="12" spans="1:11" ht="44.25" x14ac:dyDescent="0.75">
      <c r="A12" s="9">
        <v>5</v>
      </c>
      <c r="B12" s="9" t="s">
        <v>509</v>
      </c>
      <c r="C12" s="52" t="s">
        <v>487</v>
      </c>
      <c r="D12" s="14" t="s">
        <v>501</v>
      </c>
      <c r="E12" s="59">
        <v>0</v>
      </c>
      <c r="F12" s="59" t="s">
        <v>11</v>
      </c>
      <c r="G12" s="9" t="s">
        <v>1</v>
      </c>
      <c r="H12" s="23"/>
      <c r="I12" s="14" t="str">
        <f t="shared" si="0"/>
        <v>* observation.dateTime 0..* CodeableConcept ##34#A.5.2.1 Observation date##34# ##334#Date and time of the observation - Preferred system(s): ISO 8601##334#</v>
      </c>
    </row>
    <row r="13" spans="1:11" ht="88.5" x14ac:dyDescent="0.75">
      <c r="A13" s="9">
        <v>6</v>
      </c>
      <c r="B13" s="9" t="s">
        <v>510</v>
      </c>
      <c r="C13" s="14" t="s">
        <v>488</v>
      </c>
      <c r="D13" s="52" t="s">
        <v>511</v>
      </c>
      <c r="E13" s="59">
        <v>0</v>
      </c>
      <c r="F13" s="59" t="s">
        <v>11</v>
      </c>
      <c r="G13" s="9" t="s">
        <v>1</v>
      </c>
      <c r="H13" s="23"/>
      <c r="I13" s="14" t="str">
        <f t="shared" si="0"/>
        <v>* observation.code 0..* CodeableConcept ##34#A.5.2.3 Observation code##34# ##334#Code representing the observation using the agreed code systems.
- Preferred system(s): LOINC
 - Preferred system(s): NPU
 - Preferred system(s): SNOMED CT##334#</v>
      </c>
    </row>
    <row r="14" spans="1:11" ht="44.25" x14ac:dyDescent="0.75">
      <c r="A14" s="9">
        <v>7</v>
      </c>
      <c r="B14" s="9" t="s">
        <v>512</v>
      </c>
      <c r="C14" s="9" t="s">
        <v>489</v>
      </c>
      <c r="D14" s="14" t="s">
        <v>216</v>
      </c>
      <c r="E14" s="59">
        <v>0</v>
      </c>
      <c r="F14" s="59" t="s">
        <v>11</v>
      </c>
      <c r="G14" s="9" t="s">
        <v>3</v>
      </c>
      <c r="H14" s="23"/>
      <c r="I14" s="14" t="str">
        <f t="shared" si="0"/>
        <v>* observation.code.name 0..* string ##34#A.5.2.3.1 Observation name##34# ##334#Full name of the observation according to the used test coding standard.##334#</v>
      </c>
    </row>
    <row r="15" spans="1:11" ht="44.25" x14ac:dyDescent="0.75">
      <c r="A15" s="3">
        <v>8</v>
      </c>
      <c r="B15" s="9" t="s">
        <v>513</v>
      </c>
      <c r="C15" s="9" t="s">
        <v>490</v>
      </c>
      <c r="D15" s="14" t="s">
        <v>219</v>
      </c>
      <c r="E15" s="3">
        <v>0</v>
      </c>
      <c r="F15" s="3" t="s">
        <v>11</v>
      </c>
      <c r="G15" s="9" t="s">
        <v>3</v>
      </c>
      <c r="H15" s="61"/>
      <c r="I15" s="14" t="str">
        <f t="shared" si="0"/>
        <v>* observation.code.originalName 0..* string ##34#A.5.2.3.2 Observation original name##34# ##334#Original (conventional) name of the observation as used by the laboratory##334#</v>
      </c>
      <c r="J15" s="16"/>
      <c r="K15" s="9"/>
    </row>
    <row r="16" spans="1:11" ht="44.25" x14ac:dyDescent="0.75">
      <c r="A16" s="9">
        <v>9</v>
      </c>
      <c r="B16" s="9" t="s">
        <v>514</v>
      </c>
      <c r="C16" s="9" t="s">
        <v>491</v>
      </c>
      <c r="D16" s="14" t="s">
        <v>222</v>
      </c>
      <c r="E16" s="9">
        <v>0</v>
      </c>
      <c r="F16" s="9" t="s">
        <v>11</v>
      </c>
      <c r="G16" s="9" t="s">
        <v>3</v>
      </c>
      <c r="H16" s="9"/>
      <c r="I16" s="14" t="str">
        <f t="shared" si="0"/>
        <v>* observation.code.displayName 0..* string ##34#A.5.2.3.3 Observation display name##34# ##334#Simplified (short name of the observation) for display.##334#</v>
      </c>
    </row>
    <row r="17" spans="1:9" ht="59" x14ac:dyDescent="0.75">
      <c r="A17" s="9">
        <v>10</v>
      </c>
      <c r="B17" s="9" t="s">
        <v>515</v>
      </c>
      <c r="C17" s="9" t="s">
        <v>492</v>
      </c>
      <c r="D17" s="14" t="s">
        <v>527</v>
      </c>
      <c r="E17" s="9">
        <v>0</v>
      </c>
      <c r="F17" s="9" t="s">
        <v>11</v>
      </c>
      <c r="G17" s="9" t="s">
        <v>1</v>
      </c>
      <c r="H17" s="9"/>
      <c r="I17" s="14" t="str">
        <f t="shared" si="0"/>
        <v>* observation.method 0..* CodeableConcept ##34#A.5.2.4 Observation method##34# ##334#Observation method (measurement principle) to obtain the result.
- Preferred system(s): SNOMED CT##334#</v>
      </c>
    </row>
    <row r="18" spans="1:9" ht="73.75" x14ac:dyDescent="0.75">
      <c r="A18" s="9">
        <v>11</v>
      </c>
      <c r="B18" s="9" t="s">
        <v>516</v>
      </c>
      <c r="C18" s="9" t="s">
        <v>493</v>
      </c>
      <c r="D18" s="14" t="s">
        <v>517</v>
      </c>
      <c r="E18" s="9">
        <v>0</v>
      </c>
      <c r="F18" s="9" t="s">
        <v>11</v>
      </c>
      <c r="G18" s="9" t="s">
        <v>1</v>
      </c>
      <c r="H18" s="9"/>
      <c r="I18" s="14" t="str">
        <f t="shared" si="0"/>
        <v>* observation.device 0..* CodeableConcept ##34#A.5.2.5 Observation device##34# ##334#Device (analyser), laboratory test kit and used calibrator information (identifier, type, name, model, manufacturer)
- Preferred system(s): SNOMED CT
 - Preferred system(s): EMDN##334#</v>
      </c>
    </row>
    <row r="19" spans="1:9" ht="29.5" x14ac:dyDescent="0.75">
      <c r="A19" s="3">
        <v>12</v>
      </c>
      <c r="B19" s="9" t="s">
        <v>518</v>
      </c>
      <c r="C19" s="9" t="s">
        <v>494</v>
      </c>
      <c r="D19" s="14" t="s">
        <v>520</v>
      </c>
      <c r="E19" s="9">
        <v>0</v>
      </c>
      <c r="F19" s="9" t="s">
        <v>11</v>
      </c>
      <c r="G19" s="9" t="s">
        <v>4</v>
      </c>
      <c r="H19" s="9"/>
      <c r="I19" s="14" t="str">
        <f t="shared" si="0"/>
        <v>* observation.order 0..* BackboneElement ##34#A.5.2.8 Order##34# ##334#Identifies order and order placer this observation belongs to.##334#</v>
      </c>
    </row>
    <row r="20" spans="1:9" ht="59" x14ac:dyDescent="0.75">
      <c r="A20" s="9">
        <v>13</v>
      </c>
      <c r="B20" s="9" t="s">
        <v>519</v>
      </c>
      <c r="C20" s="9" t="s">
        <v>495</v>
      </c>
      <c r="D20" s="14" t="s">
        <v>561</v>
      </c>
      <c r="E20" s="9">
        <v>0</v>
      </c>
      <c r="F20" s="9" t="s">
        <v>11</v>
      </c>
      <c r="G20" s="9" t="s">
        <v>4</v>
      </c>
      <c r="H20" s="9"/>
      <c r="I20" s="14" t="str">
        <f t="shared" si="0"/>
        <v>* observation.performer 0..* BackboneElement ##34#A.5.2.9 Performer##34# ##334#Identifies the originator/author and provides provenance information about the source of the results data that may have not originated with the source of the whole Laboratory Report document. ##334#</v>
      </c>
    </row>
    <row r="21" spans="1:9" ht="44.25" x14ac:dyDescent="0.75">
      <c r="A21" s="9">
        <v>14</v>
      </c>
      <c r="B21" s="9" t="s">
        <v>521</v>
      </c>
      <c r="C21" s="9" t="s">
        <v>496</v>
      </c>
      <c r="D21" s="14" t="s">
        <v>237</v>
      </c>
      <c r="E21" s="9">
        <v>0</v>
      </c>
      <c r="F21" s="9" t="s">
        <v>11</v>
      </c>
      <c r="G21" s="9" t="s">
        <v>4</v>
      </c>
      <c r="H21" s="9"/>
      <c r="I21" s="14" t="str">
        <f t="shared" si="0"/>
        <v>* observation.reporter 0..* BackboneElement ##34#A.5.2.10 Reporter##34# ##334#With certain observation results, e.g. there may also be an interpreter or a person responsible for validation.##334#</v>
      </c>
    </row>
    <row r="22" spans="1:9" ht="103.25" x14ac:dyDescent="0.75">
      <c r="A22" s="9">
        <v>15</v>
      </c>
      <c r="B22" s="9" t="s">
        <v>522</v>
      </c>
      <c r="C22" s="9" t="s">
        <v>497</v>
      </c>
      <c r="D22" s="14" t="s">
        <v>556</v>
      </c>
      <c r="E22" s="9">
        <v>0</v>
      </c>
      <c r="F22" s="9" t="s">
        <v>11</v>
      </c>
      <c r="G22" s="9" t="s">
        <v>4</v>
      </c>
      <c r="H22" s="9"/>
      <c r="I22" s="14" t="str">
        <f t="shared" si="0"/>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1:9" ht="73.75" x14ac:dyDescent="0.75">
      <c r="A23" s="9">
        <v>18</v>
      </c>
      <c r="B23" s="9" t="s">
        <v>524</v>
      </c>
      <c r="C23" s="9" t="s">
        <v>498</v>
      </c>
      <c r="D23" s="14" t="s">
        <v>523</v>
      </c>
      <c r="E23" s="9">
        <v>0</v>
      </c>
      <c r="F23" s="9" t="s">
        <v>11</v>
      </c>
      <c r="G23" s="9" t="s">
        <v>1</v>
      </c>
      <c r="H23" s="9"/>
      <c r="I23" s="14" t="str">
        <f t="shared" si="0"/>
        <v>* observation.interpretation 0..* CodeableConcept ##34#A.5.2.12 Observation interpretation##34# ##334#Information about reference intervals and result interpretation.
 - Preferred system(s): SNOMED CT
 - Preferred system(s): HL7 v3 Code System ObservationInterpretation##334#</v>
      </c>
    </row>
    <row r="24" spans="1:9" ht="44.25" x14ac:dyDescent="0.75">
      <c r="A24" s="9">
        <v>21</v>
      </c>
      <c r="B24" s="9" t="s">
        <v>525</v>
      </c>
      <c r="C24" s="9" t="s">
        <v>499</v>
      </c>
      <c r="D24" s="14" t="s">
        <v>249</v>
      </c>
      <c r="E24" s="9">
        <v>0</v>
      </c>
      <c r="F24" s="9" t="s">
        <v>11</v>
      </c>
      <c r="G24" s="9" t="s">
        <v>507</v>
      </c>
      <c r="H24" s="9"/>
      <c r="I24" s="14" t="str">
        <f t="shared" si="0"/>
        <v>* observation.description 0..* Narrative ##34#A.5.2.13 Result description##34# ##334#Comments and narrative representation of the observation result and findings.##334#</v>
      </c>
    </row>
    <row r="25" spans="1:9" ht="44.25" x14ac:dyDescent="0.75">
      <c r="A25" s="9">
        <v>22</v>
      </c>
      <c r="B25" s="9" t="s">
        <v>526</v>
      </c>
      <c r="C25" s="9" t="s">
        <v>500</v>
      </c>
      <c r="D25" s="14" t="s">
        <v>252</v>
      </c>
      <c r="E25" s="9">
        <v>0</v>
      </c>
      <c r="F25" s="9" t="s">
        <v>11</v>
      </c>
      <c r="G25" s="9" t="s">
        <v>4</v>
      </c>
      <c r="H25" s="9"/>
      <c r="I25" s="14" t="str">
        <f t="shared" si="0"/>
        <v>* observation.accreditationStatus 0..* BackboneElement ##34#A.5.2.14 Accreditation status##34# ##334#Accreditation status of the laboratory for the particular observation.##334#</v>
      </c>
    </row>
    <row r="26" spans="1:9" x14ac:dyDescent="0.75">
      <c r="A26" s="9"/>
      <c r="B26" s="9"/>
      <c r="C26" s="9"/>
      <c r="D26" s="14"/>
      <c r="E26" s="9"/>
      <c r="F26" s="9"/>
      <c r="G26" s="9"/>
      <c r="H26" s="9"/>
      <c r="I26" s="14" t="str">
        <f t="shared" si="0"/>
        <v>*  ..  ##34###34# ##334###334#</v>
      </c>
    </row>
    <row r="27" spans="1:9" x14ac:dyDescent="0.75">
      <c r="A27" s="3"/>
      <c r="B27" s="9"/>
      <c r="C27" s="9"/>
      <c r="D27" s="14"/>
      <c r="E27" s="9"/>
      <c r="F27" s="9"/>
      <c r="G27" s="9"/>
      <c r="H27" s="9"/>
      <c r="I27" s="14" t="str">
        <f t="shared" si="0"/>
        <v>*  ..  ##34###34# ##334###334#</v>
      </c>
    </row>
    <row r="28" spans="1:9" x14ac:dyDescent="0.75">
      <c r="A28" s="9"/>
      <c r="B28" s="9"/>
      <c r="C28" s="9"/>
      <c r="D28" s="14"/>
      <c r="E28" s="9"/>
      <c r="F28" s="9"/>
      <c r="G28" s="9"/>
      <c r="H28" s="9"/>
      <c r="I28" s="14" t="str">
        <f t="shared" si="0"/>
        <v>*  ..  ##34###34# ##334###334#</v>
      </c>
    </row>
    <row r="29" spans="1:9" x14ac:dyDescent="0.75">
      <c r="A29" s="9"/>
      <c r="B29" s="9"/>
      <c r="C29" s="9"/>
      <c r="D29" s="14"/>
      <c r="E29" s="9"/>
      <c r="F29" s="9"/>
      <c r="G29" s="9"/>
      <c r="H29" s="9"/>
      <c r="I29" s="14" t="str">
        <f t="shared" si="0"/>
        <v>*  ..  ##34###34# ##334###334#</v>
      </c>
    </row>
    <row r="30" spans="1:9" x14ac:dyDescent="0.75">
      <c r="A30" s="9"/>
      <c r="B30" s="9"/>
      <c r="C30" s="9"/>
      <c r="D30" s="14"/>
      <c r="E30" s="9"/>
      <c r="F30" s="9"/>
      <c r="G30" s="9"/>
      <c r="H30" s="9"/>
      <c r="I30" s="14" t="str">
        <f t="shared" si="0"/>
        <v>*  ..  ##34###34# ##334###334#</v>
      </c>
    </row>
    <row r="31" spans="1:9" x14ac:dyDescent="0.75">
      <c r="A31" s="9"/>
      <c r="B31" s="9"/>
      <c r="C31" s="9"/>
      <c r="D31" s="14"/>
      <c r="E31" s="9"/>
      <c r="F31" s="9"/>
      <c r="G31" s="9"/>
      <c r="H31" s="9"/>
      <c r="I31" s="14" t="str">
        <f t="shared" si="0"/>
        <v>*  ..  ##34###34# ##334###334#</v>
      </c>
    </row>
    <row r="32" spans="1:9" x14ac:dyDescent="0.75">
      <c r="A32" s="9"/>
      <c r="B32" s="9"/>
      <c r="C32" s="9"/>
      <c r="D32" s="14"/>
      <c r="E32" s="9"/>
      <c r="F32" s="9"/>
      <c r="G32" s="9"/>
      <c r="H32" s="9"/>
      <c r="I32" s="14"/>
    </row>
    <row r="35" spans="2:9" ht="15.5" thickBot="1" x14ac:dyDescent="0.9"/>
    <row r="36" spans="2:9" ht="16.75" thickBot="1" x14ac:dyDescent="0.9">
      <c r="B36" t="str">
        <f t="shared" ref="B36:B62" si="1">CONCATENATE(C36," ",D36)</f>
        <v xml:space="preserve">A.5 Results data elements </v>
      </c>
      <c r="C36" s="68" t="s">
        <v>198</v>
      </c>
      <c r="D36" s="69"/>
      <c r="E36" s="69"/>
      <c r="F36" s="70"/>
    </row>
    <row r="37" spans="2:9" ht="16.75" thickBot="1" x14ac:dyDescent="0.9">
      <c r="B37" t="str">
        <f t="shared" si="1"/>
        <v xml:space="preserve">A.5.1 Laboratory report narrative  </v>
      </c>
      <c r="C37" s="68" t="s">
        <v>557</v>
      </c>
      <c r="D37" s="69"/>
      <c r="E37" s="69"/>
      <c r="F37" s="70"/>
    </row>
    <row r="38" spans="2:9" ht="64.75" thickBot="1" x14ac:dyDescent="0.9">
      <c r="B38" t="str">
        <f t="shared" si="1"/>
        <v>A.5.1.1 Narrative report</v>
      </c>
      <c r="C38" s="36" t="s">
        <v>200</v>
      </c>
      <c r="D38" s="39" t="s">
        <v>201</v>
      </c>
      <c r="E38" s="37" t="s">
        <v>558</v>
      </c>
      <c r="F38" s="42"/>
      <c r="I38" s="1" t="str">
        <f t="shared" ref="I38:I62" si="2">CONCATENATE(E38," - Preferred system(s): ",F38)</f>
        <v xml:space="preserve">Entire report (textual summary inside the laboratory result report document) as issued by the laboratory.  - Preferred system(s): </v>
      </c>
    </row>
    <row r="39" spans="2:9" ht="64.75" thickBot="1" x14ac:dyDescent="0.9">
      <c r="B39" t="str">
        <f t="shared" si="1"/>
        <v>A.5.1.2 Comments, interpretation and recommendations</v>
      </c>
      <c r="C39" s="36" t="s">
        <v>203</v>
      </c>
      <c r="D39" s="39" t="s">
        <v>204</v>
      </c>
      <c r="E39" s="37" t="s">
        <v>205</v>
      </c>
      <c r="F39" s="42"/>
      <c r="I39" s="1" t="str">
        <f t="shared" si="2"/>
        <v xml:space="preserve">Comments, such as a textual interpretation or advice accompanying the result report, for example. - Preferred system(s): </v>
      </c>
    </row>
    <row r="40" spans="2:9" ht="16.75" thickBot="1" x14ac:dyDescent="0.9">
      <c r="B40" t="str">
        <f t="shared" si="1"/>
        <v xml:space="preserve">A.5.2 Observation details (report could consist of multiple observations) </v>
      </c>
      <c r="C40" s="68" t="s">
        <v>559</v>
      </c>
      <c r="D40" s="69"/>
      <c r="E40" s="69"/>
      <c r="F40" s="70"/>
      <c r="I40" s="1" t="str">
        <f t="shared" si="2"/>
        <v xml:space="preserve"> - Preferred system(s): </v>
      </c>
    </row>
    <row r="41" spans="2:9" ht="32.75" thickBot="1" x14ac:dyDescent="0.9">
      <c r="B41" t="str">
        <f t="shared" si="1"/>
        <v>A.5.2.1 Observation date</v>
      </c>
      <c r="C41" s="36" t="s">
        <v>207</v>
      </c>
      <c r="D41" s="39" t="s">
        <v>208</v>
      </c>
      <c r="E41" s="37" t="s">
        <v>209</v>
      </c>
      <c r="F41" s="39" t="s">
        <v>113</v>
      </c>
      <c r="I41" s="1" t="str">
        <f t="shared" si="2"/>
        <v>Date and time of the observation - Preferred system(s): ISO 8601</v>
      </c>
    </row>
    <row r="42" spans="2:9" ht="29.5" x14ac:dyDescent="0.75">
      <c r="B42" t="str">
        <f t="shared" si="1"/>
        <v>A.5.2.3 Observation code</v>
      </c>
      <c r="C42" s="76" t="s">
        <v>210</v>
      </c>
      <c r="D42" s="79" t="s">
        <v>211</v>
      </c>
      <c r="E42" s="76" t="s">
        <v>212</v>
      </c>
      <c r="F42" s="43" t="s">
        <v>130</v>
      </c>
      <c r="I42" s="1" t="str">
        <f t="shared" si="2"/>
        <v>Code representing the observation using the agreed code systems. - Preferred system(s): LOINC</v>
      </c>
    </row>
    <row r="43" spans="2:9" ht="16" x14ac:dyDescent="0.75">
      <c r="B43" t="str">
        <f t="shared" si="1"/>
        <v xml:space="preserve"> </v>
      </c>
      <c r="C43" s="77"/>
      <c r="D43" s="80"/>
      <c r="E43" s="77"/>
      <c r="F43" s="43" t="s">
        <v>213</v>
      </c>
      <c r="I43" s="1" t="str">
        <f t="shared" si="2"/>
        <v xml:space="preserve"> - Preferred system(s): NPU</v>
      </c>
    </row>
    <row r="44" spans="2:9" ht="32.75" thickBot="1" x14ac:dyDescent="0.9">
      <c r="B44" t="str">
        <f t="shared" si="1"/>
        <v xml:space="preserve"> </v>
      </c>
      <c r="C44" s="78"/>
      <c r="D44" s="81"/>
      <c r="E44" s="78"/>
      <c r="F44" s="39" t="s">
        <v>167</v>
      </c>
      <c r="I44" s="1" t="str">
        <f t="shared" si="2"/>
        <v xml:space="preserve"> - Preferred system(s): SNOMED CT</v>
      </c>
    </row>
    <row r="45" spans="2:9" ht="48.75" thickBot="1" x14ac:dyDescent="0.9">
      <c r="B45" t="str">
        <f t="shared" si="1"/>
        <v>A.5.2.3.1 Observation name</v>
      </c>
      <c r="C45" s="36" t="s">
        <v>214</v>
      </c>
      <c r="D45" s="39" t="s">
        <v>215</v>
      </c>
      <c r="E45" s="37" t="s">
        <v>216</v>
      </c>
      <c r="F45" s="38"/>
      <c r="I45" s="1" t="str">
        <f t="shared" si="2"/>
        <v xml:space="preserve">Full name of the observation according to the used test coding standard. - Preferred system(s): </v>
      </c>
    </row>
    <row r="46" spans="2:9" ht="48.75" thickBot="1" x14ac:dyDescent="0.9">
      <c r="B46" t="str">
        <f t="shared" si="1"/>
        <v>A.5.2.3.2 Observation original name</v>
      </c>
      <c r="C46" s="36" t="s">
        <v>217</v>
      </c>
      <c r="D46" s="39" t="s">
        <v>218</v>
      </c>
      <c r="E46" s="37" t="s">
        <v>219</v>
      </c>
      <c r="F46" s="38"/>
      <c r="I46" s="1" t="str">
        <f t="shared" si="2"/>
        <v xml:space="preserve">Original (conventional) name of the observation as used by the laboratory - Preferred system(s): </v>
      </c>
    </row>
    <row r="47" spans="2:9" ht="32.75" thickBot="1" x14ac:dyDescent="0.9">
      <c r="B47" t="str">
        <f t="shared" si="1"/>
        <v>A.5.2.3.3 Observation display name</v>
      </c>
      <c r="C47" s="36" t="s">
        <v>220</v>
      </c>
      <c r="D47" s="39" t="s">
        <v>221</v>
      </c>
      <c r="E47" s="37" t="s">
        <v>222</v>
      </c>
      <c r="F47" s="38"/>
      <c r="I47" s="1" t="str">
        <f t="shared" si="2"/>
        <v xml:space="preserve">Simplified (short name of the observation) for display. - Preferred system(s): </v>
      </c>
    </row>
    <row r="48" spans="2:9" ht="48.75" thickBot="1" x14ac:dyDescent="0.9">
      <c r="B48" t="str">
        <f t="shared" si="1"/>
        <v>A.5.2.4 Observation method</v>
      </c>
      <c r="C48" s="36" t="s">
        <v>223</v>
      </c>
      <c r="D48" s="39" t="s">
        <v>224</v>
      </c>
      <c r="E48" s="37" t="s">
        <v>225</v>
      </c>
      <c r="F48" s="39" t="s">
        <v>167</v>
      </c>
      <c r="I48" s="1" t="str">
        <f t="shared" si="2"/>
        <v>Observation method (measurement principle) to obtain the result. - Preferred system(s): SNOMED CT</v>
      </c>
    </row>
    <row r="49" spans="2:9" ht="44.25" x14ac:dyDescent="0.75">
      <c r="B49" t="str">
        <f t="shared" si="1"/>
        <v>A.5.2.5 Observation device</v>
      </c>
      <c r="C49" s="76" t="s">
        <v>226</v>
      </c>
      <c r="D49" s="79" t="s">
        <v>227</v>
      </c>
      <c r="E49" s="76" t="s">
        <v>228</v>
      </c>
      <c r="F49" s="43" t="s">
        <v>167</v>
      </c>
      <c r="I49" s="1" t="str">
        <f t="shared" si="2"/>
        <v>Device (analyser), laboratory test kit and used calibrator information (identifier, type, name, model, manufacturer) - Preferred system(s): SNOMED CT</v>
      </c>
    </row>
    <row r="50" spans="2:9" x14ac:dyDescent="0.75">
      <c r="B50" t="str">
        <f t="shared" si="1"/>
        <v xml:space="preserve"> </v>
      </c>
      <c r="C50" s="77"/>
      <c r="D50" s="80"/>
      <c r="E50" s="77"/>
      <c r="F50" s="41"/>
      <c r="I50" s="1" t="str">
        <f t="shared" si="2"/>
        <v xml:space="preserve"> - Preferred system(s): </v>
      </c>
    </row>
    <row r="51" spans="2:9" ht="16.75" thickBot="1" x14ac:dyDescent="0.9">
      <c r="B51" t="str">
        <f t="shared" si="1"/>
        <v xml:space="preserve"> </v>
      </c>
      <c r="C51" s="78"/>
      <c r="D51" s="81"/>
      <c r="E51" s="78"/>
      <c r="F51" s="39" t="s">
        <v>191</v>
      </c>
      <c r="I51" s="1" t="str">
        <f t="shared" si="2"/>
        <v xml:space="preserve"> - Preferred system(s): EMDN</v>
      </c>
    </row>
    <row r="52" spans="2:9" ht="32.75" thickBot="1" x14ac:dyDescent="0.9">
      <c r="B52" t="str">
        <f t="shared" si="1"/>
        <v>A.5.2.8 Order</v>
      </c>
      <c r="C52" s="36" t="s">
        <v>229</v>
      </c>
      <c r="D52" s="39" t="s">
        <v>230</v>
      </c>
      <c r="E52" s="37" t="s">
        <v>560</v>
      </c>
      <c r="F52" s="38"/>
      <c r="I52" s="1" t="str">
        <f t="shared" si="2"/>
        <v xml:space="preserve">Identifies order and order placer this observation belongs to.  - Preferred system(s): </v>
      </c>
    </row>
    <row r="53" spans="2:9" ht="112.75" thickBot="1" x14ac:dyDescent="0.9">
      <c r="B53" t="str">
        <f t="shared" si="1"/>
        <v>A.5.2.9 Performer</v>
      </c>
      <c r="C53" s="36" t="s">
        <v>232</v>
      </c>
      <c r="D53" s="39" t="s">
        <v>233</v>
      </c>
      <c r="E53" s="37" t="s">
        <v>561</v>
      </c>
      <c r="F53" s="38"/>
      <c r="I53" s="1" t="str">
        <f t="shared" si="2"/>
        <v xml:space="preserve">Identifies the originator/author and provides provenance information about the source of the results data that may have not originated with the source of the whole Laboratory Report document.  - Preferred system(s): </v>
      </c>
    </row>
    <row r="54" spans="2:9" ht="64.75" thickBot="1" x14ac:dyDescent="0.9">
      <c r="B54" t="str">
        <f t="shared" si="1"/>
        <v>A.5.2.10 Reporter</v>
      </c>
      <c r="C54" s="36" t="s">
        <v>235</v>
      </c>
      <c r="D54" s="39" t="s">
        <v>236</v>
      </c>
      <c r="E54" s="37" t="s">
        <v>237</v>
      </c>
      <c r="F54" s="38"/>
      <c r="I54" s="1" t="str">
        <f t="shared" si="2"/>
        <v xml:space="preserve">With certain observation results, e.g. there may also be an interpreter or a person responsible for validation. - Preferred system(s): </v>
      </c>
    </row>
    <row r="55" spans="2:9" ht="176" x14ac:dyDescent="0.75">
      <c r="B55" t="str">
        <f t="shared" si="1"/>
        <v>A.5.2.11 Observation result</v>
      </c>
      <c r="C55" s="76" t="s">
        <v>238</v>
      </c>
      <c r="D55" s="79" t="s">
        <v>239</v>
      </c>
      <c r="E55" s="76" t="s">
        <v>562</v>
      </c>
      <c r="F55" s="43" t="s">
        <v>241</v>
      </c>
      <c r="I55" s="1" t="str">
        <f t="shared" si="2"/>
        <v>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v>
      </c>
    </row>
    <row r="56" spans="2:9" x14ac:dyDescent="0.75">
      <c r="B56" t="str">
        <f t="shared" si="1"/>
        <v xml:space="preserve"> </v>
      </c>
      <c r="C56" s="77"/>
      <c r="D56" s="80"/>
      <c r="E56" s="77"/>
      <c r="F56" s="44"/>
      <c r="I56" s="1" t="str">
        <f t="shared" si="2"/>
        <v xml:space="preserve"> - Preferred system(s): </v>
      </c>
    </row>
    <row r="57" spans="2:9" ht="48.75" thickBot="1" x14ac:dyDescent="0.9">
      <c r="B57" t="str">
        <f t="shared" si="1"/>
        <v xml:space="preserve"> </v>
      </c>
      <c r="C57" s="78"/>
      <c r="D57" s="81"/>
      <c r="E57" s="78"/>
      <c r="F57" s="39" t="s">
        <v>242</v>
      </c>
      <c r="I57" s="1" t="str">
        <f t="shared" si="2"/>
        <v xml:space="preserve"> - Preferred system(s): UCUM (for units)</v>
      </c>
    </row>
    <row r="58" spans="2:9" ht="32" x14ac:dyDescent="0.75">
      <c r="B58" t="str">
        <f t="shared" si="1"/>
        <v>A.5.2.12 Observation interpretation</v>
      </c>
      <c r="C58" s="76" t="s">
        <v>243</v>
      </c>
      <c r="D58" s="79" t="s">
        <v>244</v>
      </c>
      <c r="E58" s="76" t="s">
        <v>245</v>
      </c>
      <c r="F58" s="43" t="s">
        <v>167</v>
      </c>
      <c r="I58" s="1" t="str">
        <f t="shared" si="2"/>
        <v>Information about reference intervals and result interpretation. - Preferred system(s): SNOMED CT</v>
      </c>
    </row>
    <row r="59" spans="2:9" x14ac:dyDescent="0.75">
      <c r="B59" t="str">
        <f t="shared" si="1"/>
        <v xml:space="preserve"> </v>
      </c>
      <c r="C59" s="77"/>
      <c r="D59" s="80"/>
      <c r="E59" s="77"/>
      <c r="F59" s="41"/>
      <c r="I59" s="1" t="str">
        <f t="shared" si="2"/>
        <v xml:space="preserve"> - Preferred system(s): </v>
      </c>
    </row>
    <row r="60" spans="2:9" ht="112.75" thickBot="1" x14ac:dyDescent="0.9">
      <c r="B60" t="str">
        <f t="shared" si="1"/>
        <v xml:space="preserve"> </v>
      </c>
      <c r="C60" s="78"/>
      <c r="D60" s="81"/>
      <c r="E60" s="78"/>
      <c r="F60" s="39" t="s">
        <v>246</v>
      </c>
      <c r="I60" s="1" t="str">
        <f t="shared" si="2"/>
        <v xml:space="preserve"> - Preferred system(s): HL7 v3 Code System ObservationInterpretation</v>
      </c>
    </row>
    <row r="61" spans="2:9" ht="48.75" thickBot="1" x14ac:dyDescent="0.9">
      <c r="B61" t="str">
        <f t="shared" si="1"/>
        <v>A.5.2.13 Result description</v>
      </c>
      <c r="C61" s="36" t="s">
        <v>247</v>
      </c>
      <c r="D61" s="39" t="s">
        <v>248</v>
      </c>
      <c r="E61" s="37" t="s">
        <v>249</v>
      </c>
      <c r="F61" s="38"/>
      <c r="I61" s="1" t="str">
        <f t="shared" si="2"/>
        <v xml:space="preserve">Comments and narrative representation of the observation result and findings. - Preferred system(s): </v>
      </c>
    </row>
    <row r="62" spans="2:9" ht="48.75" thickBot="1" x14ac:dyDescent="0.9">
      <c r="B62" t="str">
        <f t="shared" si="1"/>
        <v>A.5.2.14 Accreditation status</v>
      </c>
      <c r="C62" s="36" t="s">
        <v>250</v>
      </c>
      <c r="D62" s="39" t="s">
        <v>251</v>
      </c>
      <c r="E62" s="37" t="s">
        <v>252</v>
      </c>
      <c r="F62" s="38"/>
      <c r="I62" s="1" t="str">
        <f t="shared" si="2"/>
        <v xml:space="preserve">Accreditation status of the laboratory for the particular observation. - Preferred system(s): </v>
      </c>
    </row>
  </sheetData>
  <mergeCells count="15">
    <mergeCell ref="C58:C60"/>
    <mergeCell ref="D58:D60"/>
    <mergeCell ref="E58:E60"/>
    <mergeCell ref="C49:C51"/>
    <mergeCell ref="D49:D51"/>
    <mergeCell ref="E49:E51"/>
    <mergeCell ref="C55:C57"/>
    <mergeCell ref="D55:D57"/>
    <mergeCell ref="E55:E57"/>
    <mergeCell ref="C36:F36"/>
    <mergeCell ref="C37:F37"/>
    <mergeCell ref="C40:F40"/>
    <mergeCell ref="C42:C44"/>
    <mergeCell ref="D42:D44"/>
    <mergeCell ref="E42:E44"/>
  </mergeCells>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FD3AE-57D0-4106-AE85-EC8CD9953363}">
  <sheetPr codeName="Foglio44"/>
  <dimension ref="A1:O43"/>
  <sheetViews>
    <sheetView workbookViewId="0">
      <selection activeCell="E11" sqref="E11:E37"/>
    </sheetView>
  </sheetViews>
  <sheetFormatPr defaultRowHeight="14.75" x14ac:dyDescent="0.75"/>
  <cols>
    <col min="2" max="2" width="31.6796875" bestFit="1" customWidth="1"/>
    <col min="3" max="3" width="95.6796875" bestFit="1" customWidth="1"/>
    <col min="4" max="4" width="8.04296875" customWidth="1"/>
    <col min="5" max="5" width="71.58984375" style="1" customWidth="1"/>
    <col min="6" max="6" width="10.76953125" customWidth="1"/>
    <col min="7" max="7" width="45.26953125" customWidth="1"/>
  </cols>
  <sheetData>
    <row r="1" spans="1:15" x14ac:dyDescent="0.75">
      <c r="E1" s="24" t="s">
        <v>37</v>
      </c>
      <c r="H1" s="10"/>
      <c r="I1" s="10"/>
      <c r="J1" s="10"/>
      <c r="K1" s="10"/>
      <c r="L1" s="10"/>
      <c r="M1" s="10"/>
      <c r="N1" s="10"/>
      <c r="O1" s="10"/>
    </row>
    <row r="2" spans="1:15" x14ac:dyDescent="0.75">
      <c r="E2" s="31" t="s">
        <v>38</v>
      </c>
      <c r="H2" s="10"/>
      <c r="I2" s="10"/>
      <c r="J2" s="10"/>
      <c r="K2" s="10"/>
      <c r="L2" s="10"/>
      <c r="M2" s="10"/>
      <c r="N2" s="10"/>
      <c r="O2" s="10"/>
    </row>
    <row r="3" spans="1:15" ht="15.5" thickBot="1" x14ac:dyDescent="0.9">
      <c r="E3" s="31" t="str">
        <f>E1</f>
        <v>// -------------------------------------------------------------------------------</v>
      </c>
      <c r="H3" s="10"/>
      <c r="I3" s="10"/>
      <c r="J3" s="10"/>
      <c r="K3" s="10"/>
      <c r="L3" s="10"/>
      <c r="M3" s="10"/>
      <c r="N3" s="10"/>
      <c r="O3" s="10"/>
    </row>
    <row r="4" spans="1:15" ht="15.5" thickBot="1" x14ac:dyDescent="0.9">
      <c r="B4" s="13" t="s">
        <v>34</v>
      </c>
      <c r="C4" s="7" t="s">
        <v>482</v>
      </c>
      <c r="E4" s="28" t="str">
        <f>CONCATENATE("Mapping: ",C4)</f>
        <v>Mapping: eHNLabResult2Fhir</v>
      </c>
      <c r="G4" t="s">
        <v>20</v>
      </c>
      <c r="H4" s="10"/>
      <c r="I4" s="10"/>
      <c r="J4" s="10"/>
      <c r="K4" s="10"/>
      <c r="L4" s="10"/>
      <c r="M4" s="10"/>
      <c r="N4" s="10"/>
      <c r="O4" s="10"/>
    </row>
    <row r="5" spans="1:15" ht="15.5" thickBot="1" x14ac:dyDescent="0.9">
      <c r="B5" s="13" t="s">
        <v>19</v>
      </c>
      <c r="C5" s="5" t="s">
        <v>16</v>
      </c>
      <c r="E5" s="29" t="str">
        <f>CONCATENATE("Id: ",C5)</f>
        <v>Id: fhir</v>
      </c>
      <c r="G5" s="1" t="s">
        <v>21</v>
      </c>
      <c r="H5" s="10"/>
      <c r="I5" s="10"/>
      <c r="J5" s="10"/>
      <c r="K5" s="10"/>
      <c r="L5" s="10"/>
      <c r="M5" s="10"/>
      <c r="N5" s="10"/>
      <c r="O5" s="10"/>
    </row>
    <row r="6" spans="1:15" ht="15.5" thickBot="1" x14ac:dyDescent="0.9">
      <c r="B6" s="13" t="s">
        <v>13</v>
      </c>
      <c r="C6" s="22" t="s">
        <v>483</v>
      </c>
      <c r="E6" s="29" t="str">
        <f>CONCATENATE("Title: ##34#",C6,"##34#")</f>
        <v>Title: ##34#eHN Lab Result model to FHIR R4 Map##34#</v>
      </c>
      <c r="G6" s="1" t="s">
        <v>22</v>
      </c>
      <c r="H6" s="10"/>
      <c r="I6" s="10"/>
      <c r="J6" s="10"/>
      <c r="K6" s="10"/>
      <c r="L6" s="10"/>
      <c r="M6" s="10"/>
      <c r="N6" s="10"/>
      <c r="O6" s="10"/>
    </row>
    <row r="7" spans="1:15" ht="15.5" thickBot="1" x14ac:dyDescent="0.9">
      <c r="B7" s="13" t="s">
        <v>35</v>
      </c>
      <c r="C7" s="11" t="str">
        <f>B9</f>
        <v>Result</v>
      </c>
      <c r="E7" s="29" t="str">
        <f>CONCATENATE("Source: ",C7)</f>
        <v>Source: Result</v>
      </c>
      <c r="G7" s="1" t="s">
        <v>23</v>
      </c>
      <c r="H7" s="10"/>
      <c r="I7" s="10"/>
      <c r="J7" s="10"/>
      <c r="K7" s="10"/>
      <c r="L7" s="10"/>
      <c r="M7" s="10"/>
      <c r="N7" s="10"/>
      <c r="O7" s="10"/>
    </row>
    <row r="8" spans="1:15" ht="15.5" thickBot="1" x14ac:dyDescent="0.9">
      <c r="B8" s="27" t="s">
        <v>18</v>
      </c>
      <c r="C8" t="s">
        <v>15</v>
      </c>
      <c r="E8" s="30" t="str">
        <f>CONCATENATE("Target: ##34#",C8,"##34#")</f>
        <v>Target: ##34#hl7.org/fhir/r4##34#</v>
      </c>
      <c r="G8" s="1" t="s">
        <v>24</v>
      </c>
      <c r="H8" s="10"/>
      <c r="I8" s="10"/>
      <c r="J8" s="10"/>
      <c r="K8" s="10"/>
      <c r="L8" s="10"/>
      <c r="M8" s="10"/>
      <c r="N8" s="10"/>
      <c r="O8" s="10"/>
    </row>
    <row r="9" spans="1:15" x14ac:dyDescent="0.75">
      <c r="A9" s="9"/>
      <c r="B9" s="8" t="str">
        <f>Results!B5</f>
        <v>Result</v>
      </c>
      <c r="C9" s="8" t="s">
        <v>616</v>
      </c>
      <c r="E9" s="4" t="str">
        <f>CONCATENATE("* -&gt; ##34#",C9,"##34#")</f>
        <v>* -&gt; ##34#Observation.conformsTo('http://hl7.eu/fhir/ig/xeh/StructureDefinition/Observation-results-laboratory-eu-xeh')##34#</v>
      </c>
      <c r="H9" s="10"/>
      <c r="I9" s="10"/>
      <c r="J9" s="10"/>
      <c r="K9" s="10"/>
      <c r="L9" s="10"/>
      <c r="M9" s="10"/>
      <c r="N9" s="10"/>
      <c r="O9" s="10"/>
    </row>
    <row r="10" spans="1:15" x14ac:dyDescent="0.75">
      <c r="A10" s="9">
        <v>1</v>
      </c>
      <c r="B10" s="65" t="str">
        <f>Results!$B$8</f>
        <v>narrative</v>
      </c>
      <c r="C10" s="9" t="s">
        <v>619</v>
      </c>
      <c r="E10" s="14" t="str">
        <f t="shared" ref="E10:E38" si="0">IF(B10=0,"*  -&gt; ##34###34#",CONCATENATE("* ",B10," -&gt; ##34#",C10,"##34#"))</f>
        <v>* narrative -&gt; ##34#Composition.section.section.text##34#</v>
      </c>
      <c r="G10" s="1" t="s">
        <v>25</v>
      </c>
      <c r="H10" s="10"/>
      <c r="I10" s="10"/>
      <c r="J10" s="10"/>
      <c r="K10" s="10"/>
      <c r="L10" s="10"/>
      <c r="M10" s="10"/>
      <c r="N10" s="10"/>
      <c r="O10" s="10"/>
    </row>
    <row r="11" spans="1:15" x14ac:dyDescent="0.75">
      <c r="A11" s="9"/>
      <c r="B11" s="65" t="str">
        <f>Results!$B$8</f>
        <v>narrative</v>
      </c>
      <c r="C11" s="9" t="s">
        <v>618</v>
      </c>
      <c r="E11" s="14" t="str">
        <f t="shared" si="0"/>
        <v>* narrative -&gt; ##34#Composition.section.text##34#</v>
      </c>
      <c r="G11" s="1"/>
      <c r="H11" s="10"/>
      <c r="I11" s="10"/>
      <c r="J11" s="10"/>
      <c r="K11" s="10"/>
      <c r="L11" s="10"/>
      <c r="M11" s="10"/>
      <c r="N11" s="10"/>
      <c r="O11" s="10"/>
    </row>
    <row r="12" spans="1:15" x14ac:dyDescent="0.75">
      <c r="A12" s="9"/>
      <c r="B12" s="65" t="str">
        <f>Results!$B$8</f>
        <v>narrative</v>
      </c>
      <c r="C12" s="9" t="s">
        <v>620</v>
      </c>
      <c r="E12" s="14" t="str">
        <f t="shared" si="0"/>
        <v>* narrative -&gt; ##34#Composition.text##34#</v>
      </c>
      <c r="G12" s="1"/>
      <c r="H12" s="10"/>
      <c r="I12" s="10"/>
      <c r="J12" s="10"/>
      <c r="K12" s="10"/>
      <c r="L12" s="10"/>
      <c r="M12" s="10"/>
      <c r="N12" s="10"/>
      <c r="O12" s="10"/>
    </row>
    <row r="13" spans="1:15" x14ac:dyDescent="0.75">
      <c r="A13" s="9">
        <v>2</v>
      </c>
      <c r="B13" s="62" t="str">
        <f>Results!$B$9</f>
        <v>narrative.report</v>
      </c>
      <c r="C13" s="9" t="s">
        <v>619</v>
      </c>
      <c r="E13" s="14" t="str">
        <f t="shared" si="0"/>
        <v>* narrative.report -&gt; ##34#Composition.section.section.text##34#</v>
      </c>
      <c r="G13" s="1" t="s">
        <v>26</v>
      </c>
      <c r="H13" s="10"/>
      <c r="I13" s="10"/>
      <c r="J13" s="10"/>
      <c r="K13" s="10"/>
      <c r="L13" s="10"/>
      <c r="M13" s="10"/>
      <c r="N13" s="10"/>
      <c r="O13" s="10"/>
    </row>
    <row r="14" spans="1:15" x14ac:dyDescent="0.75">
      <c r="A14" s="9"/>
      <c r="B14" s="62" t="str">
        <f>Results!$B$9</f>
        <v>narrative.report</v>
      </c>
      <c r="C14" s="9" t="s">
        <v>618</v>
      </c>
      <c r="E14" s="14" t="str">
        <f t="shared" si="0"/>
        <v>* narrative.report -&gt; ##34#Composition.section.text##34#</v>
      </c>
      <c r="G14" s="1"/>
      <c r="H14" s="10"/>
      <c r="I14" s="10"/>
      <c r="J14" s="10"/>
      <c r="K14" s="10"/>
      <c r="L14" s="10"/>
      <c r="M14" s="10"/>
      <c r="N14" s="10"/>
      <c r="O14" s="10"/>
    </row>
    <row r="15" spans="1:15" x14ac:dyDescent="0.75">
      <c r="A15" s="9"/>
      <c r="B15" s="62" t="str">
        <f>Results!$B$9</f>
        <v>narrative.report</v>
      </c>
      <c r="C15" s="9" t="s">
        <v>620</v>
      </c>
      <c r="E15" s="14" t="str">
        <f t="shared" si="0"/>
        <v>* narrative.report -&gt; ##34#Composition.text##34#</v>
      </c>
      <c r="G15" s="1"/>
      <c r="H15" s="10"/>
      <c r="I15" s="10"/>
      <c r="J15" s="10"/>
      <c r="K15" s="10"/>
      <c r="L15" s="10"/>
      <c r="M15" s="10"/>
      <c r="N15" s="10"/>
      <c r="O15" s="10"/>
    </row>
    <row r="16" spans="1:15" ht="44.25" x14ac:dyDescent="0.75">
      <c r="A16" s="9">
        <v>3</v>
      </c>
      <c r="B16" s="9" t="str">
        <f>Results!B10</f>
        <v>narrative.notes</v>
      </c>
      <c r="C16" s="9" t="s">
        <v>621</v>
      </c>
      <c r="E16" s="14" t="str">
        <f t="shared" si="0"/>
        <v>* narrative.notes -&gt; ##34#Composition.section:annotations.text##34#</v>
      </c>
      <c r="G16" s="1" t="s">
        <v>27</v>
      </c>
      <c r="H16" s="10"/>
      <c r="I16" s="10"/>
      <c r="J16" s="10"/>
      <c r="K16" s="10"/>
      <c r="L16" s="10"/>
      <c r="M16" s="10"/>
      <c r="N16" s="10"/>
      <c r="O16" s="10"/>
    </row>
    <row r="17" spans="1:15" ht="44.25" x14ac:dyDescent="0.75">
      <c r="A17" s="9">
        <v>4</v>
      </c>
      <c r="B17" s="62" t="str">
        <f>Results!$B$11</f>
        <v>observation</v>
      </c>
      <c r="C17" s="9" t="s">
        <v>616</v>
      </c>
      <c r="E17" s="14" t="str">
        <f t="shared" si="0"/>
        <v>* observation -&gt; ##34#Observation.conformsTo('http://hl7.eu/fhir/ig/xeh/StructureDefinition/Observation-results-laboratory-eu-xeh')##34#</v>
      </c>
      <c r="G17" s="1" t="s">
        <v>28</v>
      </c>
      <c r="H17" s="10"/>
      <c r="I17" s="10"/>
      <c r="J17" s="10"/>
      <c r="K17" s="10"/>
      <c r="L17" s="10"/>
      <c r="M17" s="10"/>
      <c r="N17" s="10"/>
      <c r="O17" s="10"/>
    </row>
    <row r="18" spans="1:15" x14ac:dyDescent="0.75">
      <c r="A18" s="9"/>
      <c r="B18" s="62" t="str">
        <f>Results!$B$11</f>
        <v>observation</v>
      </c>
      <c r="C18" s="9" t="s">
        <v>622</v>
      </c>
      <c r="E18" s="14" t="str">
        <f t="shared" si="0"/>
        <v>* observation -&gt; ##34#Observation.hasMember.resolve()##34#</v>
      </c>
      <c r="G18" s="1"/>
      <c r="H18" s="10"/>
      <c r="I18" s="10"/>
      <c r="J18" s="10"/>
      <c r="K18" s="10"/>
      <c r="L18" s="10"/>
      <c r="M18" s="10"/>
      <c r="N18" s="10"/>
      <c r="O18" s="10"/>
    </row>
    <row r="19" spans="1:15" x14ac:dyDescent="0.75">
      <c r="A19" s="9"/>
      <c r="B19" s="62" t="str">
        <f>Results!$B$11</f>
        <v>observation</v>
      </c>
      <c r="C19" s="9" t="s">
        <v>623</v>
      </c>
      <c r="E19" s="14" t="str">
        <f t="shared" si="0"/>
        <v>* observation -&gt; ##34#Observation.component##34#</v>
      </c>
      <c r="G19" s="1"/>
      <c r="H19" s="10"/>
      <c r="I19" s="10"/>
      <c r="J19" s="10"/>
      <c r="K19" s="10"/>
      <c r="L19" s="10"/>
      <c r="M19" s="10"/>
      <c r="N19" s="10"/>
      <c r="O19" s="10"/>
    </row>
    <row r="20" spans="1:15" x14ac:dyDescent="0.75">
      <c r="A20" s="9">
        <v>5</v>
      </c>
      <c r="B20" s="9" t="str">
        <f>Results!B12</f>
        <v>observation.dateTime</v>
      </c>
      <c r="C20" s="9" t="s">
        <v>624</v>
      </c>
      <c r="E20" s="14" t="str">
        <f t="shared" si="0"/>
        <v>* observation.dateTime -&gt; ##34#Observation.effective[x]##34#</v>
      </c>
      <c r="G20" s="1" t="s">
        <v>29</v>
      </c>
      <c r="H20" s="10"/>
      <c r="I20" s="10"/>
      <c r="J20" s="10"/>
      <c r="K20" s="10"/>
      <c r="L20" s="10"/>
      <c r="M20" s="10"/>
      <c r="N20" s="10"/>
      <c r="O20" s="10"/>
    </row>
    <row r="21" spans="1:15" ht="29.5" x14ac:dyDescent="0.75">
      <c r="A21" s="9">
        <v>6</v>
      </c>
      <c r="B21" s="9" t="str">
        <f>Results!B13</f>
        <v>observation.code</v>
      </c>
      <c r="C21" s="9" t="s">
        <v>625</v>
      </c>
      <c r="E21" s="14" t="str">
        <f t="shared" si="0"/>
        <v>* observation.code -&gt; ##34#Observation.code##34#</v>
      </c>
      <c r="G21" s="1" t="s">
        <v>30</v>
      </c>
      <c r="H21" s="10"/>
      <c r="I21" s="10"/>
      <c r="J21" s="10"/>
      <c r="K21" s="10"/>
      <c r="L21" s="10"/>
      <c r="M21" s="10"/>
      <c r="N21" s="10"/>
      <c r="O21" s="10"/>
    </row>
    <row r="22" spans="1:15" ht="29.5" x14ac:dyDescent="0.75">
      <c r="A22" s="9">
        <v>7</v>
      </c>
      <c r="B22" s="9" t="str">
        <f>Results!B14</f>
        <v>observation.code.name</v>
      </c>
      <c r="C22" s="67" t="s">
        <v>626</v>
      </c>
      <c r="E22" s="14" t="str">
        <f t="shared" si="0"/>
        <v>* observation.code.name -&gt; ##34#Observation.code.coding.display##34#</v>
      </c>
      <c r="G22" s="1" t="s">
        <v>31</v>
      </c>
      <c r="H22" s="10"/>
      <c r="I22" s="10"/>
      <c r="J22" s="10"/>
      <c r="K22" s="10"/>
      <c r="L22" s="10"/>
      <c r="M22" s="10"/>
      <c r="N22" s="10"/>
      <c r="O22" s="10"/>
    </row>
    <row r="23" spans="1:15" ht="29.5" x14ac:dyDescent="0.75">
      <c r="A23" s="9">
        <v>8</v>
      </c>
      <c r="B23" s="9" t="str">
        <f>Results!B15</f>
        <v>observation.code.originalName</v>
      </c>
      <c r="C23" s="9" t="s">
        <v>627</v>
      </c>
      <c r="E23" s="14" t="str">
        <f t="shared" si="0"/>
        <v>* observation.code.originalName -&gt; ##34#Observation.code.text##34#</v>
      </c>
      <c r="G23" s="1" t="s">
        <v>32</v>
      </c>
    </row>
    <row r="24" spans="1:15" ht="29.5" x14ac:dyDescent="0.75">
      <c r="A24" s="9">
        <v>9</v>
      </c>
      <c r="B24" s="9" t="str">
        <f>Results!B16</f>
        <v>observation.code.displayName</v>
      </c>
      <c r="C24" s="67" t="s">
        <v>628</v>
      </c>
      <c r="E24" s="14" t="str">
        <f t="shared" si="0"/>
        <v>* observation.code.displayName -&gt; ##34#Observation.code.coding.display.extension('translation') (TBD)##34#</v>
      </c>
      <c r="G24" s="1" t="s">
        <v>33</v>
      </c>
    </row>
    <row r="25" spans="1:15" x14ac:dyDescent="0.75">
      <c r="A25" s="9">
        <v>10</v>
      </c>
      <c r="B25" s="9" t="str">
        <f>Results!B17</f>
        <v>observation.method</v>
      </c>
      <c r="C25" s="9" t="s">
        <v>629</v>
      </c>
      <c r="E25" s="14" t="str">
        <f t="shared" si="0"/>
        <v>* observation.method -&gt; ##34#Observation.method##34#</v>
      </c>
    </row>
    <row r="26" spans="1:15" x14ac:dyDescent="0.75">
      <c r="A26" s="9"/>
      <c r="B26" s="9" t="str">
        <f>Results!B18</f>
        <v>observation.device</v>
      </c>
      <c r="C26" s="9" t="s">
        <v>630</v>
      </c>
      <c r="E26" s="14" t="str">
        <f t="shared" si="0"/>
        <v>* observation.device -&gt; ##34#Observation.device.resolve()##34#</v>
      </c>
    </row>
    <row r="27" spans="1:15" ht="29.5" x14ac:dyDescent="0.75">
      <c r="B27" s="9" t="str">
        <f>Results!B19</f>
        <v>observation.order</v>
      </c>
      <c r="C27" s="9" t="s">
        <v>631</v>
      </c>
      <c r="E27" s="14" t="str">
        <f t="shared" si="0"/>
        <v>* observation.order -&gt; ##34#Observation.basedOn.resolve().ofType(ServiceRequest)##34#</v>
      </c>
    </row>
    <row r="28" spans="1:15" x14ac:dyDescent="0.75">
      <c r="B28" s="9" t="str">
        <f>Results!B20</f>
        <v>observation.performer</v>
      </c>
      <c r="C28" s="9" t="s">
        <v>632</v>
      </c>
      <c r="E28" s="14" t="str">
        <f t="shared" si="0"/>
        <v>* observation.performer -&gt; ##34#Observation.performer.resolve()##34#</v>
      </c>
    </row>
    <row r="29" spans="1:15" x14ac:dyDescent="0.75">
      <c r="B29" s="9" t="str">
        <f>Results!B21</f>
        <v>observation.reporter</v>
      </c>
      <c r="C29" s="67" t="s">
        <v>354</v>
      </c>
      <c r="E29" s="14" t="str">
        <f t="shared" si="0"/>
        <v>* observation.reporter -&gt; ##34#to be mapped##34#</v>
      </c>
    </row>
    <row r="30" spans="1:15" x14ac:dyDescent="0.75">
      <c r="B30" s="9" t="str">
        <f>Results!B22</f>
        <v>observation.result</v>
      </c>
      <c r="C30" s="9" t="s">
        <v>633</v>
      </c>
      <c r="E30" s="14" t="str">
        <f t="shared" si="0"/>
        <v>* observation.result -&gt; ##34#Observation.value[x]##34#</v>
      </c>
    </row>
    <row r="31" spans="1:15" x14ac:dyDescent="0.75">
      <c r="B31" s="9" t="str">
        <f>Results!B23</f>
        <v>observation.interpretation</v>
      </c>
      <c r="C31" s="9" t="s">
        <v>634</v>
      </c>
      <c r="E31" s="14" t="str">
        <f t="shared" si="0"/>
        <v>* observation.interpretation -&gt; ##34#Observation.interpretation##34#</v>
      </c>
    </row>
    <row r="32" spans="1:15" x14ac:dyDescent="0.75">
      <c r="B32" s="62" t="str">
        <f>Results!$B$24</f>
        <v>observation.description</v>
      </c>
      <c r="C32" s="9" t="s">
        <v>635</v>
      </c>
      <c r="E32" s="14" t="str">
        <f t="shared" si="0"/>
        <v>* observation.description -&gt; ##34#Observation.text##34#</v>
      </c>
    </row>
    <row r="33" spans="2:5" x14ac:dyDescent="0.75">
      <c r="B33" s="62" t="str">
        <f>Results!$B$24</f>
        <v>observation.description</v>
      </c>
      <c r="C33" s="9" t="s">
        <v>636</v>
      </c>
      <c r="E33" s="14" t="str">
        <f t="shared" si="0"/>
        <v>* observation.description -&gt; ##34#Observation.note##34#</v>
      </c>
    </row>
    <row r="34" spans="2:5" x14ac:dyDescent="0.75">
      <c r="B34" s="9" t="str">
        <f>Results!B25</f>
        <v>observation.accreditationStatus</v>
      </c>
      <c r="C34" s="66" t="s">
        <v>354</v>
      </c>
      <c r="E34" s="14" t="str">
        <f t="shared" si="0"/>
        <v>* observation.accreditationStatus -&gt; ##34#to be mapped##34#</v>
      </c>
    </row>
    <row r="35" spans="2:5" x14ac:dyDescent="0.75">
      <c r="B35" s="9">
        <f>Results!B26</f>
        <v>0</v>
      </c>
      <c r="C35" s="9" t="s">
        <v>354</v>
      </c>
      <c r="E35" s="14" t="str">
        <f t="shared" si="0"/>
        <v>*  -&gt; ##34###34#</v>
      </c>
    </row>
    <row r="36" spans="2:5" x14ac:dyDescent="0.75">
      <c r="B36" s="9">
        <f>Results!B27</f>
        <v>0</v>
      </c>
      <c r="E36" s="14" t="str">
        <f t="shared" si="0"/>
        <v>*  -&gt; ##34###34#</v>
      </c>
    </row>
    <row r="37" spans="2:5" x14ac:dyDescent="0.75">
      <c r="B37" s="9">
        <f>Results!B28</f>
        <v>0</v>
      </c>
      <c r="E37" s="14" t="str">
        <f t="shared" si="0"/>
        <v>*  -&gt; ##34###34#</v>
      </c>
    </row>
    <row r="38" spans="2:5" x14ac:dyDescent="0.75">
      <c r="B38" s="9">
        <f>Results!B29</f>
        <v>0</v>
      </c>
      <c r="E38" s="14" t="str">
        <f t="shared" si="0"/>
        <v>*  -&gt; ##34###34#</v>
      </c>
    </row>
    <row r="39" spans="2:5" x14ac:dyDescent="0.75">
      <c r="B39" s="9">
        <f>Results!B30</f>
        <v>0</v>
      </c>
      <c r="E39" s="14"/>
    </row>
    <row r="40" spans="2:5" x14ac:dyDescent="0.75">
      <c r="B40" s="9">
        <f>Results!B31</f>
        <v>0</v>
      </c>
    </row>
    <row r="41" spans="2:5" x14ac:dyDescent="0.75">
      <c r="B41" s="9">
        <f>Results!B32</f>
        <v>0</v>
      </c>
    </row>
    <row r="42" spans="2:5" x14ac:dyDescent="0.75">
      <c r="B42" s="9">
        <f>Results!B33</f>
        <v>0</v>
      </c>
    </row>
    <row r="43" spans="2:5" x14ac:dyDescent="0.75">
      <c r="B43" s="9">
        <f>Results!B34</f>
        <v>0</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5DC1C-6CDC-409A-94CB-AB6AC2A9A840}">
  <sheetPr codeName="Foglio15">
    <tabColor theme="8" tint="-0.249977111117893"/>
  </sheetPr>
  <dimension ref="C1:G68"/>
  <sheetViews>
    <sheetView workbookViewId="0">
      <selection activeCell="C41" sqref="C41:C68"/>
    </sheetView>
  </sheetViews>
  <sheetFormatPr defaultRowHeight="14.75" x14ac:dyDescent="0.75"/>
  <cols>
    <col min="3" max="3" width="108.2265625" style="14" customWidth="1"/>
    <col min="4" max="4" width="5.26953125" customWidth="1"/>
    <col min="5" max="5" width="4.81640625" customWidth="1"/>
    <col min="7" max="7" width="37.08984375" customWidth="1"/>
  </cols>
  <sheetData>
    <row r="1" spans="3:7" ht="15.5" thickBot="1" x14ac:dyDescent="0.9">
      <c r="C1" s="32" t="str">
        <f>Results!I1</f>
        <v>// -------------------------------------------------------------------------------</v>
      </c>
    </row>
    <row r="2" spans="3:7" ht="16.75" thickBot="1" x14ac:dyDescent="0.9">
      <c r="C2" s="33" t="str">
        <f>Results!I2</f>
        <v>//  Logical Model</v>
      </c>
      <c r="G2" s="56" t="s">
        <v>484</v>
      </c>
    </row>
    <row r="3" spans="3:7" x14ac:dyDescent="0.75">
      <c r="C3" s="33" t="str">
        <f>Results!I3</f>
        <v>// -------------------------------------------------------------------------------</v>
      </c>
      <c r="G3" s="10"/>
    </row>
    <row r="4" spans="3:7" x14ac:dyDescent="0.75">
      <c r="C4" s="25" t="str">
        <f>Results!I4</f>
        <v>Logical: ResultLabEhn</v>
      </c>
    </row>
    <row r="5" spans="3:7" x14ac:dyDescent="0.75">
      <c r="C5" s="25" t="str">
        <f>Results!I5</f>
        <v>Id: Result</v>
      </c>
    </row>
    <row r="6" spans="3:7" x14ac:dyDescent="0.75">
      <c r="C6" s="25" t="str">
        <f>Results!I6</f>
        <v>Title: ##34#Results data elements (A.5)##34#</v>
      </c>
    </row>
    <row r="7" spans="3:7" x14ac:dyDescent="0.75">
      <c r="C7" s="25" t="str">
        <f>Results!I7</f>
        <v>Description:  ##334#A.5 Results data elements##334#</v>
      </c>
    </row>
    <row r="8" spans="3:7" ht="29.5" x14ac:dyDescent="0.75">
      <c r="C8" s="14" t="str">
        <f>IF(Results!I8="*  ..  ##34###34# ##334###334#","//--- END",Results!I8)</f>
        <v>* narrative 0..1 BackboneElement ##34#A.5.1 Laboratory report narrative##34# ##334#A.5.1 Laboratory report narrative##334#</v>
      </c>
    </row>
    <row r="9" spans="3:7" ht="29.5" x14ac:dyDescent="0.75">
      <c r="C9" s="14" t="str">
        <f>IF(Results!I9="*  ..  ##34###34# ##334###334#","//--- END",Results!I9)</f>
        <v>* narrative.report 0..* Narrative ##34#A.5.1.1 Narrative report##34# ##334#Entire report (textual summary inside the laboratory result report document) as issued by the laboratory.##334#</v>
      </c>
    </row>
    <row r="10" spans="3:7" ht="29.5" x14ac:dyDescent="0.75">
      <c r="C10" s="14" t="str">
        <f>IF(Results!I10="*  ..  ##34###34# ##334###334#","//--- END",Results!I10)</f>
        <v>* narrative.notes 0..* Narrative ##34#A.5.1.2 Comments, interpretation and recommendations##34# ##334#Comments, such as a textual interpretation or advice accompanying the result report, for example.##334#</v>
      </c>
      <c r="E10" t="s">
        <v>307</v>
      </c>
    </row>
    <row r="11" spans="3:7" ht="29.5" x14ac:dyDescent="0.75">
      <c r="C11" s="14" t="str">
        <f>IF(Results!I11="*  ..  ##34###34# ##334###334#","//--- END",Results!I11)</f>
        <v>* observation 0..* BackboneElement ##34#A.5.2 Observation details##34# ##334#A.5.2 Observation details (report could consist of multiple observations) ##334#</v>
      </c>
    </row>
    <row r="12" spans="3:7" ht="29.5" x14ac:dyDescent="0.75">
      <c r="C12" s="14" t="str">
        <f>IF(Results!I12="*  ..  ##34###34# ##334###334#","//--- END",Results!I12)</f>
        <v>* observation.dateTime 0..* CodeableConcept ##34#A.5.2.1 Observation date##34# ##334#Date and time of the observation - Preferred system(s): ISO 8601##334#</v>
      </c>
    </row>
    <row r="13" spans="3:7" ht="73.75" x14ac:dyDescent="0.75">
      <c r="C13" s="14" t="str">
        <f>IF(Results!I13="*  ..  ##34###34# ##334###334#","//--- END",Results!I13)</f>
        <v>* observation.code 0..* CodeableConcept ##34#A.5.2.3 Observation code##34# ##334#Code representing the observation using the agreed code systems.
- Preferred system(s): LOINC
 - Preferred system(s): NPU
 - Preferred system(s): SNOMED CT##334#</v>
      </c>
    </row>
    <row r="14" spans="3:7" ht="29.5" x14ac:dyDescent="0.75">
      <c r="C14" s="14" t="str">
        <f>IF(Results!I14="*  ..  ##34###34# ##334###334#","//--- END",Results!I14)</f>
        <v>* observation.code.name 0..* string ##34#A.5.2.3.1 Observation name##34# ##334#Full name of the observation according to the used test coding standard.##334#</v>
      </c>
    </row>
    <row r="15" spans="3:7" ht="29.5" x14ac:dyDescent="0.75">
      <c r="C15" s="14" t="str">
        <f>IF(Results!I15="*  ..  ##34###34# ##334###334#","//--- END",Results!I15)</f>
        <v>* observation.code.originalName 0..* string ##34#A.5.2.3.2 Observation original name##34# ##334#Original (conventional) name of the observation as used by the laboratory##334#</v>
      </c>
    </row>
    <row r="16" spans="3:7" ht="29.5" x14ac:dyDescent="0.75">
      <c r="C16" s="14" t="str">
        <f>IF(Results!I16="*  ..  ##34###34# ##334###334#","//--- END",Results!I16)</f>
        <v>* observation.code.displayName 0..* string ##34#A.5.2.3.3 Observation display name##34# ##334#Simplified (short name of the observation) for display.##334#</v>
      </c>
    </row>
    <row r="17" spans="3:3" ht="44.25" x14ac:dyDescent="0.75">
      <c r="C17" s="14" t="str">
        <f>IF(Results!I17="*  ..  ##34###34# ##334###334#","//--- END",Results!I17)</f>
        <v>* observation.method 0..* CodeableConcept ##34#A.5.2.4 Observation method##34# ##334#Observation method (measurement principle) to obtain the result.
- Preferred system(s): SNOMED CT##334#</v>
      </c>
    </row>
    <row r="18" spans="3:3" ht="59" x14ac:dyDescent="0.75">
      <c r="C18" s="14" t="str">
        <f>IF(Results!I18="*  ..  ##34###34# ##334###334#","//--- END",Results!I18)</f>
        <v>* observation.device 0..* CodeableConcept ##34#A.5.2.5 Observation device##34# ##334#Device (analyser), laboratory test kit and used calibrator information (identifier, type, name, model, manufacturer)
- Preferred system(s): SNOMED CT
 - Preferred system(s): EMDN##334#</v>
      </c>
    </row>
    <row r="19" spans="3:3" ht="29.5" x14ac:dyDescent="0.75">
      <c r="C19" s="14" t="str">
        <f>IF(Results!I19="*  ..  ##34###34# ##334###334#","//--- END",Results!I19)</f>
        <v>* observation.order 0..* BackboneElement ##34#A.5.2.8 Order##34# ##334#Identifies order and order placer this observation belongs to.##334#</v>
      </c>
    </row>
    <row r="20" spans="3:3" ht="44.25" x14ac:dyDescent="0.75">
      <c r="C20" s="14" t="str">
        <f>IF(Results!I20="*  ..  ##34###34# ##334###334#","//--- END",Results!I20)</f>
        <v>* observation.performer 0..* BackboneElement ##34#A.5.2.9 Performer##34# ##334#Identifies the originator/author and provides provenance information about the source of the results data that may have not originated with the source of the whole Laboratory Report document. ##334#</v>
      </c>
    </row>
    <row r="21" spans="3:3" ht="29.5" x14ac:dyDescent="0.75">
      <c r="C21" s="14" t="str">
        <f>IF(Results!I21="*  ..  ##34###34# ##334###334#","//--- END",Results!I21)</f>
        <v>* observation.reporter 0..* BackboneElement ##34#A.5.2.10 Reporter##34# ##334#With certain observation results, e.g. there may also be an interpreter or a person responsible for validation.##334#</v>
      </c>
    </row>
    <row r="22" spans="3:3" ht="73.75" x14ac:dyDescent="0.75">
      <c r="C22" s="14" t="str">
        <f>IF(Results!I22="*  ..  ##34###34# ##334###334#","//--- END",Results!I22)</f>
        <v>* observation.result 0..* BackboneElement ##34#A.5.2.11 Observation result##34# ##334#Result of the observation including text, numeric and coded results of the measurement and measurement uncertainty. Content of the observation result will vary according to the type of the observation. 
- Preferred system(s): SNOMED CT (for ordinal or nominal scale results and result interpretation)
 - Preferred system(s): UCUM (for units)##334#</v>
      </c>
    </row>
    <row r="23" spans="3:3" ht="59" x14ac:dyDescent="0.75">
      <c r="C23" s="14" t="str">
        <f>IF(Results!I23="*  ..  ##34###34# ##334###334#","//--- END",Results!I23)</f>
        <v>* observation.interpretation 0..* CodeableConcept ##34#A.5.2.12 Observation interpretation##34# ##334#Information about reference intervals and result interpretation.
 - Preferred system(s): SNOMED CT
 - Preferred system(s): HL7 v3 Code System ObservationInterpretation##334#</v>
      </c>
    </row>
    <row r="24" spans="3:3" ht="29.5" x14ac:dyDescent="0.75">
      <c r="C24" s="14" t="str">
        <f>IF(Results!I24="*  ..  ##34###34# ##334###334#","//--- END",Results!I24)</f>
        <v>* observation.description 0..* Narrative ##34#A.5.2.13 Result description##34# ##334#Comments and narrative representation of the observation result and findings.##334#</v>
      </c>
    </row>
    <row r="25" spans="3:3" ht="29.5" x14ac:dyDescent="0.75">
      <c r="C25" s="14" t="str">
        <f>IF(Results!I25="*  ..  ##34###34# ##334###334#","//--- END",Results!I25)</f>
        <v>* observation.accreditationStatus 0..* BackboneElement ##34#A.5.2.14 Accreditation status##34# ##334#Accreditation status of the laboratory for the particular observation.##334#</v>
      </c>
    </row>
    <row r="26" spans="3:3" x14ac:dyDescent="0.75">
      <c r="C26" s="14" t="str">
        <f>IF(Results!I26="*  ..  ##34###34# ##334###334#","//--- END",Results!I26)</f>
        <v>//--- END</v>
      </c>
    </row>
    <row r="27" spans="3:3" x14ac:dyDescent="0.75">
      <c r="C27" s="14" t="str">
        <f>IF(Results!I27="*  ..  ##34###34# ##334###334#","//--- END",Results!I27)</f>
        <v>//--- END</v>
      </c>
    </row>
    <row r="28" spans="3:3" x14ac:dyDescent="0.75">
      <c r="C28" s="14" t="str">
        <f>IF(Results!I28="*  ..  ##34###34# ##334###334#","//--- END",Results!I28)</f>
        <v>//--- END</v>
      </c>
    </row>
    <row r="31" spans="3:3" x14ac:dyDescent="0.75">
      <c r="C31" s="32" t="str">
        <f>'Results-Map-1'!E1</f>
        <v>// -------------------------------------------------------------------------------</v>
      </c>
    </row>
    <row r="32" spans="3:3" x14ac:dyDescent="0.75">
      <c r="C32" s="33" t="str">
        <f>'Results-Map-1'!E2</f>
        <v>//  Map to FHIR R4</v>
      </c>
    </row>
    <row r="33" spans="3:3" x14ac:dyDescent="0.75">
      <c r="C33" s="33" t="str">
        <f>'Results-Map-1'!E3</f>
        <v>// -------------------------------------------------------------------------------</v>
      </c>
    </row>
    <row r="34" spans="3:3" x14ac:dyDescent="0.75">
      <c r="C34" s="14" t="str">
        <f>'Results-Map-1'!E4</f>
        <v>Mapping: eHNLabResult2Fhir</v>
      </c>
    </row>
    <row r="35" spans="3:3" x14ac:dyDescent="0.75">
      <c r="C35" s="14" t="str">
        <f>'Results-Map-1'!E5</f>
        <v>Id: fhir</v>
      </c>
    </row>
    <row r="36" spans="3:3" x14ac:dyDescent="0.75">
      <c r="C36" s="14" t="str">
        <f>'Results-Map-1'!E6</f>
        <v>Title: ##34#eHN Lab Result model to FHIR R4 Map##34#</v>
      </c>
    </row>
    <row r="37" spans="3:3" x14ac:dyDescent="0.75">
      <c r="C37" s="14" t="str">
        <f>'Results-Map-1'!E7</f>
        <v>Source: Result</v>
      </c>
    </row>
    <row r="38" spans="3:3" x14ac:dyDescent="0.75">
      <c r="C38" s="14" t="str">
        <f>'Results-Map-1'!E8</f>
        <v>Target: ##34#hl7.org/fhir/r4##34#</v>
      </c>
    </row>
    <row r="40" spans="3:3" x14ac:dyDescent="0.75">
      <c r="C40" s="4" t="str">
        <f>'Results-Map-1'!E9</f>
        <v>* -&gt; ##34#Observation.conformsTo('http://hl7.eu/fhir/ig/xeh/StructureDefinition/Observation-results-laboratory-eu-xeh')##34#</v>
      </c>
    </row>
    <row r="41" spans="3:3" x14ac:dyDescent="0.75">
      <c r="C41" s="14" t="str">
        <f>IF('Results-Map-1'!E10="*  -&gt; ##34###34#","// --END",'Results-Map-1'!E10)</f>
        <v>* narrative -&gt; ##34#Composition.section.section.text##34#</v>
      </c>
    </row>
    <row r="42" spans="3:3" x14ac:dyDescent="0.75">
      <c r="C42" s="14" t="str">
        <f>IF('Results-Map-1'!E11="*  -&gt; ##34###34#","// --END",'Results-Map-1'!E11)</f>
        <v>* narrative -&gt; ##34#Composition.section.text##34#</v>
      </c>
    </row>
    <row r="43" spans="3:3" x14ac:dyDescent="0.75">
      <c r="C43" s="14" t="str">
        <f>IF('Results-Map-1'!E12="*  -&gt; ##34###34#","// --END",'Results-Map-1'!E12)</f>
        <v>* narrative -&gt; ##34#Composition.text##34#</v>
      </c>
    </row>
    <row r="44" spans="3:3" x14ac:dyDescent="0.75">
      <c r="C44" s="14" t="str">
        <f>IF('Results-Map-1'!E13="*  -&gt; ##34###34#","// --END",'Results-Map-1'!E13)</f>
        <v>* narrative.report -&gt; ##34#Composition.section.section.text##34#</v>
      </c>
    </row>
    <row r="45" spans="3:3" x14ac:dyDescent="0.75">
      <c r="C45" s="14" t="str">
        <f>IF('Results-Map-1'!E14="*  -&gt; ##34###34#","// --END",'Results-Map-1'!E14)</f>
        <v>* narrative.report -&gt; ##34#Composition.section.text##34#</v>
      </c>
    </row>
    <row r="46" spans="3:3" x14ac:dyDescent="0.75">
      <c r="C46" s="14" t="str">
        <f>IF('Results-Map-1'!E15="*  -&gt; ##34###34#","// --END",'Results-Map-1'!E15)</f>
        <v>* narrative.report -&gt; ##34#Composition.text##34#</v>
      </c>
    </row>
    <row r="47" spans="3:3" x14ac:dyDescent="0.75">
      <c r="C47" s="14" t="str">
        <f>IF('Results-Map-1'!E16="*  -&gt; ##34###34#","// --END",'Results-Map-1'!E16)</f>
        <v>* narrative.notes -&gt; ##34#Composition.section:annotations.text##34#</v>
      </c>
    </row>
    <row r="48" spans="3:3" ht="29.5" x14ac:dyDescent="0.75">
      <c r="C48" s="14" t="str">
        <f>IF('Results-Map-1'!E17="*  -&gt; ##34###34#","// --END",'Results-Map-1'!E17)</f>
        <v>* observation -&gt; ##34#Observation.conformsTo('http://hl7.eu/fhir/ig/xeh/StructureDefinition/Observation-results-laboratory-eu-xeh')##34#</v>
      </c>
    </row>
    <row r="49" spans="3:7" x14ac:dyDescent="0.75">
      <c r="C49" s="14" t="str">
        <f>IF('Results-Map-1'!E18="*  -&gt; ##34###34#","// --END",'Results-Map-1'!E18)</f>
        <v>* observation -&gt; ##34#Observation.hasMember.resolve()##34#</v>
      </c>
      <c r="G49" s="10"/>
    </row>
    <row r="50" spans="3:7" x14ac:dyDescent="0.75">
      <c r="C50" s="14" t="str">
        <f>IF('Results-Map-1'!E19="*  -&gt; ##34###34#","// --END",'Results-Map-1'!E19)</f>
        <v>* observation -&gt; ##34#Observation.component##34#</v>
      </c>
    </row>
    <row r="51" spans="3:7" x14ac:dyDescent="0.75">
      <c r="C51" s="14" t="str">
        <f>IF('Results-Map-1'!E20="*  -&gt; ##34###34#","// --END",'Results-Map-1'!E20)</f>
        <v>* observation.dateTime -&gt; ##34#Observation.effective[x]##34#</v>
      </c>
    </row>
    <row r="52" spans="3:7" x14ac:dyDescent="0.75">
      <c r="C52" s="14" t="str">
        <f>IF('Results-Map-1'!E21="*  -&gt; ##34###34#","// --END",'Results-Map-1'!E21)</f>
        <v>* observation.code -&gt; ##34#Observation.code##34#</v>
      </c>
    </row>
    <row r="53" spans="3:7" x14ac:dyDescent="0.75">
      <c r="C53" s="14" t="str">
        <f>IF('Results-Map-1'!E22="*  -&gt; ##34###34#","// --END",'Results-Map-1'!E22)</f>
        <v>* observation.code.name -&gt; ##34#Observation.code.coding.display##34#</v>
      </c>
    </row>
    <row r="54" spans="3:7" x14ac:dyDescent="0.75">
      <c r="C54" s="14" t="str">
        <f>IF('Results-Map-1'!E23="*  -&gt; ##34###34#","// --END",'Results-Map-1'!E23)</f>
        <v>* observation.code.originalName -&gt; ##34#Observation.code.text##34#</v>
      </c>
    </row>
    <row r="55" spans="3:7" x14ac:dyDescent="0.75">
      <c r="C55" s="14" t="str">
        <f>IF('Results-Map-1'!E24="*  -&gt; ##34###34#","// --END",'Results-Map-1'!E24)</f>
        <v>* observation.code.displayName -&gt; ##34#Observation.code.coding.display.extension('translation') (TBD)##34#</v>
      </c>
    </row>
    <row r="56" spans="3:7" x14ac:dyDescent="0.75">
      <c r="C56" s="14" t="str">
        <f>IF('Results-Map-1'!E25="*  -&gt; ##34###34#","// --END",'Results-Map-1'!E25)</f>
        <v>* observation.method -&gt; ##34#Observation.method##34#</v>
      </c>
    </row>
    <row r="57" spans="3:7" x14ac:dyDescent="0.75">
      <c r="C57" s="14" t="str">
        <f>IF('Results-Map-1'!E26="*  -&gt; ##34###34#","// --END",'Results-Map-1'!E26)</f>
        <v>* observation.device -&gt; ##34#Observation.device.resolve()##34#</v>
      </c>
    </row>
    <row r="58" spans="3:7" x14ac:dyDescent="0.75">
      <c r="C58" s="14" t="str">
        <f>IF('Results-Map-1'!E27="*  -&gt; ##34###34#","// --END",'Results-Map-1'!E27)</f>
        <v>* observation.order -&gt; ##34#Observation.basedOn.resolve().ofType(ServiceRequest)##34#</v>
      </c>
    </row>
    <row r="59" spans="3:7" x14ac:dyDescent="0.75">
      <c r="C59" s="14" t="str">
        <f>IF('Results-Map-1'!E28="*  -&gt; ##34###34#","// --END",'Results-Map-1'!E28)</f>
        <v>* observation.performer -&gt; ##34#Observation.performer.resolve()##34#</v>
      </c>
    </row>
    <row r="60" spans="3:7" x14ac:dyDescent="0.75">
      <c r="C60" s="14" t="str">
        <f>IF('Results-Map-1'!E29="*  -&gt; ##34###34#","// --END",'Results-Map-1'!E29)</f>
        <v>* observation.reporter -&gt; ##34#to be mapped##34#</v>
      </c>
    </row>
    <row r="61" spans="3:7" x14ac:dyDescent="0.75">
      <c r="C61" s="14" t="str">
        <f>IF('Results-Map-1'!E30="*  -&gt; ##34###34#","// --END",'Results-Map-1'!E30)</f>
        <v>* observation.result -&gt; ##34#Observation.value[x]##34#</v>
      </c>
    </row>
    <row r="62" spans="3:7" x14ac:dyDescent="0.75">
      <c r="C62" s="14" t="str">
        <f>IF('Results-Map-1'!E31="*  -&gt; ##34###34#","// --END",'Results-Map-1'!E31)</f>
        <v>* observation.interpretation -&gt; ##34#Observation.interpretation##34#</v>
      </c>
    </row>
    <row r="63" spans="3:7" x14ac:dyDescent="0.75">
      <c r="C63" s="14" t="str">
        <f>IF('Results-Map-1'!E32="*  -&gt; ##34###34#","// --END",'Results-Map-1'!E32)</f>
        <v>* observation.description -&gt; ##34#Observation.text##34#</v>
      </c>
    </row>
    <row r="64" spans="3:7" x14ac:dyDescent="0.75">
      <c r="C64" s="14" t="str">
        <f>IF('Results-Map-1'!E33="*  -&gt; ##34###34#","// --END",'Results-Map-1'!E33)</f>
        <v>* observation.description -&gt; ##34#Observation.note##34#</v>
      </c>
    </row>
    <row r="65" spans="3:3" x14ac:dyDescent="0.75">
      <c r="C65" s="14" t="str">
        <f>IF('Results-Map-1'!E34="*  -&gt; ##34###34#","// --END",'Results-Map-1'!E34)</f>
        <v>* observation.accreditationStatus -&gt; ##34#to be mapped##34#</v>
      </c>
    </row>
    <row r="66" spans="3:3" x14ac:dyDescent="0.75">
      <c r="C66" s="14" t="str">
        <f>IF('Results-Map-1'!E35="*  -&gt; ##34###34#","// --END",'Results-Map-1'!E35)</f>
        <v>// --END</v>
      </c>
    </row>
    <row r="67" spans="3:3" x14ac:dyDescent="0.75">
      <c r="C67" s="14" t="str">
        <f>IF('Results-Map-1'!E36="*  -&gt; ##34###34#","// --END",'Results-Map-1'!E36)</f>
        <v>// --END</v>
      </c>
    </row>
    <row r="68" spans="3:3" x14ac:dyDescent="0.75">
      <c r="C68" s="14" t="str">
        <f>IF('Results-Map-1'!E37="*  -&gt; ##34###34#","// --END",'Results-Map-1'!E37)</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5713" r:id="rId3" name="Button 1">
              <controlPr defaultSize="0" print="0" autoFill="0" autoPict="0" macro="[0]!export">
                <anchor moveWithCells="1">
                  <from>
                    <xdr:col>4</xdr:col>
                    <xdr:colOff>222250</xdr:colOff>
                    <xdr:row>0</xdr:row>
                    <xdr:rowOff>171450</xdr:rowOff>
                  </from>
                  <to>
                    <xdr:col>5</xdr:col>
                    <xdr:colOff>558800</xdr:colOff>
                    <xdr:row>2</xdr:row>
                    <xdr:rowOff>44450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35</vt:i4>
      </vt:variant>
    </vt:vector>
  </HeadingPairs>
  <TitlesOfParts>
    <vt:vector size="35" baseType="lpstr">
      <vt:lpstr>Header</vt:lpstr>
      <vt:lpstr>Body</vt:lpstr>
      <vt:lpstr>Common</vt:lpstr>
      <vt:lpstr>Report</vt:lpstr>
      <vt:lpstr>Report-Map-1</vt:lpstr>
      <vt:lpstr>Report-fsh</vt:lpstr>
      <vt:lpstr>HospitalDischargeRep-ConceptMap</vt:lpstr>
      <vt:lpstr>HospitalDischargeReport-CM-fsh</vt:lpstr>
      <vt:lpstr>Subj</vt:lpstr>
      <vt:lpstr>Subj-Map-1</vt:lpstr>
      <vt:lpstr>Subj-fsh</vt:lpstr>
      <vt:lpstr>A1.3 Payer</vt:lpstr>
      <vt:lpstr>Payer-Map-1</vt:lpstr>
      <vt:lpstr>Payer-fsh</vt:lpstr>
      <vt:lpstr>A1.4 Recipient</vt:lpstr>
      <vt:lpstr>Recipient-Map-1</vt:lpstr>
      <vt:lpstr>Recipient-fsh</vt:lpstr>
      <vt:lpstr>A1.5 Author</vt:lpstr>
      <vt:lpstr>Author-Map-1</vt:lpstr>
      <vt:lpstr>Author-fsh</vt:lpstr>
      <vt:lpstr>A1.6 LegalAuth</vt:lpstr>
      <vt:lpstr>LegalAuth-Map-1</vt:lpstr>
      <vt:lpstr>LegalAuth-fsh</vt:lpstr>
      <vt:lpstr>A1.7 Validator</vt:lpstr>
      <vt:lpstr>Validator-Map-1</vt:lpstr>
      <vt:lpstr>Validator-fsh</vt:lpstr>
      <vt:lpstr>Order</vt:lpstr>
      <vt:lpstr>Order-Map-1</vt:lpstr>
      <vt:lpstr>Order-fsh</vt:lpstr>
      <vt:lpstr>Specimen</vt:lpstr>
      <vt:lpstr>Specimen-Map-1</vt:lpstr>
      <vt:lpstr>Specimen-fsh</vt:lpstr>
      <vt:lpstr>Results</vt:lpstr>
      <vt:lpstr>Results-Map-1</vt:lpstr>
      <vt:lpstr>Results-fsh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2023-05-25T17:33:21Z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