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5DAB5F63-2547-47DE-956F-8241FE9F4555}" xr6:coauthVersionLast="47" xr6:coauthVersionMax="47" xr10:uidLastSave="{00000000-0000-0000-0000-000000000000}"/>
  <bookViews>
    <workbookView xWindow="-90" yWindow="-21710" windowWidth="38620" windowHeight="21100" firstSheet="44" activeTab="51"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165" l="1"/>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84" i="171"/>
  <c r="B185" i="171"/>
  <c r="B170" i="171"/>
  <c r="B171" i="171"/>
  <c r="B172" i="171"/>
  <c r="B173" i="171"/>
  <c r="B174" i="171"/>
  <c r="B175" i="171"/>
  <c r="B176" i="171"/>
  <c r="B177" i="171"/>
  <c r="B178" i="171"/>
  <c r="B179" i="171"/>
  <c r="B180" i="171"/>
  <c r="B181" i="171"/>
  <c r="B182" i="171"/>
  <c r="B183" i="171"/>
  <c r="B151" i="171"/>
  <c r="B152" i="171"/>
  <c r="B153" i="171"/>
  <c r="B154" i="171"/>
  <c r="B155" i="171"/>
  <c r="B156" i="171"/>
  <c r="B157" i="171"/>
  <c r="B158" i="171"/>
  <c r="B159" i="171"/>
  <c r="B160" i="171"/>
  <c r="B161" i="171"/>
  <c r="B162" i="171"/>
  <c r="B163" i="171"/>
  <c r="B164" i="171"/>
  <c r="B165" i="171"/>
  <c r="B166" i="171"/>
  <c r="B167" i="171"/>
  <c r="B168" i="171"/>
  <c r="B169"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Q173" i="170"/>
  <c r="S173" i="170" s="1" a="1"/>
  <c r="S173" i="170" s="1"/>
  <c r="R173" i="170"/>
  <c r="Q174" i="170"/>
  <c r="S174" i="170" s="1" a="1"/>
  <c r="S174" i="170" s="1"/>
  <c r="R174" i="170"/>
  <c r="Q175" i="170"/>
  <c r="S175" i="170" s="1" a="1"/>
  <c r="S175" i="170" s="1"/>
  <c r="R175" i="170"/>
  <c r="Q176" i="170"/>
  <c r="S176" i="170" s="1" a="1"/>
  <c r="S176" i="170" s="1"/>
  <c r="R176" i="170"/>
  <c r="Q177" i="170"/>
  <c r="S177" i="170" s="1" a="1"/>
  <c r="S177" i="170" s="1"/>
  <c r="R177" i="170"/>
  <c r="Q178" i="170"/>
  <c r="S178" i="170" s="1" a="1"/>
  <c r="S178" i="170" s="1"/>
  <c r="R178" i="170"/>
  <c r="Q179" i="170"/>
  <c r="S179" i="170" s="1" a="1"/>
  <c r="S179" i="170"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R164" i="170"/>
  <c r="Q165" i="170"/>
  <c r="S165" i="170" s="1" a="1"/>
  <c r="S165" i="170" s="1"/>
  <c r="R165" i="170"/>
  <c r="Q166" i="170"/>
  <c r="S166" i="170" s="1" a="1"/>
  <c r="S166" i="170" s="1"/>
  <c r="R166" i="170"/>
  <c r="Q167" i="170"/>
  <c r="S167" i="170" s="1" a="1"/>
  <c r="S167" i="170" s="1"/>
  <c r="R167" i="170"/>
  <c r="Q168" i="170"/>
  <c r="S168" i="170" s="1" a="1"/>
  <c r="S168" i="170" s="1"/>
  <c r="R168" i="170"/>
  <c r="Q169" i="170"/>
  <c r="S169" i="170" s="1" a="1"/>
  <c r="S169" i="170" s="1"/>
  <c r="R169" i="170"/>
  <c r="Q170" i="170"/>
  <c r="S170" i="170" s="1" a="1"/>
  <c r="S170" i="170" s="1"/>
  <c r="R170" i="170"/>
  <c r="Q171" i="170"/>
  <c r="S171" i="170" s="1" a="1"/>
  <c r="S171" i="170" s="1"/>
  <c r="R171" i="170"/>
  <c r="Q172" i="170"/>
  <c r="S172" i="170" s="1" a="1"/>
  <c r="S172" i="170" s="1"/>
  <c r="R172" i="170"/>
  <c r="Q22" i="170"/>
  <c r="S22" i="170" s="1" a="1"/>
  <c r="S22" i="170" s="1"/>
  <c r="R22" i="170"/>
  <c r="Q23" i="170"/>
  <c r="S23" i="170" s="1" a="1"/>
  <c r="S23" i="170" s="1"/>
  <c r="R23" i="170"/>
  <c r="Q24" i="170"/>
  <c r="S24" i="170" s="1" a="1"/>
  <c r="S24" i="170" s="1"/>
  <c r="R24" i="170"/>
  <c r="Q25" i="170"/>
  <c r="S25" i="170" s="1" a="1"/>
  <c r="S25" i="170" s="1"/>
  <c r="R25" i="170"/>
  <c r="Q26" i="170"/>
  <c r="S26" i="170" s="1" a="1"/>
  <c r="S26" i="170" s="1"/>
  <c r="R26" i="170"/>
  <c r="Q27" i="170"/>
  <c r="S27" i="170" s="1" a="1"/>
  <c r="S27" i="170" s="1"/>
  <c r="R27" i="170"/>
  <c r="Q28" i="170"/>
  <c r="S28" i="170" s="1" a="1"/>
  <c r="S28" i="170" s="1"/>
  <c r="R28" i="170"/>
  <c r="Q29" i="170"/>
  <c r="S29" i="170" s="1" a="1"/>
  <c r="S29" i="170" s="1"/>
  <c r="R29" i="170"/>
  <c r="Q30" i="170"/>
  <c r="S30" i="170" s="1" a="1"/>
  <c r="S30" i="170" s="1"/>
  <c r="R30" i="170"/>
  <c r="Q31" i="170"/>
  <c r="S31" i="170" s="1" a="1"/>
  <c r="S31" i="170" s="1"/>
  <c r="R31" i="170"/>
  <c r="Q32" i="170"/>
  <c r="S32" i="170" s="1" a="1"/>
  <c r="S32" i="170" s="1"/>
  <c r="R32" i="170"/>
  <c r="Q33" i="170"/>
  <c r="S33" i="170" s="1" a="1"/>
  <c r="S33" i="170" s="1"/>
  <c r="R33" i="170"/>
  <c r="Q34" i="170"/>
  <c r="S34" i="170" s="1" a="1"/>
  <c r="S34" i="170" s="1"/>
  <c r="R34" i="170"/>
  <c r="Q35" i="170"/>
  <c r="S35" i="170" s="1" a="1"/>
  <c r="S35" i="170" s="1"/>
  <c r="R35" i="170"/>
  <c r="Q36" i="170"/>
  <c r="S36" i="170" s="1" a="1"/>
  <c r="S36" i="170" s="1"/>
  <c r="R36" i="170"/>
  <c r="Q37" i="170"/>
  <c r="S37" i="170" s="1" a="1"/>
  <c r="S37" i="170" s="1"/>
  <c r="R37" i="170"/>
  <c r="Q38" i="170"/>
  <c r="S38" i="170" s="1" a="1"/>
  <c r="S38" i="170" s="1"/>
  <c r="R38" i="170"/>
  <c r="Q39" i="170"/>
  <c r="S39" i="170" s="1" a="1"/>
  <c r="S39" i="170" s="1"/>
  <c r="R39" i="170"/>
  <c r="Q40" i="170"/>
  <c r="S40" i="170" s="1" a="1"/>
  <c r="S40" i="170" s="1"/>
  <c r="R40" i="170"/>
  <c r="Q41" i="170"/>
  <c r="S41" i="170" s="1" a="1"/>
  <c r="S41" i="170" s="1"/>
  <c r="R41" i="170"/>
  <c r="Q42" i="170"/>
  <c r="S42" i="170" s="1" a="1"/>
  <c r="S42" i="170" s="1"/>
  <c r="R42" i="170"/>
  <c r="Q43" i="170"/>
  <c r="S43" i="170" s="1" a="1"/>
  <c r="S43" i="170" s="1"/>
  <c r="R43" i="170"/>
  <c r="Q44" i="170"/>
  <c r="S44" i="170" s="1" a="1"/>
  <c r="S44" i="170" s="1"/>
  <c r="R44" i="170"/>
  <c r="Q45" i="170"/>
  <c r="S45" i="170" s="1" a="1"/>
  <c r="S45" i="170" s="1"/>
  <c r="R45" i="170"/>
  <c r="Q46" i="170"/>
  <c r="S46" i="170" s="1" a="1"/>
  <c r="S46" i="170" s="1"/>
  <c r="R46" i="170"/>
  <c r="Q47" i="170"/>
  <c r="S47" i="170" s="1" a="1"/>
  <c r="S47" i="170" s="1"/>
  <c r="R47" i="170"/>
  <c r="Q48" i="170"/>
  <c r="S48" i="170" s="1" a="1"/>
  <c r="S48" i="170" s="1"/>
  <c r="R48" i="170"/>
  <c r="Q49" i="170"/>
  <c r="S49" i="170" s="1" a="1"/>
  <c r="S49" i="170" s="1"/>
  <c r="R49" i="170"/>
  <c r="Q50" i="170"/>
  <c r="S50" i="170" s="1" a="1"/>
  <c r="S50" i="170" s="1"/>
  <c r="R50" i="170"/>
  <c r="Q51" i="170"/>
  <c r="S51" i="170" s="1" a="1"/>
  <c r="S51" i="170" s="1"/>
  <c r="R51" i="170"/>
  <c r="Q52" i="170"/>
  <c r="S52" i="170" s="1" a="1"/>
  <c r="S52" i="170" s="1"/>
  <c r="R52" i="170"/>
  <c r="Q53" i="170"/>
  <c r="S53" i="170" s="1" a="1"/>
  <c r="S53" i="170" s="1"/>
  <c r="R53" i="170"/>
  <c r="Q54" i="170"/>
  <c r="S54" i="170" s="1" a="1"/>
  <c r="S54" i="170" s="1"/>
  <c r="R54" i="170"/>
  <c r="Q55" i="170"/>
  <c r="S55" i="170" s="1" a="1"/>
  <c r="S55" i="170" s="1"/>
  <c r="R55" i="170"/>
  <c r="Q56" i="170"/>
  <c r="S56" i="170" s="1" a="1"/>
  <c r="S56" i="170" s="1"/>
  <c r="R56" i="170"/>
  <c r="Q57" i="170"/>
  <c r="S57" i="170" s="1" a="1"/>
  <c r="S57" i="170" s="1"/>
  <c r="R57" i="170"/>
  <c r="Q58" i="170"/>
  <c r="S58" i="170" s="1" a="1"/>
  <c r="S58" i="170" s="1"/>
  <c r="R58" i="170"/>
  <c r="Q59" i="170"/>
  <c r="S59" i="170" s="1" a="1"/>
  <c r="S59" i="170" s="1"/>
  <c r="R59" i="170"/>
  <c r="Q60" i="170"/>
  <c r="S60" i="170" s="1" a="1"/>
  <c r="S60" i="170" s="1"/>
  <c r="R60" i="170"/>
  <c r="Q61" i="170"/>
  <c r="S61" i="170" s="1" a="1"/>
  <c r="S61" i="170" s="1"/>
  <c r="R61" i="170"/>
  <c r="Q62" i="170"/>
  <c r="S62" i="170" s="1" a="1"/>
  <c r="S62" i="170" s="1"/>
  <c r="R62" i="170"/>
  <c r="Q63" i="170"/>
  <c r="S63" i="170" s="1" a="1"/>
  <c r="S63" i="170" s="1"/>
  <c r="R63" i="170"/>
  <c r="Q64" i="170"/>
  <c r="S64" i="170" s="1" a="1"/>
  <c r="S64" i="170" s="1"/>
  <c r="R64" i="170"/>
  <c r="Q65" i="170"/>
  <c r="S65" i="170" s="1" a="1"/>
  <c r="S65" i="170" s="1"/>
  <c r="R65" i="170"/>
  <c r="Q66" i="170"/>
  <c r="S66" i="170" s="1" a="1"/>
  <c r="S66" i="170" s="1"/>
  <c r="R66" i="170"/>
  <c r="Q67" i="170"/>
  <c r="S67" i="170" s="1" a="1"/>
  <c r="S67" i="170" s="1"/>
  <c r="R67" i="170"/>
  <c r="Q68" i="170"/>
  <c r="S68" i="170" s="1" a="1"/>
  <c r="S68" i="170" s="1"/>
  <c r="R68" i="170"/>
  <c r="Q69" i="170"/>
  <c r="S69" i="170" s="1" a="1"/>
  <c r="S69" i="170" s="1"/>
  <c r="R69" i="170"/>
  <c r="Q70" i="170"/>
  <c r="S70" i="170" s="1" a="1"/>
  <c r="S70" i="170" s="1"/>
  <c r="R70" i="170"/>
  <c r="Q71" i="170"/>
  <c r="S71" i="170" s="1" a="1"/>
  <c r="S71" i="170" s="1"/>
  <c r="R71" i="170"/>
  <c r="Q72" i="170"/>
  <c r="S72" i="170" s="1" a="1"/>
  <c r="S72" i="170" s="1"/>
  <c r="R72" i="170"/>
  <c r="Q73" i="170"/>
  <c r="S73" i="170" s="1" a="1"/>
  <c r="S73" i="170" s="1"/>
  <c r="R73" i="170"/>
  <c r="Q74" i="170"/>
  <c r="S74" i="170" s="1" a="1"/>
  <c r="S74" i="170" s="1"/>
  <c r="R74" i="170"/>
  <c r="Q75" i="170"/>
  <c r="S75" i="170" s="1" a="1"/>
  <c r="S75" i="170" s="1"/>
  <c r="R75" i="170"/>
  <c r="Q76" i="170"/>
  <c r="S76" i="170" s="1" a="1"/>
  <c r="S76" i="170" s="1"/>
  <c r="R76" i="170"/>
  <c r="Q77" i="170"/>
  <c r="S77" i="170" s="1" a="1"/>
  <c r="S77" i="170" s="1"/>
  <c r="R77" i="170"/>
  <c r="Q78" i="170"/>
  <c r="S78" i="170" s="1" a="1"/>
  <c r="S78" i="170" s="1"/>
  <c r="R78" i="170"/>
  <c r="Q79" i="170"/>
  <c r="S79" i="170" s="1" a="1"/>
  <c r="S79" i="170" s="1"/>
  <c r="R79" i="170"/>
  <c r="Q80" i="170"/>
  <c r="S80" i="170" s="1" a="1"/>
  <c r="S80" i="170" s="1"/>
  <c r="R80" i="170"/>
  <c r="Q81" i="170"/>
  <c r="S81" i="170" s="1" a="1"/>
  <c r="S81" i="170" s="1"/>
  <c r="R81" i="170"/>
  <c r="Q82" i="170"/>
  <c r="S82" i="170" s="1" a="1"/>
  <c r="S82" i="170" s="1"/>
  <c r="R82" i="170"/>
  <c r="Q83" i="170"/>
  <c r="S83" i="170" s="1" a="1"/>
  <c r="S83" i="170" s="1"/>
  <c r="R83" i="170"/>
  <c r="Q84" i="170"/>
  <c r="S84" i="170" s="1" a="1"/>
  <c r="S84" i="170" s="1"/>
  <c r="R84" i="170"/>
  <c r="Q85" i="170"/>
  <c r="S85" i="170" s="1" a="1"/>
  <c r="S85" i="170" s="1"/>
  <c r="R85" i="170"/>
  <c r="Q86" i="170"/>
  <c r="S86" i="170" s="1" a="1"/>
  <c r="S86" i="170" s="1"/>
  <c r="R86" i="170"/>
  <c r="Q87" i="170"/>
  <c r="S87" i="170" s="1" a="1"/>
  <c r="S87" i="170" s="1"/>
  <c r="R87" i="170"/>
  <c r="Q88" i="170"/>
  <c r="S88" i="170" s="1" a="1"/>
  <c r="S88" i="170" s="1"/>
  <c r="R88" i="170"/>
  <c r="Q89" i="170"/>
  <c r="S89" i="170" s="1" a="1"/>
  <c r="S89" i="170" s="1"/>
  <c r="R89" i="170"/>
  <c r="Q90" i="170"/>
  <c r="S90" i="170" s="1" a="1"/>
  <c r="S90" i="170" s="1"/>
  <c r="R90" i="170"/>
  <c r="Q91" i="170"/>
  <c r="S91" i="170" s="1" a="1"/>
  <c r="S91" i="170" s="1"/>
  <c r="R91" i="170"/>
  <c r="Q92" i="170"/>
  <c r="S92" i="170" s="1" a="1"/>
  <c r="S92" i="170" s="1"/>
  <c r="R92" i="170"/>
  <c r="Q93" i="170"/>
  <c r="S93" i="170" s="1" a="1"/>
  <c r="S93" i="170" s="1"/>
  <c r="R93" i="170"/>
  <c r="Q94" i="170"/>
  <c r="S94" i="170" s="1" a="1"/>
  <c r="S94" i="170" s="1"/>
  <c r="R94" i="170"/>
  <c r="Q95" i="170"/>
  <c r="S95" i="170" s="1" a="1"/>
  <c r="S95" i="170" s="1"/>
  <c r="R95" i="170"/>
  <c r="Q96" i="170"/>
  <c r="S96" i="170" s="1" a="1"/>
  <c r="S96" i="170" s="1"/>
  <c r="R96" i="170"/>
  <c r="Q97" i="170"/>
  <c r="S97" i="170" s="1" a="1"/>
  <c r="S97" i="170" s="1"/>
  <c r="R97" i="170"/>
  <c r="Q98" i="170"/>
  <c r="S98" i="170" s="1" a="1"/>
  <c r="S98" i="170" s="1"/>
  <c r="R98" i="170"/>
  <c r="Q99" i="170"/>
  <c r="S99" i="170" s="1" a="1"/>
  <c r="S99" i="170" s="1"/>
  <c r="R99" i="170"/>
  <c r="Q100" i="170"/>
  <c r="S100" i="170" s="1" a="1"/>
  <c r="S100" i="170" s="1"/>
  <c r="R100" i="170"/>
  <c r="Q101" i="170"/>
  <c r="S101" i="170" s="1" a="1"/>
  <c r="S101" i="170" s="1"/>
  <c r="R101" i="170"/>
  <c r="Q102" i="170"/>
  <c r="S102" i="170" s="1" a="1"/>
  <c r="S102" i="170" s="1"/>
  <c r="R102" i="170"/>
  <c r="Q103" i="170"/>
  <c r="S103" i="170" s="1" a="1"/>
  <c r="S103" i="170" s="1"/>
  <c r="R103" i="170"/>
  <c r="Q104" i="170"/>
  <c r="S104" i="170" s="1" a="1"/>
  <c r="S104" i="170" s="1"/>
  <c r="R104" i="170"/>
  <c r="Q105" i="170"/>
  <c r="S105" i="170" s="1" a="1"/>
  <c r="S105" i="170" s="1"/>
  <c r="R105" i="170"/>
  <c r="Q106" i="170"/>
  <c r="S106" i="170" s="1" a="1"/>
  <c r="S106" i="170" s="1"/>
  <c r="R106" i="170"/>
  <c r="Q107" i="170"/>
  <c r="S107" i="170" s="1" a="1"/>
  <c r="S107" i="170" s="1"/>
  <c r="R107" i="170"/>
  <c r="Q108" i="170"/>
  <c r="S108" i="170" s="1" a="1"/>
  <c r="S108" i="170" s="1"/>
  <c r="R108" i="170"/>
  <c r="Q109" i="170"/>
  <c r="S109" i="170" s="1" a="1"/>
  <c r="S109" i="170" s="1"/>
  <c r="R109" i="170"/>
  <c r="Q110" i="170"/>
  <c r="S110" i="170" s="1" a="1"/>
  <c r="S110" i="170" s="1"/>
  <c r="R110" i="170"/>
  <c r="Q111" i="170"/>
  <c r="S111" i="170" s="1" a="1"/>
  <c r="S111" i="170" s="1"/>
  <c r="R111" i="170"/>
  <c r="Q112" i="170"/>
  <c r="S112" i="170" s="1" a="1"/>
  <c r="S112" i="170" s="1"/>
  <c r="R112" i="170"/>
  <c r="Q113" i="170"/>
  <c r="S113" i="170" s="1" a="1"/>
  <c r="S113" i="170" s="1"/>
  <c r="R113" i="170"/>
  <c r="Q114" i="170"/>
  <c r="S114" i="170" s="1" a="1"/>
  <c r="S114" i="170" s="1"/>
  <c r="R114" i="170"/>
  <c r="Q115" i="170"/>
  <c r="S115" i="170" s="1" a="1"/>
  <c r="S115" i="170" s="1"/>
  <c r="R115" i="170"/>
  <c r="Q116" i="170"/>
  <c r="S116" i="170" s="1" a="1"/>
  <c r="S116" i="170" s="1"/>
  <c r="R116" i="170"/>
  <c r="Q117" i="170"/>
  <c r="S117" i="170" s="1" a="1"/>
  <c r="S117" i="170" s="1"/>
  <c r="R117" i="170"/>
  <c r="Q118" i="170"/>
  <c r="S118" i="170" s="1" a="1"/>
  <c r="S118" i="170" s="1"/>
  <c r="R118" i="170"/>
  <c r="Q119" i="170"/>
  <c r="S119" i="170" s="1" a="1"/>
  <c r="S119" i="170" s="1"/>
  <c r="R119" i="170"/>
  <c r="Q120" i="170"/>
  <c r="S120" i="170" s="1" a="1"/>
  <c r="S120" i="170" s="1"/>
  <c r="R120" i="170"/>
  <c r="Q121" i="170"/>
  <c r="S121" i="170" s="1" a="1"/>
  <c r="S121" i="170" s="1"/>
  <c r="R121" i="170"/>
  <c r="Q122" i="170"/>
  <c r="S122" i="170" s="1" a="1"/>
  <c r="S122" i="170" s="1"/>
  <c r="R122" i="170"/>
  <c r="Q123" i="170"/>
  <c r="S123" i="170" s="1" a="1"/>
  <c r="S123" i="170" s="1"/>
  <c r="R123" i="170"/>
  <c r="Q124" i="170"/>
  <c r="S124" i="170" s="1" a="1"/>
  <c r="S124" i="170" s="1"/>
  <c r="R124" i="170"/>
  <c r="Q125" i="170"/>
  <c r="S125" i="170" s="1" a="1"/>
  <c r="S125" i="170" s="1"/>
  <c r="R125" i="170"/>
  <c r="Q126" i="170"/>
  <c r="S126" i="170" s="1" a="1"/>
  <c r="S126" i="170" s="1"/>
  <c r="R126" i="170"/>
  <c r="Q127" i="170"/>
  <c r="S127" i="170" s="1" a="1"/>
  <c r="S127" i="170" s="1"/>
  <c r="R127" i="170"/>
  <c r="Q128" i="170"/>
  <c r="S128" i="170" s="1" a="1"/>
  <c r="S128" i="170" s="1"/>
  <c r="R128" i="170"/>
  <c r="Q129" i="170"/>
  <c r="S129" i="170" s="1" a="1"/>
  <c r="S129" i="170" s="1"/>
  <c r="R129" i="170"/>
  <c r="Q130" i="170"/>
  <c r="S130" i="170" s="1" a="1"/>
  <c r="S130" i="170" s="1"/>
  <c r="R130" i="170"/>
  <c r="Q131" i="170"/>
  <c r="S131" i="170" s="1" a="1"/>
  <c r="S131" i="170" s="1"/>
  <c r="R131" i="170"/>
  <c r="Q132" i="170"/>
  <c r="S132" i="170" s="1" a="1"/>
  <c r="S132" i="170" s="1"/>
  <c r="R132" i="170"/>
  <c r="Q133" i="170"/>
  <c r="S133" i="170" s="1" a="1"/>
  <c r="S133" i="170" s="1"/>
  <c r="R133" i="170"/>
  <c r="Q134" i="170"/>
  <c r="S134" i="170" s="1" a="1"/>
  <c r="S134" i="170" s="1"/>
  <c r="R134" i="170"/>
  <c r="Q135" i="170"/>
  <c r="S135" i="170" s="1" a="1"/>
  <c r="S135" i="170" s="1"/>
  <c r="R135" i="170"/>
  <c r="Q136" i="170"/>
  <c r="S136" i="170" s="1" a="1"/>
  <c r="S136" i="170" s="1"/>
  <c r="R136" i="170"/>
  <c r="Q137" i="170"/>
  <c r="S137" i="170" s="1" a="1"/>
  <c r="S137" i="170" s="1"/>
  <c r="R137" i="170"/>
  <c r="Q138" i="170"/>
  <c r="S138" i="170" s="1" a="1"/>
  <c r="S138" i="170" s="1"/>
  <c r="R138" i="170"/>
  <c r="Q139" i="170"/>
  <c r="S139" i="170" s="1" a="1"/>
  <c r="S139" i="170" s="1"/>
  <c r="R139" i="170"/>
  <c r="Q140" i="170"/>
  <c r="S140" i="170" s="1" a="1"/>
  <c r="S140" i="170" s="1"/>
  <c r="R140" i="170"/>
  <c r="Q141" i="170"/>
  <c r="S141" i="170" s="1" a="1"/>
  <c r="S141" i="170" s="1"/>
  <c r="R141" i="170"/>
  <c r="Q142" i="170"/>
  <c r="S142" i="170" s="1" a="1"/>
  <c r="S142" i="170" s="1"/>
  <c r="R142" i="170"/>
  <c r="Q143" i="170"/>
  <c r="S143" i="170" s="1" a="1"/>
  <c r="S143" i="170" s="1"/>
  <c r="R143" i="170"/>
  <c r="Q144" i="170"/>
  <c r="S144" i="170" s="1" a="1"/>
  <c r="S144" i="170" s="1"/>
  <c r="R144" i="170"/>
  <c r="Q145" i="170"/>
  <c r="S145" i="170" s="1" a="1"/>
  <c r="S145" i="170" s="1"/>
  <c r="R145" i="170"/>
  <c r="Q146" i="170"/>
  <c r="S146" i="170" s="1" a="1"/>
  <c r="S146" i="170" s="1"/>
  <c r="R146" i="170"/>
  <c r="Q147" i="170"/>
  <c r="S147" i="170" s="1" a="1"/>
  <c r="S147" i="170" s="1"/>
  <c r="R147" i="170"/>
  <c r="Q148" i="170"/>
  <c r="S148" i="170" s="1" a="1"/>
  <c r="S148" i="170" s="1"/>
  <c r="R148" i="170"/>
  <c r="Q149" i="170"/>
  <c r="S149" i="170" s="1" a="1"/>
  <c r="S149" i="170" s="1"/>
  <c r="R149" i="170"/>
  <c r="Q150" i="170"/>
  <c r="S150" i="170" s="1" a="1"/>
  <c r="S150" i="170" s="1"/>
  <c r="R150" i="170"/>
  <c r="Q151" i="170"/>
  <c r="S151" i="170" s="1" a="1"/>
  <c r="S151" i="170" s="1"/>
  <c r="R151" i="170"/>
  <c r="Q152" i="170"/>
  <c r="S152" i="170" s="1" a="1"/>
  <c r="S152" i="170" s="1"/>
  <c r="R152" i="170"/>
  <c r="Q153" i="170"/>
  <c r="S153" i="170" s="1" a="1"/>
  <c r="S153" i="170" s="1"/>
  <c r="R153" i="170"/>
  <c r="Q154" i="170"/>
  <c r="S154" i="170" s="1" a="1"/>
  <c r="S154" i="170" s="1"/>
  <c r="R154" i="170"/>
  <c r="Q155" i="170"/>
  <c r="S155" i="170" s="1" a="1"/>
  <c r="S155" i="170" s="1"/>
  <c r="R155" i="170"/>
  <c r="Q156" i="170"/>
  <c r="S156" i="170" s="1" a="1"/>
  <c r="S156" i="170" s="1"/>
  <c r="R156" i="170"/>
  <c r="Q157" i="170"/>
  <c r="S157" i="170" s="1" a="1"/>
  <c r="S157" i="170" s="1"/>
  <c r="R157" i="170"/>
  <c r="Q158" i="170"/>
  <c r="S158" i="170" s="1" a="1"/>
  <c r="S158" i="170" s="1"/>
  <c r="R158" i="170"/>
  <c r="Q159" i="170"/>
  <c r="S159" i="170" s="1" a="1"/>
  <c r="S159" i="170" s="1"/>
  <c r="R159" i="170"/>
  <c r="Q160" i="170"/>
  <c r="S160" i="170" s="1" a="1"/>
  <c r="S160" i="170" s="1"/>
  <c r="R160" i="170"/>
  <c r="Q161" i="170"/>
  <c r="S161" i="170" s="1" a="1"/>
  <c r="S161" i="170" s="1"/>
  <c r="R161" i="170"/>
  <c r="Q162" i="170"/>
  <c r="S162" i="170" s="1" a="1"/>
  <c r="S162" i="170" s="1"/>
  <c r="R162" i="170"/>
  <c r="Q163" i="170"/>
  <c r="S163" i="170" s="1" a="1"/>
  <c r="S163" i="170" s="1"/>
  <c r="R163" i="170"/>
  <c r="Q16" i="170"/>
  <c r="S16" i="170" s="1" a="1"/>
  <c r="S16" i="170" s="1"/>
  <c r="R16" i="170"/>
  <c r="Q17" i="170"/>
  <c r="S17" i="170" s="1" a="1"/>
  <c r="S17" i="170" s="1"/>
  <c r="R17" i="170"/>
  <c r="Q18" i="170"/>
  <c r="S18" i="170" s="1" a="1"/>
  <c r="S18" i="170" s="1"/>
  <c r="R18" i="170"/>
  <c r="Q19" i="170"/>
  <c r="S19" i="170" s="1" a="1"/>
  <c r="S19" i="170" s="1"/>
  <c r="R19" i="170"/>
  <c r="Q20" i="170"/>
  <c r="S20" i="170" s="1" a="1"/>
  <c r="S20" i="170" s="1"/>
  <c r="R20" i="170"/>
  <c r="Q21" i="170"/>
  <c r="S21" i="170" s="1" a="1"/>
  <c r="S21" i="170"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I19" i="146"/>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Q18" i="146"/>
  <c r="S18" i="146" s="1" a="1"/>
  <c r="S18" i="146" s="1"/>
  <c r="B23" i="147" s="1"/>
  <c r="R18" i="146"/>
  <c r="Q19" i="146"/>
  <c r="R19" i="146"/>
  <c r="S19" i="146" a="1"/>
  <c r="S19" i="146" s="1"/>
  <c r="B24" i="147" s="1"/>
  <c r="Q20" i="146"/>
  <c r="S20" i="146" s="1" a="1"/>
  <c r="S20" i="146" s="1"/>
  <c r="B25" i="147" s="1"/>
  <c r="R20" i="146"/>
  <c r="Q21" i="146"/>
  <c r="R21" i="146"/>
  <c r="S21" i="146" a="1"/>
  <c r="S21" i="146" s="1"/>
  <c r="B26" i="147" s="1"/>
  <c r="Q22" i="146"/>
  <c r="S22" i="146" s="1" a="1"/>
  <c r="S22" i="146" s="1"/>
  <c r="B27" i="147" s="1"/>
  <c r="R22" i="146"/>
  <c r="Q23" i="146"/>
  <c r="R23" i="146"/>
  <c r="Q24" i="146"/>
  <c r="S24" i="146" s="1" a="1"/>
  <c r="S24" i="146" s="1"/>
  <c r="B29" i="147" s="1"/>
  <c r="R24" i="146"/>
  <c r="Q25" i="146"/>
  <c r="R25" i="146"/>
  <c r="S25" i="146" a="1"/>
  <c r="S25" i="146" s="1"/>
  <c r="B30" i="147" s="1"/>
  <c r="Q26" i="146"/>
  <c r="S26" i="146" s="1" a="1"/>
  <c r="S26" i="146" s="1"/>
  <c r="B31" i="147" s="1"/>
  <c r="R26" i="146"/>
  <c r="Q27" i="146"/>
  <c r="R27" i="146"/>
  <c r="S27" i="146" a="1"/>
  <c r="S27" i="146" s="1"/>
  <c r="B32" i="147" s="1"/>
  <c r="Q28" i="146"/>
  <c r="S28" i="146" s="1" a="1"/>
  <c r="S28" i="146" s="1"/>
  <c r="B33" i="147" s="1"/>
  <c r="R28" i="146"/>
  <c r="Q29" i="146"/>
  <c r="R29" i="146"/>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s="1"/>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6" i="146"/>
  <c r="S23" i="146" s="1" a="1"/>
  <c r="S23" i="146" s="1"/>
  <c r="K17" i="146"/>
  <c r="S29" i="146" s="1" a="1"/>
  <c r="S29" i="146" s="1"/>
  <c r="K18" i="146"/>
  <c r="S35" i="146" s="1" a="1"/>
  <c r="S35" i="146" s="1"/>
  <c r="K15" i="146"/>
  <c r="S17" i="146" s="1" a="1"/>
  <c r="S17" i="146" s="1"/>
  <c r="B22" i="147" s="1"/>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I17" i="162" l="1"/>
  <c r="I18" i="162"/>
  <c r="I19" i="162"/>
  <c r="S94" i="140" a="1"/>
  <c r="S94" i="140" s="1"/>
  <c r="B244" i="138" s="1"/>
  <c r="S95" i="140" a="1"/>
  <c r="S95" i="140" s="1"/>
  <c r="B245" i="138" s="1"/>
  <c r="S97" i="137" a="1"/>
  <c r="S97" i="137" s="1"/>
  <c r="B102" i="138" s="1"/>
  <c r="S95" i="137" a="1"/>
  <c r="S95" i="137" s="1"/>
  <c r="B100" i="138" s="1"/>
  <c r="I16" i="170"/>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S54" i="146" a="1"/>
  <c r="S54" i="146" s="1"/>
  <c r="B59" i="147" s="1"/>
  <c r="S46" i="146" a="1"/>
  <c r="S46" i="146" s="1"/>
  <c r="B51" i="147" s="1"/>
  <c r="B43" i="147"/>
  <c r="L27" i="108"/>
  <c r="C57" i="110" s="1"/>
  <c r="C28" i="110"/>
  <c r="C9" i="110"/>
  <c r="L26" i="108"/>
  <c r="C56" i="110" s="1"/>
  <c r="L14" i="108"/>
  <c r="C44" i="110" s="1"/>
  <c r="C11" i="110"/>
  <c r="L10" i="108"/>
  <c r="C40" i="110" s="1"/>
  <c r="I15" i="170"/>
  <c r="B22" i="17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<sst xmlns="http://schemas.openxmlformats.org/spreadsheetml/2006/main" count="2479" uniqueCount="960">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</sst>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7" t="s">
        <v>39</v>
      </c>
      <c r="C3" s="98"/>
      <c r="D3" s="35" t="s">
        <v>40</v>
      </c>
      <c r="E3" s="35" t="s">
        <v>41</v>
      </c>
    </row>
    <row r="4" spans="2:5" ht="16.75" thickBot="1" x14ac:dyDescent="0.9">
      <c r="B4" s="99" t="s">
        <v>42</v>
      </c>
      <c r="C4" s="100"/>
      <c r="D4" s="100"/>
      <c r="E4" s="101"/>
    </row>
    <row r="5" spans="2:5" ht="16.75" thickBot="1" x14ac:dyDescent="0.9">
      <c r="B5" s="99" t="s">
        <v>43</v>
      </c>
      <c r="C5" s="100"/>
      <c r="D5" s="100"/>
      <c r="E5" s="101"/>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2" t="s">
        <v>57</v>
      </c>
      <c r="C10" s="102" t="s">
        <v>58</v>
      </c>
      <c r="D10" s="40" t="s">
        <v>59</v>
      </c>
      <c r="E10" s="105" t="s">
        <v>60</v>
      </c>
    </row>
    <row r="11" spans="2:5" x14ac:dyDescent="0.75">
      <c r="B11" s="103"/>
      <c r="C11" s="103"/>
      <c r="D11" s="41"/>
      <c r="E11" s="106"/>
    </row>
    <row r="12" spans="2:5" ht="32.75" thickBot="1" x14ac:dyDescent="0.9">
      <c r="B12" s="104"/>
      <c r="C12" s="104"/>
      <c r="D12" s="37" t="s">
        <v>61</v>
      </c>
      <c r="E12" s="107"/>
    </row>
    <row r="13" spans="2:5" ht="16.75" thickBot="1" x14ac:dyDescent="0.9">
      <c r="B13" s="108" t="s">
        <v>62</v>
      </c>
      <c r="C13" s="109"/>
      <c r="D13" s="109"/>
      <c r="E13" s="110"/>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8" t="s">
        <v>70</v>
      </c>
      <c r="C16" s="109"/>
      <c r="D16" s="109"/>
      <c r="E16" s="110"/>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8" t="s">
        <v>83</v>
      </c>
      <c r="C21" s="109"/>
      <c r="D21" s="109"/>
      <c r="E21" s="110"/>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8" t="s">
        <v>93</v>
      </c>
      <c r="C25" s="109"/>
      <c r="D25" s="109"/>
      <c r="E25" s="110"/>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8" t="s">
        <v>102</v>
      </c>
      <c r="C29" s="109"/>
      <c r="D29" s="109"/>
      <c r="E29" s="110"/>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8" t="s">
        <v>114</v>
      </c>
      <c r="C34" s="109"/>
      <c r="D34" s="109"/>
      <c r="E34" s="110"/>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8" t="s">
        <v>126</v>
      </c>
      <c r="C39" s="109"/>
      <c r="D39" s="109"/>
      <c r="E39" s="110"/>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7" t="s">
        <v>39</v>
      </c>
      <c r="C3" s="98"/>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2" t="s">
        <v>163</v>
      </c>
      <c r="C12" s="102" t="s">
        <v>164</v>
      </c>
      <c r="D12" s="102" t="s">
        <v>165</v>
      </c>
      <c r="E12" s="43" t="s">
        <v>166</v>
      </c>
    </row>
    <row r="13" spans="2:5" ht="16" x14ac:dyDescent="0.75">
      <c r="B13" s="103"/>
      <c r="C13" s="103"/>
      <c r="D13" s="103"/>
      <c r="E13" s="43" t="s">
        <v>167</v>
      </c>
    </row>
    <row r="14" spans="2:5" ht="16.75" thickBot="1" x14ac:dyDescent="0.9">
      <c r="B14" s="104"/>
      <c r="C14" s="104"/>
      <c r="D14" s="104"/>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2" t="s">
        <v>188</v>
      </c>
      <c r="C22" s="105" t="s">
        <v>189</v>
      </c>
      <c r="D22" s="102" t="s">
        <v>190</v>
      </c>
      <c r="E22" s="43" t="s">
        <v>167</v>
      </c>
    </row>
    <row r="23" spans="2:5" x14ac:dyDescent="0.75">
      <c r="B23" s="103"/>
      <c r="C23" s="106"/>
      <c r="D23" s="103"/>
      <c r="E23" s="41"/>
    </row>
    <row r="24" spans="2:5" ht="16.75" thickBot="1" x14ac:dyDescent="0.9">
      <c r="B24" s="104"/>
      <c r="C24" s="107"/>
      <c r="D24" s="104"/>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8" t="s">
        <v>198</v>
      </c>
      <c r="C27" s="109"/>
      <c r="D27" s="109"/>
      <c r="E27" s="110"/>
    </row>
    <row r="28" spans="2:5" ht="16.75" thickBot="1" x14ac:dyDescent="0.9">
      <c r="B28" s="108" t="s">
        <v>199</v>
      </c>
      <c r="C28" s="109"/>
      <c r="D28" s="109"/>
      <c r="E28" s="110"/>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8" t="s">
        <v>206</v>
      </c>
      <c r="C31" s="109"/>
      <c r="D31" s="109"/>
      <c r="E31" s="110"/>
    </row>
    <row r="32" spans="2:5" ht="16.75" thickBot="1" x14ac:dyDescent="0.9">
      <c r="B32" s="36" t="s">
        <v>207</v>
      </c>
      <c r="C32" s="39" t="s">
        <v>208</v>
      </c>
      <c r="D32" s="37" t="s">
        <v>209</v>
      </c>
      <c r="E32" s="39" t="s">
        <v>113</v>
      </c>
    </row>
    <row r="33" spans="2:5" ht="16" x14ac:dyDescent="0.75">
      <c r="B33" s="102" t="s">
        <v>210</v>
      </c>
      <c r="C33" s="105" t="s">
        <v>211</v>
      </c>
      <c r="D33" s="102" t="s">
        <v>212</v>
      </c>
      <c r="E33" s="43" t="s">
        <v>130</v>
      </c>
    </row>
    <row r="34" spans="2:5" ht="16" x14ac:dyDescent="0.75">
      <c r="B34" s="103"/>
      <c r="C34" s="106"/>
      <c r="D34" s="103"/>
      <c r="E34" s="43" t="s">
        <v>213</v>
      </c>
    </row>
    <row r="35" spans="2:5" ht="16.75" thickBot="1" x14ac:dyDescent="0.9">
      <c r="B35" s="104"/>
      <c r="C35" s="107"/>
      <c r="D35" s="104"/>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2" t="s">
        <v>226</v>
      </c>
      <c r="C40" s="105" t="s">
        <v>227</v>
      </c>
      <c r="D40" s="102" t="s">
        <v>228</v>
      </c>
      <c r="E40" s="43" t="s">
        <v>167</v>
      </c>
    </row>
    <row r="41" spans="2:5" x14ac:dyDescent="0.75">
      <c r="B41" s="103"/>
      <c r="C41" s="106"/>
      <c r="D41" s="103"/>
      <c r="E41" s="41"/>
    </row>
    <row r="42" spans="2:5" ht="16.75" thickBot="1" x14ac:dyDescent="0.9">
      <c r="B42" s="104"/>
      <c r="C42" s="107"/>
      <c r="D42" s="104"/>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2" t="s">
        <v>238</v>
      </c>
      <c r="C46" s="105" t="s">
        <v>239</v>
      </c>
      <c r="D46" s="102" t="s">
        <v>240</v>
      </c>
      <c r="E46" s="43" t="s">
        <v>241</v>
      </c>
    </row>
    <row r="47" spans="2:5" x14ac:dyDescent="0.75">
      <c r="B47" s="103"/>
      <c r="C47" s="106"/>
      <c r="D47" s="103"/>
      <c r="E47" s="44"/>
    </row>
    <row r="48" spans="2:5" ht="16.75" thickBot="1" x14ac:dyDescent="0.9">
      <c r="B48" s="104"/>
      <c r="C48" s="107"/>
      <c r="D48" s="104"/>
      <c r="E48" s="39" t="s">
        <v>242</v>
      </c>
    </row>
    <row r="49" spans="2:5" ht="16" x14ac:dyDescent="0.75">
      <c r="B49" s="102" t="s">
        <v>243</v>
      </c>
      <c r="C49" s="105" t="s">
        <v>244</v>
      </c>
      <c r="D49" s="102" t="s">
        <v>245</v>
      </c>
      <c r="E49" s="43" t="s">
        <v>167</v>
      </c>
    </row>
    <row r="50" spans="2:5" x14ac:dyDescent="0.75">
      <c r="B50" s="103"/>
      <c r="C50" s="106"/>
      <c r="D50" s="103"/>
      <c r="E50" s="41"/>
    </row>
    <row r="51" spans="2:5" ht="48.75" thickBot="1" x14ac:dyDescent="0.9">
      <c r="B51" s="104"/>
      <c r="C51" s="107"/>
      <c r="D51" s="104"/>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903</v>
      </c>
      <c r="B2" s="94" t="s">
        <v>656</v>
      </c>
      <c r="J2" s="33" t="s">
        <v>36</v>
      </c>
      <c r="L2" s="33" t="s">
        <v>624</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678</v>
      </c>
      <c r="J6" s="26" t="str">
        <f>CONCATENATE("Title: ##34#",B6,"##34#")</f>
        <v>Title: ##34#A - Laboratory Report##34#</v>
      </c>
    </row>
    <row r="7" spans="1:12" x14ac:dyDescent="0.75">
      <c r="A7" s="46" t="s">
        <v>5</v>
      </c>
      <c r="B7" s="47" t="s">
        <v>933</v>
      </c>
      <c r="C7" s="12" t="s">
        <v>6</v>
      </c>
      <c r="D7" s="2" t="s">
        <v>7</v>
      </c>
      <c r="E7" s="3" t="s">
        <v>8</v>
      </c>
      <c r="F7" s="3" t="s">
        <v>9</v>
      </c>
      <c r="G7" s="3" t="s">
        <v>10</v>
      </c>
      <c r="H7" s="68" t="s">
        <v>623</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880</v>
      </c>
      <c r="C16" s="9" t="s">
        <v>878</v>
      </c>
      <c r="D16" s="9" t="s">
        <v>879</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902</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884</v>
      </c>
      <c r="C21" s="9" t="s">
        <v>882</v>
      </c>
      <c r="D21" s="14" t="s">
        <v>883</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885</v>
      </c>
      <c r="D22" s="14" t="s">
        <v>881</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890</v>
      </c>
      <c r="C23" s="89" t="s">
        <v>886</v>
      </c>
      <c r="D23" s="90" t="s">
        <v>891</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893</v>
      </c>
      <c r="C24" s="91" t="s">
        <v>887</v>
      </c>
      <c r="D24" s="92" t="s">
        <v>892</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894</v>
      </c>
      <c r="C25" s="91" t="s">
        <v>888</v>
      </c>
      <c r="D25" s="92" t="s">
        <v>889</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613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645</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614</v>
      </c>
      <c r="E24" s="14" t="str">
        <f t="shared" si="0"/>
        <v>* order -&gt; ##34#Composition.extension('http://hl7.eu/fhir/ig/xeh/StructureDefinition/composition-basedOn-order-or-requisition').valueIdentifier##34#</v>
      </c>
    </row>
    <row r="25" spans="1:5" ht="59" x14ac:dyDescent="0.75">
      <c r="B25" s="62" t="str">
        <f>Report!B26</f>
        <v>order</v>
      </c>
      <c r="C25" s="14" t="s">
        <v>622</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621</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619</v>
      </c>
      <c r="E28" s="14" t="str">
        <f t="shared" si="0"/>
        <v>* specimen -&gt; ##34#DiagnosticReport.conformsTo('http://hl7.eu/fhir/ig/xeh/StructureDefinition/DiagnosticReport-lab-xeh').specimen.resolve()##34#</v>
      </c>
    </row>
    <row r="29" spans="1:5" x14ac:dyDescent="0.75">
      <c r="B29" s="62" t="str">
        <f>Report!$B$28</f>
        <v>result</v>
      </c>
      <c r="C29" s="14" t="s">
        <v>572</v>
      </c>
      <c r="E29" s="14" t="str">
        <f t="shared" si="0"/>
        <v>* result -&gt; ##34#Composition.section:no-subsections.entry.resolve()##34#</v>
      </c>
    </row>
    <row r="30" spans="1:5" x14ac:dyDescent="0.75">
      <c r="B30" s="62" t="str">
        <f>Report!$B$28</f>
        <v>result</v>
      </c>
      <c r="C30" s="14" t="s">
        <v>573</v>
      </c>
      <c r="E30" s="14" t="str">
        <f t="shared" si="0"/>
        <v>* result -&gt; ##34#Composition.section:subsections.section.entry.resolve()##34#</v>
      </c>
    </row>
    <row r="31" spans="1:5" ht="29.5" x14ac:dyDescent="0.75">
      <c r="B31" s="62" t="str">
        <f>Report!$B$28</f>
        <v>result</v>
      </c>
      <c r="C31" s="14" t="s">
        <v>620</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625</v>
      </c>
    </row>
    <row r="36" spans="3:3" x14ac:dyDescent="0.75">
      <c r="C36" s="33" t="s">
        <v>895</v>
      </c>
    </row>
    <row r="37" spans="3:3" x14ac:dyDescent="0.75">
      <c r="C37" s="33" t="s">
        <v>625</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A16" workbookViewId="0">
      <selection activeCell="D28" sqref="D28:G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724</v>
      </c>
      <c r="D3" s="73" t="s">
        <v>663</v>
      </c>
      <c r="E3" t="s">
        <v>653</v>
      </c>
    </row>
    <row r="4" spans="1:19" x14ac:dyDescent="0.75">
      <c r="B4" s="73" t="s">
        <v>19</v>
      </c>
      <c r="C4" s="54" t="s">
        <v>871</v>
      </c>
      <c r="D4" s="73" t="s">
        <v>664</v>
      </c>
      <c r="E4" s="84" t="s">
        <v>857</v>
      </c>
    </row>
    <row r="5" spans="1:19" x14ac:dyDescent="0.75">
      <c r="B5" s="73" t="s">
        <v>13</v>
      </c>
      <c r="C5" s="10" t="s">
        <v>659</v>
      </c>
      <c r="D5" s="73"/>
      <c r="E5" s="10"/>
    </row>
    <row r="6" spans="1:19" x14ac:dyDescent="0.75">
      <c r="B6" s="73" t="s">
        <v>35</v>
      </c>
      <c r="C6" s="72" t="s">
        <v>653</v>
      </c>
      <c r="D6" s="73" t="s">
        <v>660</v>
      </c>
      <c r="E6" s="117" t="s">
        <v>653</v>
      </c>
      <c r="F6" s="117"/>
      <c r="G6" s="117"/>
    </row>
    <row r="7" spans="1:19" x14ac:dyDescent="0.75">
      <c r="B7" s="73" t="s">
        <v>18</v>
      </c>
      <c r="C7" s="80" t="s">
        <v>656</v>
      </c>
      <c r="D7" s="73" t="s">
        <v>661</v>
      </c>
      <c r="E7" s="117" t="s">
        <v>662</v>
      </c>
      <c r="F7" s="117"/>
      <c r="G7" s="117"/>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646</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795</v>
      </c>
      <c r="E17" s="9"/>
      <c r="F17" s="75" t="s">
        <v>638</v>
      </c>
      <c r="G17" s="14" t="s">
        <v>648</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639</v>
      </c>
      <c r="G18" s="75"/>
      <c r="H18" s="76"/>
      <c r="I18" s="14" t="str">
        <f t="shared" si="11"/>
        <v>* group[=].element[+].code = #LabReport.header.informationRecipient</v>
      </c>
      <c r="J18" s="14" t="str">
        <f t="shared" si="12"/>
        <v>* group[=].element[=].display = ##34#A.1.4 Information recipient##34#</v>
      </c>
      <c r="K18" s="14" t="str">
        <f t="shared" si="13"/>
        <v>//-- unmatched</v>
      </c>
      <c r="L18" s="14" t="str">
        <f t="shared" si="14"/>
        <v>//-- unmatched</v>
      </c>
      <c r="M18" s="14" t="str">
        <f t="shared" si="15"/>
        <v>* group[=].element[=].target.equivalence = #unmatched</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796</v>
      </c>
      <c r="E19" s="9"/>
      <c r="F19" s="75" t="s">
        <v>638</v>
      </c>
      <c r="G19" s="75" t="s">
        <v>675</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781</v>
      </c>
      <c r="E20" s="9"/>
      <c r="F20" s="75" t="s">
        <v>638</v>
      </c>
      <c r="G20" s="75" t="s">
        <v>676</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639</v>
      </c>
      <c r="G21" s="75" t="s">
        <v>677</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638</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638</v>
      </c>
      <c r="G23" s="82" t="s">
        <v>896</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634</v>
      </c>
      <c r="E24" s="14"/>
      <c r="F24" s="75" t="s">
        <v>637</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649</v>
      </c>
      <c r="E25" s="14"/>
      <c r="F25" s="75" t="s">
        <v>638</v>
      </c>
      <c r="G25" s="82" t="s">
        <v>923</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650</v>
      </c>
      <c r="E26" s="14"/>
      <c r="F26" s="75" t="s">
        <v>637</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639</v>
      </c>
      <c r="G27" s="75" t="s">
        <v>677</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949</v>
      </c>
      <c r="E28" s="14"/>
      <c r="F28" s="75" t="s">
        <v>638</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639</v>
      </c>
      <c r="G29" s="75" t="s">
        <v>677</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639</v>
      </c>
      <c r="G30" s="75" t="s">
        <v>677</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897</v>
      </c>
      <c r="E31" s="14"/>
      <c r="F31" s="75" t="s">
        <v>637</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639</v>
      </c>
      <c r="G32" s="82" t="s">
        <v>900</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792</v>
      </c>
      <c r="E33" s="14"/>
      <c r="F33" s="75" t="s">
        <v>638</v>
      </c>
      <c r="G33" s="75" t="s">
        <v>651</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638</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638</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unmatched</v>
      </c>
    </row>
    <row r="36" spans="1:19" ht="73.75" x14ac:dyDescent="0.75">
      <c r="B36" s="66" t="s">
        <v>331</v>
      </c>
      <c r="C36" s="66" t="s">
        <v>169</v>
      </c>
      <c r="D36" s="14" t="s">
        <v>797</v>
      </c>
      <c r="E36" s="14"/>
      <c r="F36" s="75" t="s">
        <v>638</v>
      </c>
      <c r="G36" s="14" t="s">
        <v>764</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unmatched</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#unmatched</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626</v>
      </c>
      <c r="C53" t="s">
        <v>627</v>
      </c>
      <c r="D53" s="1" t="s">
        <v>628</v>
      </c>
      <c r="E53" t="s">
        <v>629</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663</v>
      </c>
      <c r="E3" t="str">
        <f>'Report-ConceptMap-1'!E3</f>
        <v>http://hl7.eu/fhir/laboratory/StructureDefinition/LabReport</v>
      </c>
    </row>
    <row r="4" spans="1:19" x14ac:dyDescent="0.75">
      <c r="B4" s="73" t="s">
        <v>19</v>
      </c>
      <c r="C4" s="54" t="s">
        <v>658</v>
      </c>
      <c r="D4" s="73" t="s">
        <v>664</v>
      </c>
      <c r="E4" s="84" t="s">
        <v>857</v>
      </c>
    </row>
    <row r="5" spans="1:19" x14ac:dyDescent="0.75">
      <c r="B5" s="73" t="s">
        <v>13</v>
      </c>
      <c r="C5" s="10" t="s">
        <v>659</v>
      </c>
      <c r="D5" s="73"/>
      <c r="E5" s="10"/>
    </row>
    <row r="6" spans="1:19" x14ac:dyDescent="0.75">
      <c r="B6" s="73" t="s">
        <v>35</v>
      </c>
      <c r="C6" s="72" t="s">
        <v>653</v>
      </c>
      <c r="D6" s="73" t="s">
        <v>660</v>
      </c>
      <c r="E6" t="s">
        <v>653</v>
      </c>
    </row>
    <row r="7" spans="1:19" x14ac:dyDescent="0.75">
      <c r="B7" s="73" t="s">
        <v>18</v>
      </c>
      <c r="C7" s="80" t="s">
        <v>656</v>
      </c>
      <c r="D7" s="73" t="s">
        <v>661</v>
      </c>
      <c r="E7" t="s">
        <v>667</v>
      </c>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798</v>
      </c>
      <c r="E17" s="9"/>
      <c r="F17" s="75" t="s">
        <v>638</v>
      </c>
      <c r="G17" s="14" t="s">
        <v>668</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799</v>
      </c>
      <c r="E18" s="9"/>
      <c r="F18" s="75" t="s">
        <v>639</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800</v>
      </c>
      <c r="E19" s="9"/>
      <c r="F19" s="75" t="s">
        <v>638</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802</v>
      </c>
      <c r="E20" s="9"/>
      <c r="F20" s="75" t="s">
        <v>637</v>
      </c>
      <c r="G20" s="82" t="s">
        <v>801</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802</v>
      </c>
      <c r="E21" s="9"/>
      <c r="F21" s="75" t="s">
        <v>637</v>
      </c>
      <c r="G21" s="82" t="s">
        <v>803</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638</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637</v>
      </c>
      <c r="G23" s="82" t="s">
        <v>896</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634</v>
      </c>
      <c r="E24" s="14"/>
      <c r="F24" s="75" t="s">
        <v>637</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649</v>
      </c>
      <c r="E25" s="14"/>
      <c r="F25" s="75" t="s">
        <v>638</v>
      </c>
      <c r="G25" s="82" t="s">
        <v>924</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669</v>
      </c>
      <c r="E26" s="14"/>
      <c r="F26" s="75" t="s">
        <v>637</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670</v>
      </c>
      <c r="E27" s="14"/>
      <c r="F27" s="75" t="s">
        <v>637</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949</v>
      </c>
      <c r="E28" s="14"/>
      <c r="F28" s="75" t="s">
        <v>638</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671</v>
      </c>
      <c r="E29" s="14"/>
      <c r="F29" s="75" t="s">
        <v>637</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898</v>
      </c>
      <c r="E30" s="14"/>
      <c r="F30" s="75" t="s">
        <v>637</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897</v>
      </c>
      <c r="E31" s="14"/>
      <c r="F31" s="75" t="s">
        <v>637</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899</v>
      </c>
      <c r="E32" s="14"/>
      <c r="F32" s="75" t="s">
        <v>637</v>
      </c>
      <c r="G32" s="75" t="s">
        <v>901</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798</v>
      </c>
      <c r="E33" s="14"/>
      <c r="F33" s="75" t="s">
        <v>638</v>
      </c>
      <c r="G33" s="14" t="s">
        <v>672</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804</v>
      </c>
      <c r="E34" s="14"/>
      <c r="F34" s="75" t="s">
        <v>638</v>
      </c>
      <c r="G34" s="75" t="s">
        <v>673</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790</v>
      </c>
      <c r="E35" s="14"/>
      <c r="F35" s="75" t="s">
        <v>638</v>
      </c>
      <c r="G35" s="75" t="s">
        <v>673</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805</v>
      </c>
      <c r="E36" s="14"/>
      <c r="F36" s="75" t="s">
        <v>638</v>
      </c>
      <c r="G36" s="75" t="s">
        <v>674</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791</v>
      </c>
      <c r="E37" s="14"/>
      <c r="F37" s="75" t="s">
        <v>638</v>
      </c>
      <c r="G37" s="75" t="s">
        <v>674</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665</v>
      </c>
    </row>
    <row r="3" spans="2:7" x14ac:dyDescent="0.75">
      <c r="B3" s="33" t="s">
        <v>37</v>
      </c>
    </row>
    <row r="4" spans="2:7" x14ac:dyDescent="0.75">
      <c r="B4" s="77" t="str">
        <f>"Instance: "&amp;'Report-ConceptMap-1'!C4</f>
        <v>Instance: labRpt2FHIR-eu-lab</v>
      </c>
    </row>
    <row r="5" spans="2:7" x14ac:dyDescent="0.75">
      <c r="B5" s="77" t="s">
        <v>641</v>
      </c>
    </row>
    <row r="6" spans="2:7" x14ac:dyDescent="0.75">
      <c r="B6" s="77" t="s">
        <v>642</v>
      </c>
    </row>
    <row r="7" spans="2:7" x14ac:dyDescent="0.75">
      <c r="B7" s="77" t="s">
        <v>652</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643</v>
      </c>
    </row>
    <row r="11" spans="2:7" x14ac:dyDescent="0.75">
      <c r="B11" s="77" t="s">
        <v>644</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932</v>
      </c>
      <c r="I6" s="26" t="str">
        <f>CONCATENATE("Title: ##34#",B6,"##34#")</f>
        <v>Title: ##34#A1.1, A1.2 - Subject of care##34#</v>
      </c>
    </row>
    <row r="7" spans="1:11" ht="15.5" thickBot="1" x14ac:dyDescent="0.9">
      <c r="A7" s="20" t="s">
        <v>5</v>
      </c>
      <c r="B7" s="21" t="s">
        <v>934</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616</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617</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618</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2" t="s">
        <v>57</v>
      </c>
      <c r="D28" s="102" t="s">
        <v>58</v>
      </c>
      <c r="E28" s="40" t="s">
        <v>59</v>
      </c>
      <c r="F28" s="105"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3"/>
      <c r="D29" s="103"/>
      <c r="E29" s="41"/>
      <c r="F29" s="106"/>
      <c r="I29" s="1" t="str">
        <f t="shared" si="2"/>
        <v xml:space="preserve"> - Preferred system(s): </v>
      </c>
    </row>
    <row r="30" spans="2:9" ht="30.25" customHeight="1" thickBot="1" x14ac:dyDescent="0.9">
      <c r="B30" t="str">
        <f t="shared" si="1"/>
        <v xml:space="preserve"> </v>
      </c>
      <c r="C30" s="104"/>
      <c r="D30" s="104"/>
      <c r="E30" s="37" t="s">
        <v>61</v>
      </c>
      <c r="F30" s="107"/>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8" t="s">
        <v>318</v>
      </c>
      <c r="D31" s="109"/>
      <c r="E31" s="109"/>
      <c r="F31" s="110"/>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873</v>
      </c>
      <c r="D3" s="73" t="s">
        <v>663</v>
      </c>
      <c r="E3" s="117" t="s">
        <v>679</v>
      </c>
      <c r="F3" s="117"/>
      <c r="G3" s="117"/>
    </row>
    <row r="4" spans="1:19" x14ac:dyDescent="0.75">
      <c r="B4" s="73" t="s">
        <v>19</v>
      </c>
      <c r="C4" s="54" t="s">
        <v>872</v>
      </c>
      <c r="D4" s="73" t="s">
        <v>664</v>
      </c>
      <c r="E4" s="118" t="s">
        <v>680</v>
      </c>
      <c r="F4" s="117"/>
      <c r="G4" s="117"/>
    </row>
    <row r="5" spans="1:19" x14ac:dyDescent="0.75">
      <c r="B5" s="73" t="s">
        <v>13</v>
      </c>
      <c r="C5" s="10" t="s">
        <v>688</v>
      </c>
      <c r="D5" s="73"/>
      <c r="E5" s="10"/>
    </row>
    <row r="6" spans="1:19" x14ac:dyDescent="0.75">
      <c r="B6" s="73" t="s">
        <v>35</v>
      </c>
      <c r="C6" s="72" t="s">
        <v>653</v>
      </c>
      <c r="D6" s="73" t="s">
        <v>660</v>
      </c>
      <c r="E6" s="117" t="s">
        <v>679</v>
      </c>
      <c r="F6" s="117"/>
      <c r="G6" s="117"/>
    </row>
    <row r="7" spans="1:19" x14ac:dyDescent="0.75">
      <c r="B7" s="73" t="s">
        <v>18</v>
      </c>
      <c r="C7" s="80" t="s">
        <v>656</v>
      </c>
      <c r="D7" s="73" t="s">
        <v>661</v>
      </c>
      <c r="E7" s="118" t="s">
        <v>680</v>
      </c>
      <c r="F7" s="117"/>
      <c r="G7" s="117"/>
    </row>
    <row r="8" spans="1:19" ht="44.25" x14ac:dyDescent="0.75">
      <c r="B8" s="73" t="s">
        <v>654</v>
      </c>
      <c r="C8" s="10" t="s">
        <v>689</v>
      </c>
      <c r="D8" s="73"/>
      <c r="E8"/>
      <c r="I8" s="14" t="s">
        <v>626</v>
      </c>
      <c r="J8" s="14" t="s">
        <v>627</v>
      </c>
      <c r="K8" s="14" t="s">
        <v>628</v>
      </c>
      <c r="L8" s="14" t="s">
        <v>629</v>
      </c>
      <c r="M8" s="9" t="s">
        <v>630</v>
      </c>
      <c r="P8" s="69" t="s">
        <v>631</v>
      </c>
      <c r="Q8" s="69">
        <v>6</v>
      </c>
    </row>
    <row r="9" spans="1:19" ht="29.5" x14ac:dyDescent="0.75">
      <c r="B9" s="73" t="s">
        <v>655</v>
      </c>
      <c r="C9" s="1" t="s">
        <v>690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638</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681</v>
      </c>
      <c r="E16" s="9"/>
      <c r="F16" s="75" t="s">
        <v>637</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682</v>
      </c>
      <c r="E17" s="9"/>
      <c r="F17" s="75" t="s">
        <v>637</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683</v>
      </c>
      <c r="E18" s="9"/>
      <c r="F18" s="75" t="s">
        <v>637</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637</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684</v>
      </c>
      <c r="E20" s="9"/>
      <c r="F20" s="75" t="s">
        <v>637</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638</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685</v>
      </c>
      <c r="E22" s="9"/>
      <c r="F22" s="75" t="s">
        <v>637</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686</v>
      </c>
      <c r="E23" s="14"/>
      <c r="F23" s="75" t="s">
        <v>637</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687</v>
      </c>
    </row>
    <row r="3" spans="2:7" x14ac:dyDescent="0.75">
      <c r="B3" s="33" t="s">
        <v>37</v>
      </c>
    </row>
    <row r="4" spans="2:7" x14ac:dyDescent="0.75">
      <c r="B4" s="77" t="str">
        <f>"Instance: "&amp;'Subj-ConceptMap-1'!C4</f>
        <v>Instance: subject2FHIR-eu-lab</v>
      </c>
    </row>
    <row r="5" spans="2:7" x14ac:dyDescent="0.75">
      <c r="B5" s="77" t="s">
        <v>641</v>
      </c>
    </row>
    <row r="6" spans="2:7" x14ac:dyDescent="0.75">
      <c r="B6" s="77" t="s">
        <v>642</v>
      </c>
    </row>
    <row r="7" spans="2:7" x14ac:dyDescent="0.75">
      <c r="B7" s="77" t="s">
        <v>652</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643</v>
      </c>
    </row>
    <row r="11" spans="2:7" x14ac:dyDescent="0.75">
      <c r="B11" s="77" t="s">
        <v>644</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944</v>
      </c>
      <c r="I6" s="26" t="str">
        <f>CONCATENATE("Title: ##34#",B6,"##34#")</f>
        <v>Title: ##34#A.1.3 - Health insurance and payment information##34#</v>
      </c>
    </row>
    <row r="7" spans="1:11" ht="15.5" customHeight="1" thickBot="1" x14ac:dyDescent="0.9">
      <c r="A7" s="20" t="s">
        <v>5</v>
      </c>
      <c r="B7" s="21" t="s">
        <v>935</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8" t="s">
        <v>325</v>
      </c>
      <c r="D23" s="109"/>
      <c r="E23" s="109"/>
      <c r="F23" s="110"/>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615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725</v>
      </c>
      <c r="D3" s="73" t="s">
        <v>663</v>
      </c>
      <c r="E3" s="118" t="s">
        <v>692</v>
      </c>
      <c r="F3" s="117"/>
      <c r="G3" s="117"/>
    </row>
    <row r="4" spans="1:19" x14ac:dyDescent="0.75">
      <c r="B4" s="73" t="s">
        <v>19</v>
      </c>
      <c r="C4" s="54" t="s">
        <v>926</v>
      </c>
      <c r="D4" s="73" t="s">
        <v>664</v>
      </c>
      <c r="E4" s="118" t="s">
        <v>857</v>
      </c>
      <c r="F4" s="117"/>
      <c r="G4" s="117"/>
    </row>
    <row r="5" spans="1:19" x14ac:dyDescent="0.75">
      <c r="B5" s="73" t="s">
        <v>13</v>
      </c>
      <c r="C5" s="10" t="s">
        <v>697</v>
      </c>
      <c r="D5" s="73"/>
      <c r="E5" s="10"/>
    </row>
    <row r="6" spans="1:19" x14ac:dyDescent="0.75">
      <c r="B6" s="73" t="s">
        <v>35</v>
      </c>
      <c r="C6" s="72" t="s">
        <v>653</v>
      </c>
      <c r="D6" s="73" t="s">
        <v>660</v>
      </c>
      <c r="E6" s="118" t="s">
        <v>692</v>
      </c>
      <c r="F6" s="117"/>
      <c r="G6" s="117"/>
    </row>
    <row r="7" spans="1:19" x14ac:dyDescent="0.75">
      <c r="B7" s="73" t="s">
        <v>18</v>
      </c>
      <c r="C7" s="80" t="s">
        <v>656</v>
      </c>
      <c r="D7" s="73" t="s">
        <v>661</v>
      </c>
      <c r="E7" s="118" t="s">
        <v>691</v>
      </c>
      <c r="F7" s="117"/>
      <c r="G7" s="117"/>
    </row>
    <row r="8" spans="1:19" ht="44.25" x14ac:dyDescent="0.75">
      <c r="B8" s="73" t="s">
        <v>654</v>
      </c>
      <c r="C8" s="10" t="s">
        <v>698</v>
      </c>
      <c r="D8" s="73"/>
      <c r="E8" s="10"/>
      <c r="I8" s="14" t="s">
        <v>626</v>
      </c>
      <c r="J8" s="14" t="s">
        <v>627</v>
      </c>
      <c r="K8" s="14" t="s">
        <v>628</v>
      </c>
      <c r="L8" s="14" t="s">
        <v>629</v>
      </c>
      <c r="M8" s="9" t="s">
        <v>630</v>
      </c>
      <c r="P8" s="69" t="s">
        <v>631</v>
      </c>
      <c r="Q8" s="69">
        <v>6</v>
      </c>
    </row>
    <row r="9" spans="1:19" ht="29.5" x14ac:dyDescent="0.75">
      <c r="B9" s="73" t="s">
        <v>655</v>
      </c>
      <c r="C9" s="1" t="s">
        <v>699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340</v>
      </c>
      <c r="E14" s="8"/>
      <c r="F14" s="9"/>
      <c r="G14" s="9" t="s">
        <v>806</v>
      </c>
      <c r="I14" s="14"/>
      <c r="J14" s="9"/>
      <c r="K14" s="9"/>
      <c r="L14" s="9"/>
      <c r="M14" s="71"/>
      <c r="N14" s="74"/>
    </row>
    <row r="15" spans="1:19" ht="44.25" x14ac:dyDescent="0.75">
      <c r="A15" s="23"/>
      <c r="B15" s="9" t="str">
        <f>'A1.3 Payer'!B8</f>
        <v>insurance</v>
      </c>
      <c r="C15" s="9" t="str">
        <f>'A1.3 Payer'!C8</f>
        <v>A.1.3.1 Health insurance information</v>
      </c>
      <c r="D15" s="14"/>
      <c r="E15" s="62"/>
      <c r="F15" s="75" t="s">
        <v>638</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807</v>
      </c>
      <c r="E16" s="9"/>
      <c r="F16" s="75" t="s">
        <v>637</v>
      </c>
      <c r="G16" s="9" t="s">
        <v>693</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808</v>
      </c>
      <c r="E17" s="9"/>
      <c r="F17" s="75" t="s">
        <v>637</v>
      </c>
      <c r="G17" s="9" t="s">
        <v>694</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809</v>
      </c>
      <c r="E18" s="9"/>
      <c r="F18" s="75" t="s">
        <v>637</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810</v>
      </c>
      <c r="E19" s="9"/>
      <c r="F19" s="75" t="s">
        <v>637</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695</v>
      </c>
      <c r="E20" s="9"/>
      <c r="F20" s="75" t="s">
        <v>637</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811</v>
      </c>
      <c r="E21" s="9"/>
      <c r="F21" s="75" t="s">
        <v>637</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663</v>
      </c>
      <c r="E3" s="119" t="str">
        <f>'Payer-ConceptMap-1'!E3</f>
        <v>http://hl7.eu/fhir/laboratory/StructureDefinition/Payer</v>
      </c>
      <c r="F3" s="120"/>
      <c r="G3" s="120"/>
    </row>
    <row r="4" spans="1:19" x14ac:dyDescent="0.75">
      <c r="B4" s="73" t="s">
        <v>19</v>
      </c>
      <c r="C4" s="54" t="str">
        <f>'Payer-ConceptMap-1'!C4</f>
        <v>payer2FHIR-eu-lab</v>
      </c>
      <c r="D4" s="73" t="s">
        <v>664</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660</v>
      </c>
      <c r="E6" s="118" t="str">
        <f>E3</f>
        <v>http://hl7.eu/fhir/laboratory/StructureDefinition/Payer</v>
      </c>
      <c r="F6" s="117"/>
      <c r="G6" s="117"/>
    </row>
    <row r="7" spans="1:19" x14ac:dyDescent="0.75">
      <c r="B7" s="73" t="s">
        <v>18</v>
      </c>
      <c r="C7" s="80" t="str">
        <f>'Payer-ConceptMap-1'!C7</f>
        <v>http://hl7.eu/fhir/laboratory</v>
      </c>
      <c r="D7" s="73" t="s">
        <v>661</v>
      </c>
      <c r="E7" s="118" t="s">
        <v>680</v>
      </c>
      <c r="F7" s="117"/>
      <c r="G7" s="117"/>
    </row>
    <row r="8" spans="1:19" ht="44.25" x14ac:dyDescent="0.75">
      <c r="B8" s="73" t="s">
        <v>654</v>
      </c>
      <c r="C8" s="10" t="str">
        <f>'Payer-ConceptMap-1'!C8</f>
        <v>eHN Payer Model to this guide Map</v>
      </c>
      <c r="D8" s="73"/>
      <c r="E8" s="10"/>
      <c r="I8" s="14" t="s">
        <v>626</v>
      </c>
      <c r="J8" s="14" t="s">
        <v>627</v>
      </c>
      <c r="K8" s="14" t="s">
        <v>628</v>
      </c>
      <c r="L8" s="14" t="s">
        <v>629</v>
      </c>
      <c r="M8" s="9" t="s">
        <v>630</v>
      </c>
      <c r="P8" s="69" t="s">
        <v>631</v>
      </c>
      <c r="Q8" s="69">
        <v>6</v>
      </c>
    </row>
    <row r="9" spans="1:19" ht="29.5" x14ac:dyDescent="0.75">
      <c r="B9" s="73" t="s">
        <v>655</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17</v>
      </c>
      <c r="E14" s="8"/>
      <c r="F14" s="75" t="s">
        <v>639</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639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44.25" x14ac:dyDescent="0.75">
      <c r="A16" s="23"/>
      <c r="B16" s="9" t="str">
        <f>'A1.3 Payer'!B9</f>
        <v>insurance.identifier</v>
      </c>
      <c r="C16" s="9" t="str">
        <f>'A1.3 Payer'!C9</f>
        <v>A.1.3.1.1 Health insurance code</v>
      </c>
      <c r="D16" s="14"/>
      <c r="E16" s="9"/>
      <c r="F16" s="75" t="s">
        <v>639</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44.25" x14ac:dyDescent="0.75">
      <c r="A17" s="23"/>
      <c r="B17" s="9" t="str">
        <f>'A1.3 Payer'!B10</f>
        <v>insurance.name</v>
      </c>
      <c r="C17" s="9" t="str">
        <f>'A1.3 Payer'!C10</f>
        <v>A.1.3.1.2 Health insurance name</v>
      </c>
      <c r="D17" s="14"/>
      <c r="E17" s="9"/>
      <c r="F17" s="75" t="s">
        <v>639</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639</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639</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639</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88.5" x14ac:dyDescent="0.75">
      <c r="A21" s="23"/>
      <c r="B21" s="9" t="str">
        <f>'A1.3 Payer'!$B$11</f>
        <v>insurance.subjectIdentifier</v>
      </c>
      <c r="C21" s="9" t="str">
        <f>'A1.3 Payer'!$C$11</f>
        <v>A.1.3.1.3 Health insurance number</v>
      </c>
      <c r="D21" s="9" t="s">
        <v>360</v>
      </c>
      <c r="E21" s="9"/>
      <c r="F21" s="75" t="s">
        <v>638</v>
      </c>
      <c r="G21" s="75" t="s">
        <v>947</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696</v>
      </c>
    </row>
    <row r="3" spans="2:7" x14ac:dyDescent="0.75">
      <c r="B3" s="33" t="s">
        <v>37</v>
      </c>
    </row>
    <row r="4" spans="2:7" x14ac:dyDescent="0.75">
      <c r="B4" s="77" t="str">
        <f>"Instance: "&amp;'Payer-ConceptMap-1'!C4</f>
        <v>Instance: payer2FHIR-eu-lab</v>
      </c>
    </row>
    <row r="5" spans="2:7" x14ac:dyDescent="0.75">
      <c r="B5" s="77" t="s">
        <v>641</v>
      </c>
    </row>
    <row r="6" spans="2:7" x14ac:dyDescent="0.75">
      <c r="B6" s="77" t="s">
        <v>642</v>
      </c>
    </row>
    <row r="7" spans="2:7" x14ac:dyDescent="0.75">
      <c r="B7" s="77" t="s">
        <v>652</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643</v>
      </c>
    </row>
    <row r="11" spans="2:7" x14ac:dyDescent="0.75">
      <c r="B11" s="77" t="s">
        <v>644</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925</v>
      </c>
      <c r="I6" s="26" t="str">
        <f>CONCATENATE("Title: ##34#",B6,"##34#")</f>
        <v>Title: ##34#A.1.4 - Information recipient##34#</v>
      </c>
    </row>
    <row r="7" spans="1:11" ht="59" x14ac:dyDescent="0.75">
      <c r="A7" s="46" t="s">
        <v>5</v>
      </c>
      <c r="B7" s="58" t="s">
        <v>936</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685</v>
      </c>
      <c r="C11" t="s">
        <v>911</v>
      </c>
      <c r="D11" s="60" t="s">
        <v>912</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916</v>
      </c>
      <c r="C12" s="9" t="s">
        <v>913</v>
      </c>
      <c r="D12" s="14" t="s">
        <v>914</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686</v>
      </c>
      <c r="C13" s="16" t="s">
        <v>915</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8" t="s">
        <v>326</v>
      </c>
      <c r="D26" s="109"/>
      <c r="E26" s="109"/>
      <c r="F26" s="110"/>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904</v>
      </c>
      <c r="D30" s="1" t="s">
        <v>64</v>
      </c>
      <c r="E30" s="1" t="s">
        <v>908</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905</v>
      </c>
      <c r="D31" t="s">
        <v>907</v>
      </c>
      <c r="E31" s="1" t="s">
        <v>909</v>
      </c>
      <c r="F31" t="s">
        <v>910</v>
      </c>
      <c r="H31" t="str">
        <f t="shared" ref="H31:H32" si="4">C31&amp;" "&amp;D31</f>
        <v>A.1.4.5 Country</v>
      </c>
      <c r="I31" s="1" t="str">
        <f t="shared" si="3"/>
        <v>Country of the recipient. - Preferred system(s): ISO 3166</v>
      </c>
    </row>
    <row r="32" spans="2:9" ht="192.5" thickBot="1" x14ac:dyDescent="0.9">
      <c r="C32" s="36" t="s">
        <v>906</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552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554</v>
      </c>
      <c r="E13" s="4" t="str">
        <f t="shared" si="0"/>
        <v>* -&gt; ##34#RelatedPerson##34#</v>
      </c>
      <c r="H13" s="10"/>
      <c r="I13" s="10"/>
      <c r="J13" s="10"/>
      <c r="K13" s="10"/>
      <c r="L13" s="10"/>
      <c r="M13" s="10"/>
      <c r="N13" s="10"/>
      <c r="O13" s="10"/>
    </row>
    <row r="14" spans="1:15" x14ac:dyDescent="0.75">
      <c r="A14" s="9"/>
      <c r="B14" s="9" t="str">
        <f>'A1.4 Recipient'!B8</f>
        <v>identifier</v>
      </c>
      <c r="C14" s="9" t="s">
        <v>553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555</v>
      </c>
      <c r="E15" s="14" t="str">
        <f t="shared" si="1"/>
        <v>* name -&gt; ##34#Organization.name##34#</v>
      </c>
      <c r="G15" s="1"/>
      <c r="H15" s="10"/>
      <c r="I15" s="10"/>
      <c r="J15" s="10"/>
      <c r="K15" s="10"/>
      <c r="L15" s="10"/>
      <c r="M15" s="10"/>
      <c r="N15" s="10"/>
      <c r="O15" s="10"/>
    </row>
    <row r="16" spans="1:15" x14ac:dyDescent="0.75">
      <c r="A16" s="9"/>
      <c r="B16" s="9" t="str">
        <f>'A1.4 Recipient'!$B$9</f>
        <v>name</v>
      </c>
      <c r="C16" s="8" t="s">
        <v>559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558</v>
      </c>
      <c r="E17" s="14" t="str">
        <f t="shared" si="1"/>
        <v>* name -&gt; ##34#Practictioner.name##34#</v>
      </c>
      <c r="G17" s="1"/>
      <c r="H17" s="10"/>
      <c r="I17" s="10"/>
      <c r="J17" s="10"/>
      <c r="K17" s="10"/>
      <c r="L17" s="10"/>
      <c r="M17" s="10"/>
      <c r="N17" s="10"/>
      <c r="O17" s="10"/>
    </row>
    <row r="18" spans="1:15" x14ac:dyDescent="0.75">
      <c r="A18" s="9"/>
      <c r="B18" s="9" t="str">
        <f>'A1.4 Recipient'!$B$9</f>
        <v>name</v>
      </c>
      <c r="C18" s="8" t="s">
        <v>556</v>
      </c>
      <c r="E18" s="14" t="str">
        <f t="shared" si="1"/>
        <v>* name -&gt; ##34#Patientn.name##34#</v>
      </c>
      <c r="G18" s="1"/>
      <c r="H18" s="10"/>
      <c r="I18" s="10"/>
      <c r="J18" s="10"/>
      <c r="K18" s="10"/>
      <c r="L18" s="10"/>
      <c r="M18" s="10"/>
      <c r="N18" s="10"/>
      <c r="O18" s="10"/>
    </row>
    <row r="19" spans="1:15" x14ac:dyDescent="0.75">
      <c r="A19" s="9"/>
      <c r="B19" s="9" t="str">
        <f>'A1.4 Recipient'!$B$9</f>
        <v>name</v>
      </c>
      <c r="C19" s="8" t="s">
        <v>557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560</v>
      </c>
      <c r="E20" s="14" t="str">
        <f t="shared" si="1"/>
        <v>* organization -&gt; ##34#PractictionerRole.organization.resolve()##34#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A15" sqref="A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726</v>
      </c>
      <c r="D3" s="73" t="s">
        <v>663</v>
      </c>
      <c r="E3" s="118" t="s">
        <v>701</v>
      </c>
      <c r="F3" s="117"/>
      <c r="G3" s="117"/>
    </row>
    <row r="4" spans="1:19" x14ac:dyDescent="0.75">
      <c r="B4" s="73" t="s">
        <v>19</v>
      </c>
      <c r="C4" s="54" t="s">
        <v>927</v>
      </c>
      <c r="D4" s="73" t="s">
        <v>664</v>
      </c>
      <c r="E4" s="84" t="s">
        <v>704</v>
      </c>
    </row>
    <row r="5" spans="1:19" x14ac:dyDescent="0.75">
      <c r="B5" s="73" t="s">
        <v>13</v>
      </c>
      <c r="C5" s="10" t="s">
        <v>700</v>
      </c>
      <c r="D5" s="73"/>
      <c r="E5" s="10"/>
    </row>
    <row r="6" spans="1:19" x14ac:dyDescent="0.75">
      <c r="B6" s="73" t="s">
        <v>35</v>
      </c>
      <c r="C6" s="72" t="s">
        <v>701</v>
      </c>
      <c r="D6" s="73" t="s">
        <v>660</v>
      </c>
      <c r="E6" s="118" t="s">
        <v>701</v>
      </c>
      <c r="F6" s="117"/>
      <c r="G6" s="117"/>
    </row>
    <row r="7" spans="1:19" x14ac:dyDescent="0.75">
      <c r="B7" s="73" t="s">
        <v>18</v>
      </c>
      <c r="C7" s="80" t="s">
        <v>656</v>
      </c>
      <c r="D7" s="73" t="s">
        <v>661</v>
      </c>
      <c r="E7" s="118" t="s">
        <v>704</v>
      </c>
      <c r="F7" s="117"/>
      <c r="G7" s="117"/>
    </row>
    <row r="8" spans="1:19" ht="44.25" x14ac:dyDescent="0.75">
      <c r="B8" s="73" t="s">
        <v>654</v>
      </c>
      <c r="C8" s="10" t="s">
        <v>702</v>
      </c>
      <c r="D8" s="73"/>
      <c r="E8"/>
      <c r="I8" s="14" t="s">
        <v>626</v>
      </c>
      <c r="J8" s="14" t="s">
        <v>627</v>
      </c>
      <c r="K8" s="14" t="s">
        <v>628</v>
      </c>
      <c r="L8" s="14" t="s">
        <v>629</v>
      </c>
      <c r="M8" s="9" t="s">
        <v>630</v>
      </c>
      <c r="P8" s="69" t="s">
        <v>631</v>
      </c>
      <c r="Q8" s="69">
        <v>6</v>
      </c>
    </row>
    <row r="9" spans="1:19" ht="29.5" x14ac:dyDescent="0.75">
      <c r="B9" s="73" t="s">
        <v>655</v>
      </c>
      <c r="C9" s="1" t="s">
        <v>703</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'A1.4 Recipient'!B5</f>
        <v>Recipient</v>
      </c>
      <c r="C14" s="9"/>
      <c r="D14" t="s">
        <v>799</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812</v>
      </c>
      <c r="E15" s="62"/>
      <c r="F15" s="75" t="s">
        <v>637</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813</v>
      </c>
      <c r="E16" s="62"/>
      <c r="F16" s="75" t="s">
        <v>637</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814</v>
      </c>
      <c r="E17" s="9"/>
      <c r="F17" s="75" t="s">
        <v>637</v>
      </c>
      <c r="G17" s="75" t="s">
        <v>917</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815</v>
      </c>
      <c r="E18" s="9"/>
      <c r="F18" s="75" t="s">
        <v>637</v>
      </c>
      <c r="G18" s="75" t="s">
        <v>918</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73.75" x14ac:dyDescent="0.75">
      <c r="A19" s="23"/>
      <c r="B19" s="9" t="str">
        <f>'A1.4 Recipient'!B11</f>
        <v>address</v>
      </c>
      <c r="C19" s="9" t="str">
        <f>'A1.4 Recipient'!C11</f>
        <v>A.1.4.4 Address</v>
      </c>
      <c r="D19" s="9" t="s">
        <v>920</v>
      </c>
      <c r="E19" s="9"/>
      <c r="F19" s="75" t="s">
        <v>638</v>
      </c>
      <c r="G19" s="75" t="s">
        <v>919</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#extension:information-recipient.ValueReference.practitioner.address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73.75" x14ac:dyDescent="0.75">
      <c r="A20" s="23"/>
      <c r="B20" s="9" t="str">
        <f>'A1.4 Recipient'!B12</f>
        <v>country</v>
      </c>
      <c r="C20" s="9" t="str">
        <f>'A1.4 Recipient'!C12</f>
        <v>A.1.4.5 Country</v>
      </c>
      <c r="D20" s="9" t="s">
        <v>922</v>
      </c>
      <c r="E20" s="9"/>
      <c r="F20" s="75" t="s">
        <v>638</v>
      </c>
      <c r="G20" s="75" t="s">
        <v>919</v>
      </c>
      <c r="H20" s="76"/>
      <c r="I20" s="14" t="str">
        <f t="shared" si="12"/>
        <v>* group[=].element[+].code = #Recipient.country</v>
      </c>
      <c r="J20" s="14" t="str">
        <f t="shared" si="13"/>
        <v>* group[=].element[=].display = ##34#A.1.4.5 Country##34#</v>
      </c>
      <c r="K20" s="14" t="str">
        <f t="shared" si="14"/>
        <v>* group[=].element[=].target.code = #extension:information-recipient.ValueReference.practitioner.country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73.75" x14ac:dyDescent="0.75">
      <c r="A21" s="23"/>
      <c r="B21" s="9" t="str">
        <f>'A1.4 Recipient'!B13</f>
        <v>telecom</v>
      </c>
      <c r="C21" s="9" t="str">
        <f>'A1.4 Recipient'!C13</f>
        <v>A.1.4.6 Telecom</v>
      </c>
      <c r="D21" s="9" t="s">
        <v>921</v>
      </c>
      <c r="E21" s="9"/>
      <c r="F21" s="75" t="s">
        <v>638</v>
      </c>
      <c r="G21" s="75" t="s">
        <v>919</v>
      </c>
      <c r="H21" s="76"/>
      <c r="I21" s="14" t="str">
        <f t="shared" si="12"/>
        <v>* group[=].element[+].code = #Recipient.telecom</v>
      </c>
      <c r="J21" s="14" t="str">
        <f t="shared" si="13"/>
        <v>* group[=].element[=].display = ##34#A.1.4.6 Telecom##34#</v>
      </c>
      <c r="K21" s="14" t="str">
        <f t="shared" si="14"/>
        <v>* group[=].element[=].target.code = #extension:information-recipient.ValueReference.practitioner.telecom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#extension:information-recipient.valueReference.name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29.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29.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44.2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ht="29.5"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#extension:information-recipient.ValueReference.practitioner.address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ht="29.5"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ht="29.5"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#extension:information-recipient.ValueReference.practitioner.country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ht="29.5"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ht="29.5"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#extension:information-recipient.ValueReference.practitioner.telecom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ht="29.5"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705</v>
      </c>
    </row>
    <row r="3" spans="2:7" x14ac:dyDescent="0.75">
      <c r="B3" s="33" t="s">
        <v>37</v>
      </c>
    </row>
    <row r="4" spans="2:7" x14ac:dyDescent="0.75">
      <c r="B4" s="77" t="str">
        <f>"Instance: "&amp;'Recipient-ConceptMap-1'!C4</f>
        <v>Instance: recipient2FHIR-eu-lab</v>
      </c>
    </row>
    <row r="5" spans="2:7" x14ac:dyDescent="0.75">
      <c r="B5" s="77" t="s">
        <v>641</v>
      </c>
    </row>
    <row r="6" spans="2:7" x14ac:dyDescent="0.75">
      <c r="B6" s="77" t="s">
        <v>642</v>
      </c>
    </row>
    <row r="7" spans="2:7" x14ac:dyDescent="0.75">
      <c r="B7" s="77" t="s">
        <v>652</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643</v>
      </c>
    </row>
    <row r="11" spans="2:7" x14ac:dyDescent="0.75">
      <c r="B11" s="77" t="s">
        <v>644</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943</v>
      </c>
      <c r="I6" s="26" t="str">
        <f>CONCATENATE("Title: ##34#",B6,"##34#")</f>
        <v>Title: ##34#A.1.5 - Author##34#</v>
      </c>
    </row>
    <row r="7" spans="1:11" ht="45" customHeight="1" x14ac:dyDescent="0.75">
      <c r="A7" s="46" t="s">
        <v>5</v>
      </c>
      <c r="B7" s="58" t="s">
        <v>937</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93</v>
      </c>
      <c r="D26" s="109"/>
      <c r="E26" s="109"/>
      <c r="F26" s="110"/>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561</v>
      </c>
      <c r="E9" s="4" t="str">
        <f>CONCATENATE("* -&gt; ##34#",C9,"##34#")</f>
        <v>* -&gt; ##34#Composition.author.resolve()##34#</v>
      </c>
      <c r="H9" s="10"/>
      <c r="I9" s="10"/>
      <c r="J9" s="10"/>
      <c r="K9" s="10"/>
      <c r="L9" s="10"/>
      <c r="M9" s="10"/>
      <c r="N9" s="10"/>
      <c r="O9" s="10"/>
    </row>
    <row r="10" spans="1:15" ht="44.25" x14ac:dyDescent="0.75">
      <c r="A10" s="9"/>
      <c r="B10" s="62" t="str">
        <f>'A1.5 Author'!$B$8</f>
        <v>identifier</v>
      </c>
      <c r="C10" s="9" t="s">
        <v>562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563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564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565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s="118" t="s">
        <v>857</v>
      </c>
      <c r="F4" s="117"/>
      <c r="G4" s="117"/>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73.75" x14ac:dyDescent="0.75">
      <c r="A15" s="23"/>
      <c r="B15" s="62" t="s">
        <v>666</v>
      </c>
      <c r="C15" s="62" t="s">
        <v>387</v>
      </c>
      <c r="D15" s="14" t="s">
        <v>796</v>
      </c>
      <c r="E15" s="62"/>
      <c r="F15" s="75" t="s">
        <v>638</v>
      </c>
      <c r="G15" s="75" t="s">
        <v>675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816</v>
      </c>
      <c r="E16" s="9"/>
      <c r="F16" s="75" t="s">
        <v>638</v>
      </c>
      <c r="G16" s="75" t="s">
        <v>675</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820</v>
      </c>
      <c r="E17" s="9"/>
      <c r="F17" s="75" t="s">
        <v>638</v>
      </c>
      <c r="G17" s="82" t="s">
        <v>817</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821</v>
      </c>
      <c r="E18" s="9"/>
      <c r="F18" s="75" t="s">
        <v>638</v>
      </c>
      <c r="G18" s="75" t="s">
        <v>818</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822</v>
      </c>
      <c r="E19" s="9"/>
      <c r="F19" s="75" t="s">
        <v>638</v>
      </c>
      <c r="G19" s="75" t="s">
        <v>819</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663</v>
      </c>
      <c r="E3" s="84" t="s">
        <v>710</v>
      </c>
    </row>
    <row r="4" spans="1:19" x14ac:dyDescent="0.75">
      <c r="B4" s="73" t="s">
        <v>19</v>
      </c>
      <c r="C4" s="54" t="s">
        <v>707</v>
      </c>
      <c r="D4" s="73" t="s">
        <v>664</v>
      </c>
      <c r="E4" t="str">
        <f>'Author-ConceptMap-1'!E4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59" x14ac:dyDescent="0.75">
      <c r="A15" s="23"/>
      <c r="B15" s="62" t="s">
        <v>666</v>
      </c>
      <c r="C15" s="62" t="s">
        <v>387</v>
      </c>
      <c r="D15" s="14" t="s">
        <v>781</v>
      </c>
      <c r="E15" s="62"/>
      <c r="F15" s="75" t="s">
        <v>638</v>
      </c>
      <c r="G15" s="75" t="s">
        <v>715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823</v>
      </c>
      <c r="E16" s="9"/>
      <c r="F16" s="75" t="s">
        <v>638</v>
      </c>
      <c r="G16" s="75" t="s">
        <v>715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825</v>
      </c>
      <c r="E17" s="9"/>
      <c r="F17" s="75" t="s">
        <v>638</v>
      </c>
      <c r="G17" s="75" t="s">
        <v>824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827</v>
      </c>
      <c r="E18" s="9"/>
      <c r="F18" s="75" t="s">
        <v>638</v>
      </c>
      <c r="G18" s="75" t="s">
        <v>826</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828</v>
      </c>
      <c r="E19" s="9"/>
      <c r="F19" s="75" t="s">
        <v>638</v>
      </c>
      <c r="G19" s="75" t="s">
        <v>712</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t="str">
        <f>'Author-ConceptMap-2'!E4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8" t="s">
        <v>667</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829</v>
      </c>
      <c r="E15" s="9"/>
      <c r="F15" s="75" t="s">
        <v>637</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831</v>
      </c>
      <c r="E16" s="9"/>
      <c r="F16" s="75" t="s">
        <v>637</v>
      </c>
      <c r="G16" s="75" t="s">
        <v>830</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834</v>
      </c>
      <c r="E17" s="9"/>
      <c r="F17" s="75" t="s">
        <v>637</v>
      </c>
      <c r="G17" s="14" t="s">
        <v>832</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835</v>
      </c>
      <c r="E18" s="9"/>
      <c r="F18" s="75" t="s">
        <v>637</v>
      </c>
      <c r="G18" s="14" t="s">
        <v>833</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713</v>
      </c>
    </row>
    <row r="3" spans="2:7" x14ac:dyDescent="0.75">
      <c r="B3" s="33" t="s">
        <v>37</v>
      </c>
    </row>
    <row r="4" spans="2:7" x14ac:dyDescent="0.75">
      <c r="B4" s="77" t="str">
        <f>"Instance: "&amp;'Author-ConceptMap-1'!C4</f>
        <v>Instance: author2FHIR-eu-lab</v>
      </c>
    </row>
    <row r="5" spans="2:7" x14ac:dyDescent="0.75">
      <c r="B5" s="77" t="s">
        <v>641</v>
      </c>
    </row>
    <row r="6" spans="2:7" x14ac:dyDescent="0.75">
      <c r="B6" s="77" t="s">
        <v>642</v>
      </c>
    </row>
    <row r="7" spans="2:7" x14ac:dyDescent="0.75">
      <c r="B7" s="77" t="s">
        <v>652</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643</v>
      </c>
    </row>
    <row r="11" spans="2:7" x14ac:dyDescent="0.75">
      <c r="B11" s="77" t="s">
        <v>644</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945</v>
      </c>
      <c r="I6" s="26" t="str">
        <f>CONCATENATE("Title: ##34#",B6,"##34#")</f>
        <v>Title: ##34#A.1.6 - Legal authenticator##34#</v>
      </c>
    </row>
    <row r="7" spans="1:11" ht="44.25" x14ac:dyDescent="0.75">
      <c r="A7" s="46" t="s">
        <v>5</v>
      </c>
      <c r="B7" s="58" t="s">
        <v>938</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102</v>
      </c>
      <c r="D26" s="109"/>
      <c r="E26" s="109"/>
      <c r="F26" s="110"/>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566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567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562</v>
      </c>
    </row>
    <row r="31" spans="1:15" x14ac:dyDescent="0.75">
      <c r="C31" s="9" t="s">
        <v>563</v>
      </c>
      <c r="E31" s="22"/>
    </row>
    <row r="32" spans="1:15" x14ac:dyDescent="0.75">
      <c r="C32" s="9" t="s">
        <v>564</v>
      </c>
    </row>
    <row r="33" spans="3:3" x14ac:dyDescent="0.75">
      <c r="C33" s="9" t="s">
        <v>565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727</v>
      </c>
      <c r="D3" s="73" t="s">
        <v>663</v>
      </c>
      <c r="E3" s="118" t="str">
        <f>"http://hl7.eu/fhir/laboratory/StructureDefinition/"&amp;'A1.6 LegalAuth'!B5</f>
        <v>http://hl7.eu/fhir/laboratory/StructureDefinition/LegalAuthenticator</v>
      </c>
      <c r="F3" s="117"/>
      <c r="G3" s="117"/>
    </row>
    <row r="4" spans="1:19" x14ac:dyDescent="0.75">
      <c r="B4" s="73" t="s">
        <v>19</v>
      </c>
      <c r="C4" s="54" t="s">
        <v>928</v>
      </c>
      <c r="D4" s="73" t="s">
        <v>664</v>
      </c>
      <c r="E4" s="118" t="s">
        <v>667</v>
      </c>
      <c r="F4" s="117"/>
      <c r="G4" s="117"/>
    </row>
    <row r="5" spans="1:19" x14ac:dyDescent="0.75">
      <c r="B5" s="73" t="s">
        <v>13</v>
      </c>
      <c r="C5" s="10" t="s">
        <v>700</v>
      </c>
      <c r="D5" s="73"/>
      <c r="E5" s="10"/>
    </row>
    <row r="6" spans="1:19" x14ac:dyDescent="0.75">
      <c r="B6" s="73" t="s">
        <v>35</v>
      </c>
      <c r="C6" s="72"/>
      <c r="D6" s="73" t="s">
        <v>660</v>
      </c>
      <c r="E6" s="118" t="str">
        <f>E3</f>
        <v>http://hl7.eu/fhir/laboratory/StructureDefinition/LegalAuthenticator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716</v>
      </c>
      <c r="D8" s="73"/>
      <c r="E8"/>
      <c r="I8" s="14" t="s">
        <v>626</v>
      </c>
      <c r="J8" s="14" t="s">
        <v>627</v>
      </c>
      <c r="K8" s="14" t="s">
        <v>628</v>
      </c>
      <c r="L8" s="14" t="s">
        <v>629</v>
      </c>
      <c r="M8" s="9" t="s">
        <v>630</v>
      </c>
      <c r="P8" s="69" t="s">
        <v>631</v>
      </c>
      <c r="Q8" s="69">
        <v>6</v>
      </c>
    </row>
    <row r="9" spans="1:19" ht="29.5" x14ac:dyDescent="0.75">
      <c r="B9" s="73" t="s">
        <v>655</v>
      </c>
      <c r="C9" s="1" t="s">
        <v>717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'A1.6 LegalAuth'!B5</f>
        <v>LegalAuthenticator</v>
      </c>
      <c r="C14" s="9"/>
      <c r="D14" t="s">
        <v>281</v>
      </c>
      <c r="E14" s="8"/>
      <c r="F14" s="9"/>
      <c r="G14" t="s">
        <v>744</v>
      </c>
      <c r="I14" s="14"/>
      <c r="J14" s="9"/>
      <c r="K14" s="9"/>
      <c r="L14" s="9"/>
      <c r="M14" s="71"/>
      <c r="N14" s="74"/>
    </row>
    <row r="15" spans="1:19" ht="73.75" x14ac:dyDescent="0.75">
      <c r="A15" s="23"/>
      <c r="B15" s="9" t="str">
        <f>'A1.6 LegalAuth'!B8</f>
        <v>identifier</v>
      </c>
      <c r="C15" s="9" t="str">
        <f>'A1.6 LegalAuth'!C8</f>
        <v>A.1.6.1 Legal authenticator identifier</v>
      </c>
      <c r="D15" s="14" t="s">
        <v>836</v>
      </c>
      <c r="E15" s="9"/>
      <c r="F15" s="75" t="s">
        <v>637</v>
      </c>
      <c r="G15" t="s">
        <v>837</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841</v>
      </c>
      <c r="E16" s="9"/>
      <c r="F16" s="75" t="s">
        <v>637</v>
      </c>
      <c r="G16" s="14" t="s">
        <v>838</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842</v>
      </c>
      <c r="E17" s="9"/>
      <c r="F17" s="75" t="s">
        <v>637</v>
      </c>
      <c r="G17" s="14" t="s">
        <v>839</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843</v>
      </c>
      <c r="E18" s="9"/>
      <c r="F18" s="75" t="s">
        <v>637</v>
      </c>
      <c r="G18" s="14" t="s">
        <v>840</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844</v>
      </c>
      <c r="E19" s="9"/>
      <c r="F19" s="75" t="s">
        <v>637</v>
      </c>
      <c r="G19" s="14" t="s">
        <v>845</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714</v>
      </c>
    </row>
    <row r="3" spans="2:7" x14ac:dyDescent="0.75">
      <c r="B3" s="33" t="s">
        <v>37</v>
      </c>
    </row>
    <row r="4" spans="2:7" x14ac:dyDescent="0.75">
      <c r="B4" s="77" t="str">
        <f>"Instance: "&amp;'LegalAuth-ConceptMap-1'!C4</f>
        <v>Instance: legalAuth2FHIR-eu-lab</v>
      </c>
    </row>
    <row r="5" spans="2:7" x14ac:dyDescent="0.75">
      <c r="B5" s="77" t="s">
        <v>641</v>
      </c>
    </row>
    <row r="6" spans="2:7" x14ac:dyDescent="0.75">
      <c r="B6" s="77" t="s">
        <v>642</v>
      </c>
    </row>
    <row r="7" spans="2:7" x14ac:dyDescent="0.75">
      <c r="B7" s="77" t="s">
        <v>652</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643</v>
      </c>
    </row>
    <row r="11" spans="2:7" x14ac:dyDescent="0.75">
      <c r="B11" s="77" t="s">
        <v>644</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946</v>
      </c>
      <c r="I6" s="26" t="str">
        <f>CONCATENATE("Title: ##34#",B6,"##34#")</f>
        <v>Title: ##34#A.1.7 - Result validator##34#</v>
      </c>
    </row>
    <row r="7" spans="1:11" x14ac:dyDescent="0.75">
      <c r="A7" s="46" t="s">
        <v>5</v>
      </c>
      <c r="B7" s="58" t="s">
        <v>939</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114</v>
      </c>
      <c r="D26" s="109"/>
      <c r="E26" s="109"/>
      <c r="F26" s="110"/>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566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567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663</v>
      </c>
      <c r="E3" s="118" t="str">
        <f>"http://hl7.eu/fhir/laboratory/StructureDefinition/"&amp;'A1.7 Validator'!B5</f>
        <v>http://hl7.eu/fhir/laboratory/StructureDefinition/Validator</v>
      </c>
      <c r="F3" s="117"/>
      <c r="G3" s="117"/>
    </row>
    <row r="4" spans="1:19" x14ac:dyDescent="0.75">
      <c r="B4" s="73" t="s">
        <v>19</v>
      </c>
      <c r="C4" s="54" t="s">
        <v>929</v>
      </c>
      <c r="D4" s="73" t="s">
        <v>664</v>
      </c>
      <c r="E4" s="118" t="s">
        <v>667</v>
      </c>
      <c r="F4" s="117"/>
      <c r="G4" s="117"/>
    </row>
    <row r="5" spans="1:19" x14ac:dyDescent="0.75">
      <c r="B5" s="73" t="s">
        <v>13</v>
      </c>
      <c r="C5" s="10" t="s">
        <v>718</v>
      </c>
      <c r="D5" s="73"/>
      <c r="E5" s="10"/>
    </row>
    <row r="6" spans="1:19" x14ac:dyDescent="0.75">
      <c r="B6" s="73" t="s">
        <v>35</v>
      </c>
      <c r="C6" s="72"/>
      <c r="D6" s="73" t="s">
        <v>660</v>
      </c>
      <c r="E6" s="118" t="str">
        <f>E3</f>
        <v>http://hl7.eu/fhir/laboratory/StructureDefinition/Validator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719</v>
      </c>
      <c r="D8" s="73"/>
      <c r="E8"/>
      <c r="I8" s="14" t="s">
        <v>626</v>
      </c>
      <c r="J8" s="14" t="s">
        <v>627</v>
      </c>
      <c r="K8" s="14" t="s">
        <v>628</v>
      </c>
      <c r="L8" s="14" t="s">
        <v>629</v>
      </c>
      <c r="M8" s="9" t="s">
        <v>630</v>
      </c>
      <c r="P8" s="69" t="s">
        <v>631</v>
      </c>
      <c r="Q8" s="69">
        <v>6</v>
      </c>
    </row>
    <row r="9" spans="1:19" ht="29.5" x14ac:dyDescent="0.75">
      <c r="B9" s="73" t="s">
        <v>655</v>
      </c>
      <c r="C9" s="1" t="s">
        <v>720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'A1.7 Validator'!B5</f>
        <v>Validator</v>
      </c>
      <c r="C14" s="9"/>
      <c r="D14" t="s">
        <v>746</v>
      </c>
      <c r="E14" s="8"/>
      <c r="F14" s="9"/>
      <c r="G14" t="s">
        <v>746</v>
      </c>
      <c r="I14" s="14"/>
      <c r="J14" s="9"/>
      <c r="K14" s="9"/>
      <c r="L14" s="9"/>
      <c r="M14" s="71"/>
      <c r="N14" s="74"/>
    </row>
    <row r="15" spans="1:19" ht="88.5" x14ac:dyDescent="0.75">
      <c r="A15" s="23"/>
      <c r="B15" s="9" t="str">
        <f>'A1.7 Validator'!B8</f>
        <v>identifier</v>
      </c>
      <c r="C15" s="9" t="str">
        <f>'A1.7 Validator'!C8</f>
        <v>A.1.7.1 Result validator identifier</v>
      </c>
      <c r="D15" s="14" t="s">
        <v>747</v>
      </c>
      <c r="E15" s="14" t="s">
        <v>836</v>
      </c>
      <c r="F15" s="75" t="s">
        <v>637</v>
      </c>
      <c r="G15" t="s">
        <v>846</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748</v>
      </c>
      <c r="E16" s="14" t="s">
        <v>841</v>
      </c>
      <c r="F16" s="75" t="s">
        <v>637</v>
      </c>
      <c r="G16" s="14" t="s">
        <v>847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749</v>
      </c>
      <c r="E17" s="14" t="s">
        <v>842</v>
      </c>
      <c r="F17" s="75" t="s">
        <v>637</v>
      </c>
      <c r="G17" s="14" t="s">
        <v>848</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750</v>
      </c>
      <c r="E18" s="14" t="s">
        <v>843</v>
      </c>
      <c r="F18" s="75" t="s">
        <v>637</v>
      </c>
      <c r="G18" s="14" t="s">
        <v>849</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745</v>
      </c>
      <c r="E19" s="9" t="s">
        <v>844</v>
      </c>
      <c r="F19" s="75" t="s">
        <v>637</v>
      </c>
      <c r="G19" s="14" t="s">
        <v>850</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721</v>
      </c>
    </row>
    <row r="3" spans="2:7" x14ac:dyDescent="0.75">
      <c r="B3" s="33" t="s">
        <v>37</v>
      </c>
    </row>
    <row r="4" spans="2:7" x14ac:dyDescent="0.75">
      <c r="B4" s="77" t="str">
        <f>"Instance: "&amp;'Validator-ConceptMap-1'!C4</f>
        <v>Instance: validator2FHIR-eu-lab</v>
      </c>
    </row>
    <row r="5" spans="2:7" x14ac:dyDescent="0.75">
      <c r="B5" s="77" t="s">
        <v>641</v>
      </c>
    </row>
    <row r="6" spans="2:7" x14ac:dyDescent="0.75">
      <c r="B6" s="77" t="s">
        <v>642</v>
      </c>
    </row>
    <row r="7" spans="2:7" x14ac:dyDescent="0.75">
      <c r="B7" s="77" t="s">
        <v>652</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643</v>
      </c>
    </row>
    <row r="11" spans="2:7" x14ac:dyDescent="0.75">
      <c r="B11" s="77" t="s">
        <v>644</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722</v>
      </c>
      <c r="I6" s="26" t="str">
        <f>CONCATENATE("Title: ##34#",B6,"##34#")</f>
        <v>Title: ##34#A2, A3 - Order##34#</v>
      </c>
    </row>
    <row r="7" spans="1:11" x14ac:dyDescent="0.75">
      <c r="A7" s="46" t="s">
        <v>5</v>
      </c>
      <c r="B7" s="19" t="s">
        <v>940</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2" t="s">
        <v>163</v>
      </c>
      <c r="D34" s="102" t="s">
        <v>164</v>
      </c>
      <c r="E34" s="102"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3"/>
      <c r="D35" s="103"/>
      <c r="E35" s="103"/>
      <c r="F35" s="43" t="s">
        <v>167</v>
      </c>
      <c r="I35" s="1" t="str">
        <f t="shared" si="2"/>
        <v xml:space="preserve"> - Preferred system(s): SNOMED CT</v>
      </c>
    </row>
    <row r="36" spans="2:9" ht="32.75" thickBot="1" x14ac:dyDescent="0.9">
      <c r="C36" s="104"/>
      <c r="D36" s="104"/>
      <c r="E36" s="104"/>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574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575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576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577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578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582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579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583</v>
      </c>
      <c r="E20" s="14" t="str">
        <f t="shared" si="0"/>
        <v>* reason -&gt; ##34#ServiceRequest.reasonCode##34#</v>
      </c>
    </row>
    <row r="21" spans="1:15" x14ac:dyDescent="0.75">
      <c r="A21" s="9"/>
      <c r="B21" s="9" t="str">
        <f>'A2 Order'!B16</f>
        <v>reason.code</v>
      </c>
      <c r="C21" s="9" t="s">
        <v>583</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728</v>
      </c>
      <c r="D3" s="73" t="s">
        <v>663</v>
      </c>
      <c r="E3" t="str">
        <f>"http://hl7.eu/fhir/laboratory/StructureDefinition/"&amp;'A2 Order'!B5</f>
        <v>http://hl7.eu/fhir/laboratory/StructureDefinition/Order</v>
      </c>
    </row>
    <row r="4" spans="1:19" x14ac:dyDescent="0.75">
      <c r="B4" s="73" t="s">
        <v>19</v>
      </c>
      <c r="C4" s="54" t="s">
        <v>930</v>
      </c>
      <c r="D4" s="73" t="s">
        <v>664</v>
      </c>
      <c r="E4" s="117" t="s">
        <v>691</v>
      </c>
      <c r="F4" s="117"/>
      <c r="G4" s="117"/>
    </row>
    <row r="5" spans="1:19" x14ac:dyDescent="0.75">
      <c r="B5" s="73" t="s">
        <v>13</v>
      </c>
      <c r="C5" s="10" t="s">
        <v>729</v>
      </c>
      <c r="D5" s="73"/>
      <c r="E5" s="10"/>
    </row>
    <row r="6" spans="1:19" x14ac:dyDescent="0.75">
      <c r="B6" s="73" t="s">
        <v>35</v>
      </c>
      <c r="C6" s="72" t="s">
        <v>653</v>
      </c>
      <c r="D6" s="73" t="s">
        <v>660</v>
      </c>
      <c r="E6" s="117" t="str">
        <f>E3</f>
        <v>http://hl7.eu/fhir/laboratory/StructureDefinition/Order</v>
      </c>
      <c r="F6" s="117"/>
      <c r="G6" s="117"/>
    </row>
    <row r="7" spans="1:19" x14ac:dyDescent="0.75">
      <c r="B7" s="73" t="s">
        <v>18</v>
      </c>
      <c r="C7" s="80" t="s">
        <v>656</v>
      </c>
      <c r="D7" s="73" t="s">
        <v>661</v>
      </c>
      <c r="E7" s="117" t="s">
        <v>691</v>
      </c>
      <c r="F7" s="117"/>
      <c r="G7" s="117"/>
    </row>
    <row r="8" spans="1:19" ht="44.25" x14ac:dyDescent="0.75">
      <c r="B8" s="73" t="s">
        <v>654</v>
      </c>
      <c r="C8" s="10" t="s">
        <v>729</v>
      </c>
      <c r="D8" s="73"/>
      <c r="E8" s="10"/>
      <c r="I8" s="14" t="s">
        <v>626</v>
      </c>
      <c r="J8" s="14" t="s">
        <v>627</v>
      </c>
      <c r="K8" s="14" t="s">
        <v>628</v>
      </c>
      <c r="L8" s="14" t="s">
        <v>629</v>
      </c>
      <c r="M8" s="9" t="s">
        <v>630</v>
      </c>
      <c r="P8" s="69" t="s">
        <v>631</v>
      </c>
      <c r="Q8" s="69">
        <v>6</v>
      </c>
    </row>
    <row r="9" spans="1:19" ht="29.5" x14ac:dyDescent="0.75">
      <c r="B9" s="73" t="s">
        <v>655</v>
      </c>
      <c r="C9" s="1" t="s">
        <v>730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'A2 Order'!B5</f>
        <v>Order</v>
      </c>
      <c r="C14" s="9"/>
      <c r="D14" s="4" t="s">
        <v>732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638</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638</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733</v>
      </c>
      <c r="E17" s="9"/>
      <c r="F17" s="75" t="s">
        <v>638</v>
      </c>
      <c r="G17" s="75" t="s">
        <v>734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735</v>
      </c>
      <c r="E18" s="9"/>
      <c r="F18" s="75" t="s">
        <v>637</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851</v>
      </c>
      <c r="E19" s="9"/>
      <c r="F19" s="75" t="s">
        <v>638</v>
      </c>
      <c r="G19" s="75" t="s">
        <v>734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852</v>
      </c>
      <c r="E20" s="9"/>
      <c r="F20" s="75" t="s">
        <v>638</v>
      </c>
      <c r="G20" s="14" t="s">
        <v>736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855</v>
      </c>
      <c r="E21" s="9"/>
      <c r="F21" s="75" t="s">
        <v>638</v>
      </c>
      <c r="G21" s="14" t="s">
        <v>737</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853</v>
      </c>
      <c r="E22" s="9"/>
      <c r="F22" s="75" t="s">
        <v>638</v>
      </c>
      <c r="G22" s="14" t="s">
        <v>740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854</v>
      </c>
      <c r="E23" s="9"/>
      <c r="F23" s="75" t="s">
        <v>638</v>
      </c>
      <c r="G23" s="14" t="s">
        <v>741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853</v>
      </c>
      <c r="E24" s="9"/>
      <c r="F24" s="75" t="s">
        <v>638</v>
      </c>
      <c r="G24" s="14" t="s">
        <v>739</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856</v>
      </c>
      <c r="E25" s="9"/>
      <c r="F25" s="75" t="s">
        <v>637</v>
      </c>
      <c r="G25" s="14" t="s">
        <v>738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742</v>
      </c>
      <c r="E26" s="9"/>
      <c r="F26" s="75" t="s">
        <v>638</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743</v>
      </c>
      <c r="E27" s="9"/>
      <c r="F27" s="75" t="s">
        <v>638</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742</v>
      </c>
      <c r="E28" s="14"/>
      <c r="F28" s="75" t="s">
        <v>637</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723</v>
      </c>
    </row>
    <row r="3" spans="2:7" x14ac:dyDescent="0.75">
      <c r="B3" s="33" t="s">
        <v>37</v>
      </c>
    </row>
    <row r="4" spans="2:7" x14ac:dyDescent="0.75">
      <c r="B4" s="77" t="str">
        <f>"Instance: "&amp;'Order-ConceptMap-1'!C4</f>
        <v>Instance: order2FHIR-eu-lab</v>
      </c>
    </row>
    <row r="5" spans="2:7" x14ac:dyDescent="0.75">
      <c r="B5" s="77" t="s">
        <v>641</v>
      </c>
    </row>
    <row r="6" spans="2:7" x14ac:dyDescent="0.75">
      <c r="B6" s="77" t="s">
        <v>642</v>
      </c>
    </row>
    <row r="7" spans="2:7" x14ac:dyDescent="0.75">
      <c r="B7" s="77" t="s">
        <v>652</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643</v>
      </c>
    </row>
    <row r="11" spans="2:7" x14ac:dyDescent="0.75">
      <c r="B11" s="77" t="s">
        <v>644</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875</v>
      </c>
      <c r="I6" s="26" t="str">
        <f>CONCATENATE("Title: ##34#",B6,"##34#")</f>
        <v>Title: ##34#A.4 - Specimen information##34#</v>
      </c>
    </row>
    <row r="7" spans="1:11" x14ac:dyDescent="0.75">
      <c r="A7" s="46" t="s">
        <v>5</v>
      </c>
      <c r="B7" s="19" t="s">
        <v>941</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759</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2" t="s">
        <v>188</v>
      </c>
      <c r="D33" s="105" t="s">
        <v>189</v>
      </c>
      <c r="E33" s="102"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3"/>
      <c r="D34" s="106"/>
      <c r="E34" s="103"/>
      <c r="F34" s="41"/>
      <c r="I34" s="1" t="str">
        <f t="shared" si="2"/>
        <v xml:space="preserve"> - Preferred system(s): </v>
      </c>
    </row>
    <row r="35" spans="2:9" ht="16.75" thickBot="1" x14ac:dyDescent="0.9">
      <c r="B35" t="str">
        <f t="shared" si="1"/>
        <v xml:space="preserve"> </v>
      </c>
      <c r="C35" s="104"/>
      <c r="D35" s="107"/>
      <c r="E35" s="104"/>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584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585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586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587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588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589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590</v>
      </c>
      <c r="E17" s="14" t="str">
        <f t="shared" si="1"/>
        <v>* collectionMethod -&gt; ##34#Specimen.collection.method##34#</v>
      </c>
      <c r="G17" s="1" t="s">
        <v>32</v>
      </c>
    </row>
    <row r="18" spans="1:7" x14ac:dyDescent="0.75">
      <c r="A18" s="9">
        <v>9</v>
      </c>
      <c r="B18" s="9" t="str">
        <f>'A.4 Specimen'!B16</f>
        <v>receivedDateTime</v>
      </c>
      <c r="C18" s="9" t="s">
        <v>591</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topLeftCell="M50" workbookViewId="0">
      <selection activeCell="P22" sqref="P22:S8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663</v>
      </c>
      <c r="E3" s="84" t="str">
        <f>"http://hl7.eu/fhir/laboratory/StructureDefinition/"&amp;'A.4 Specimen'!B5</f>
        <v>http://hl7.eu/fhir/laboratory/StructureDefinition/SpecimenLab</v>
      </c>
    </row>
    <row r="4" spans="1:19" x14ac:dyDescent="0.75">
      <c r="B4" s="73" t="s">
        <v>19</v>
      </c>
      <c r="C4" s="54" t="s">
        <v>931</v>
      </c>
      <c r="D4" s="73" t="s">
        <v>664</v>
      </c>
      <c r="E4" s="118" t="s">
        <v>877</v>
      </c>
      <c r="F4" s="117"/>
      <c r="G4" s="117"/>
    </row>
    <row r="5" spans="1:19" x14ac:dyDescent="0.75">
      <c r="B5" s="73" t="s">
        <v>13</v>
      </c>
      <c r="C5" s="10" t="s">
        <v>752</v>
      </c>
      <c r="D5" s="73"/>
      <c r="E5" s="10"/>
    </row>
    <row r="6" spans="1:19" x14ac:dyDescent="0.75">
      <c r="B6" s="73" t="s">
        <v>35</v>
      </c>
      <c r="C6" s="72"/>
      <c r="D6" s="73" t="s">
        <v>660</v>
      </c>
      <c r="E6" s="118" t="str">
        <f>E3</f>
        <v>http://hl7.eu/fhir/laboratory/StructureDefinition/SpecimenLab</v>
      </c>
      <c r="F6" s="117"/>
      <c r="G6" s="117"/>
    </row>
    <row r="7" spans="1:19" x14ac:dyDescent="0.75">
      <c r="B7" s="73" t="s">
        <v>18</v>
      </c>
      <c r="C7" s="80"/>
      <c r="D7" s="73" t="s">
        <v>661</v>
      </c>
      <c r="E7" s="118" t="s">
        <v>877</v>
      </c>
      <c r="F7" s="117"/>
      <c r="G7" s="117"/>
    </row>
    <row r="8" spans="1:19" ht="44.25" x14ac:dyDescent="0.75">
      <c r="B8" s="73" t="s">
        <v>654</v>
      </c>
      <c r="C8" s="53" t="s">
        <v>753</v>
      </c>
      <c r="D8" s="73"/>
      <c r="E8" s="10"/>
      <c r="I8" s="14" t="s">
        <v>626</v>
      </c>
      <c r="J8" s="14" t="s">
        <v>627</v>
      </c>
      <c r="K8" s="14" t="s">
        <v>628</v>
      </c>
      <c r="L8" s="14" t="s">
        <v>629</v>
      </c>
      <c r="M8" s="9" t="s">
        <v>630</v>
      </c>
      <c r="P8" s="69" t="s">
        <v>631</v>
      </c>
      <c r="Q8" s="69">
        <v>6</v>
      </c>
    </row>
    <row r="9" spans="1:19" ht="29.5" x14ac:dyDescent="0.75">
      <c r="B9" s="73" t="s">
        <v>655</v>
      </c>
      <c r="C9" s="14" t="s">
        <v>754</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'A.4 Specimen'!B5</f>
        <v>SpecimenLab</v>
      </c>
      <c r="C14" s="9"/>
      <c r="D14" s="4" t="s">
        <v>755</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637</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25"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876</v>
      </c>
      <c r="E16" s="9"/>
      <c r="F16" s="75" t="s">
        <v>638</v>
      </c>
      <c r="G16" s="75" t="s">
        <v>948</v>
      </c>
      <c r="H16" s="76"/>
      <c r="I16" s="14" t="str">
        <f t="shared" ref="I16:I25" si="7">"* group[=].element[+].code = #"&amp;$B$14&amp;"."&amp;B16</f>
        <v>* group[=].element[+].code = #SpecimenLab.speciesType</v>
      </c>
      <c r="J16" s="14" t="str">
        <f t="shared" ref="J16:J25" si="8">"* group[=].element[=].display = ##34#"&amp;C16&amp;"##34#"</f>
        <v>* group[=].element[=].display = ##34#A.4.2 Type of species##34#</v>
      </c>
      <c r="K16" s="14" t="str">
        <f t="shared" ref="K16:K25" si="9">IF(F16="unmatched","//-- unmatched","* group[=].element[=].target.code = #"&amp;$D$14&amp;"."&amp;D16)</f>
        <v>* group[=].element[=].target.code = #Specimen.subject.extension:patient-animal.extension:species</v>
      </c>
      <c r="L16" s="14" t="str">
        <f t="shared" ref="L16:L25" si="10">IF(F16="unmatched","//-- unmatched","* group[=].element[=].target.display = ##34#"&amp;E16&amp;"##34#")</f>
        <v>* group[=].element[=].target.display = ##34###34#</v>
      </c>
      <c r="M16" s="14" t="str">
        <f t="shared" ref="M16:M25"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756</v>
      </c>
      <c r="E17" s="9"/>
      <c r="F17" s="75" t="s">
        <v>637</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758</v>
      </c>
      <c r="E18" s="9"/>
      <c r="F18" s="75" t="s">
        <v>637</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760</v>
      </c>
      <c r="E19" s="9"/>
      <c r="F19" s="75" t="s">
        <v>638</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959</v>
      </c>
      <c r="E20" s="9"/>
      <c r="F20" s="75" t="s">
        <v>638</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958</v>
      </c>
      <c r="E21" s="14"/>
      <c r="F21" s="75" t="s">
        <v>638</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647</v>
      </c>
      <c r="E22" s="9"/>
      <c r="F22" s="75" t="s">
        <v>638</v>
      </c>
      <c r="G22" s="96" t="s">
        <v>956</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761</v>
      </c>
      <c r="E23" s="9"/>
      <c r="F23" s="75" t="s">
        <v>638</v>
      </c>
      <c r="G23" s="96" t="s">
        <v>957</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761</v>
      </c>
      <c r="E24" s="9"/>
      <c r="F24" s="75" t="s">
        <v>637</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762</v>
      </c>
      <c r="E25" s="9"/>
      <c r="F25" s="75" t="s">
        <v>637</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tabSelected="1"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763</v>
      </c>
    </row>
    <row r="3" spans="2:7" x14ac:dyDescent="0.75">
      <c r="B3" s="33" t="s">
        <v>37</v>
      </c>
    </row>
    <row r="4" spans="2:7" x14ac:dyDescent="0.75">
      <c r="B4" s="77" t="str">
        <f>"Instance: "&amp;'Specimen-ConceptMap-1'!C4</f>
        <v>Instance: specimen2FHIR-eu-lab</v>
      </c>
    </row>
    <row r="5" spans="2:7" x14ac:dyDescent="0.75">
      <c r="B5" s="77" t="s">
        <v>641</v>
      </c>
    </row>
    <row r="6" spans="2:7" x14ac:dyDescent="0.75">
      <c r="B6" s="77" t="s">
        <v>642</v>
      </c>
    </row>
    <row r="7" spans="2:7" x14ac:dyDescent="0.75">
      <c r="B7" s="77" t="s">
        <v>652</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643</v>
      </c>
    </row>
    <row r="11" spans="2:7" x14ac:dyDescent="0.75">
      <c r="B11" s="77" t="s">
        <v>644</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874</v>
      </c>
      <c r="I6" s="26" t="str">
        <f>CONCATENATE("Title: ##34#",B6,"##34#")</f>
        <v>Title: ##34#A.5 - Results data elements##34#</v>
      </c>
    </row>
    <row r="7" spans="1:11" x14ac:dyDescent="0.75">
      <c r="A7" s="46" t="s">
        <v>5</v>
      </c>
      <c r="B7" s="14" t="s">
        <v>942</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593</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8" t="s">
        <v>198</v>
      </c>
      <c r="D36" s="109"/>
      <c r="E36" s="109"/>
      <c r="F36" s="110"/>
    </row>
    <row r="37" spans="2:9" ht="16.75" thickBot="1" x14ac:dyDescent="0.9">
      <c r="B37" t="str">
        <f t="shared" si="1"/>
        <v xml:space="preserve">A.5.1 Laboratory report narrative  </v>
      </c>
      <c r="C37" s="108" t="s">
        <v>535</v>
      </c>
      <c r="D37" s="109"/>
      <c r="E37" s="109"/>
      <c r="F37" s="110"/>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8" t="s">
        <v>537</v>
      </c>
      <c r="D40" s="109"/>
      <c r="E40" s="109"/>
      <c r="F40" s="110"/>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2" t="s">
        <v>210</v>
      </c>
      <c r="D42" s="105" t="s">
        <v>211</v>
      </c>
      <c r="E42" s="102" t="s">
        <v>212</v>
      </c>
      <c r="F42" s="43" t="s">
        <v>130</v>
      </c>
      <c r="I42" s="1" t="str">
        <f t="shared" si="2"/>
        <v>Code representing the observation using the agreed code systems. - Preferred system(s): LOINC</v>
      </c>
    </row>
    <row r="43" spans="2:9" ht="16" x14ac:dyDescent="0.75">
      <c r="B43" t="str">
        <f t="shared" si="1"/>
        <v xml:space="preserve"> </v>
      </c>
      <c r="C43" s="103"/>
      <c r="D43" s="106"/>
      <c r="E43" s="103"/>
      <c r="F43" s="43" t="s">
        <v>213</v>
      </c>
      <c r="I43" s="1" t="str">
        <f t="shared" si="2"/>
        <v xml:space="preserve"> - Preferred system(s): NPU</v>
      </c>
    </row>
    <row r="44" spans="2:9" ht="32.75" thickBot="1" x14ac:dyDescent="0.9">
      <c r="B44" t="str">
        <f t="shared" si="1"/>
        <v xml:space="preserve"> </v>
      </c>
      <c r="C44" s="104"/>
      <c r="D44" s="107"/>
      <c r="E44" s="104"/>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2" t="s">
        <v>226</v>
      </c>
      <c r="D49" s="105" t="s">
        <v>227</v>
      </c>
      <c r="E49" s="102"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3"/>
      <c r="D50" s="106"/>
      <c r="E50" s="103"/>
      <c r="F50" s="41"/>
      <c r="I50" s="1" t="str">
        <f t="shared" si="2"/>
        <v xml:space="preserve"> - Preferred system(s): </v>
      </c>
    </row>
    <row r="51" spans="2:9" ht="16.75" thickBot="1" x14ac:dyDescent="0.9">
      <c r="B51" t="str">
        <f t="shared" si="1"/>
        <v xml:space="preserve"> </v>
      </c>
      <c r="C51" s="104"/>
      <c r="D51" s="107"/>
      <c r="E51" s="104"/>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2" t="s">
        <v>238</v>
      </c>
      <c r="D55" s="105" t="s">
        <v>239</v>
      </c>
      <c r="E55" s="102"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3"/>
      <c r="D56" s="106"/>
      <c r="E56" s="103"/>
      <c r="F56" s="44"/>
      <c r="I56" s="1" t="str">
        <f t="shared" si="2"/>
        <v xml:space="preserve"> - Preferred system(s): </v>
      </c>
    </row>
    <row r="57" spans="2:9" ht="48.75" thickBot="1" x14ac:dyDescent="0.9">
      <c r="B57" t="str">
        <f t="shared" si="1"/>
        <v xml:space="preserve"> </v>
      </c>
      <c r="C57" s="104"/>
      <c r="D57" s="107"/>
      <c r="E57" s="104"/>
      <c r="F57" s="39" t="s">
        <v>242</v>
      </c>
      <c r="I57" s="1" t="str">
        <f t="shared" si="2"/>
        <v xml:space="preserve"> - Preferred system(s): UCUM (for units)</v>
      </c>
    </row>
    <row r="58" spans="2:9" ht="32" x14ac:dyDescent="0.75">
      <c r="B58" t="str">
        <f t="shared" si="1"/>
        <v>A.5.2.12 Observation interpretation</v>
      </c>
      <c r="C58" s="102" t="s">
        <v>243</v>
      </c>
      <c r="D58" s="105" t="s">
        <v>244</v>
      </c>
      <c r="E58" s="102" t="s">
        <v>245</v>
      </c>
      <c r="F58" s="43" t="s">
        <v>167</v>
      </c>
      <c r="I58" s="1" t="str">
        <f t="shared" si="2"/>
        <v>Information about reference intervals and result interpretation. - Preferred system(s): SNOMED CT</v>
      </c>
    </row>
    <row r="59" spans="2:9" x14ac:dyDescent="0.75">
      <c r="B59" t="str">
        <f t="shared" si="1"/>
        <v xml:space="preserve"> </v>
      </c>
      <c r="C59" s="103"/>
      <c r="D59" s="106"/>
      <c r="E59" s="103"/>
      <c r="F59" s="41"/>
      <c r="I59" s="1" t="str">
        <f t="shared" si="2"/>
        <v xml:space="preserve"> - Preferred system(s): </v>
      </c>
    </row>
    <row r="60" spans="2:9" ht="112.75" thickBot="1" x14ac:dyDescent="0.9">
      <c r="B60" t="str">
        <f t="shared" si="1"/>
        <v xml:space="preserve"> </v>
      </c>
      <c r="C60" s="104"/>
      <c r="D60" s="107"/>
      <c r="E60" s="104"/>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592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595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594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596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595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594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596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597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592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598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599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602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603</v>
      </c>
      <c r="E23" s="14" t="str">
        <f t="shared" si="0"/>
        <v>* observation.code.originalName -&gt; ##34#Observation.code.text##34#</v>
      </c>
      <c r="G23" s="1" t="s">
        <v>32</v>
      </c>
    </row>
    <row r="24" spans="1:15" ht="29.5" x14ac:dyDescent="0.75">
      <c r="A24" s="9">
        <v>9</v>
      </c>
      <c r="B24" s="9" t="str">
        <f>'A.5 Results'!B16</f>
        <v>observation.code.displayName</v>
      </c>
      <c r="C24" s="67" t="s">
        <v>604</v>
      </c>
      <c r="E24" s="14" t="str">
        <f t="shared" si="0"/>
        <v>* observation.code.displayName -&gt; ##34#Observation.code.coding.display.extension('translation') (TBD)##34#</v>
      </c>
      <c r="G24" s="1" t="s">
        <v>33</v>
      </c>
    </row>
    <row r="25" spans="1:15" x14ac:dyDescent="0.75">
      <c r="A25" s="9">
        <v>10</v>
      </c>
      <c r="B25" s="9" t="str">
        <f>'A.5 Results'!B17</f>
        <v>observation.method</v>
      </c>
      <c r="C25" s="9" t="s">
        <v>605</v>
      </c>
      <c r="E25" s="14" t="str">
        <f t="shared" si="0"/>
        <v>* observation.method -&gt; ##34#Observation.method##34#</v>
      </c>
    </row>
    <row r="26" spans="1:15" x14ac:dyDescent="0.75">
      <c r="A26" s="9"/>
      <c r="B26" s="9" t="str">
        <f>'A.5 Results'!B18</f>
        <v>observation.device</v>
      </c>
      <c r="C26" s="9" t="s">
        <v>606</v>
      </c>
      <c r="E26" s="14" t="str">
        <f t="shared" si="0"/>
        <v>* observation.device -&gt; ##34#Observation.device.resolve()##34#</v>
      </c>
    </row>
    <row r="27" spans="1:15" ht="29.5" x14ac:dyDescent="0.75">
      <c r="B27" s="9" t="str">
        <f>'A.5 Results'!B19</f>
        <v>observation.order</v>
      </c>
      <c r="C27" s="9" t="s">
        <v>607</v>
      </c>
      <c r="E27" s="14" t="str">
        <f t="shared" si="0"/>
        <v>* observation.order -&gt; ##34#Observation.basedOn.resolve().ofType(ServiceRequest)##34#</v>
      </c>
    </row>
    <row r="28" spans="1:15" x14ac:dyDescent="0.75">
      <c r="B28" s="9" t="str">
        <f>'A.5 Results'!B20</f>
        <v>observation.performer</v>
      </c>
      <c r="C28" s="9" t="s">
        <v>608</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609</v>
      </c>
      <c r="E30" s="14" t="str">
        <f t="shared" si="0"/>
        <v>* observation.result -&gt; ##34#Observation.value[x]##34#</v>
      </c>
    </row>
    <row r="31" spans="1:15" x14ac:dyDescent="0.75">
      <c r="B31" s="9" t="str">
        <f>'A.5 Results'!B23</f>
        <v>observation.interpretation</v>
      </c>
      <c r="C31" s="9" t="s">
        <v>610</v>
      </c>
      <c r="E31" s="14" t="str">
        <f t="shared" si="0"/>
        <v>* observation.interpretation -&gt; ##34#Observation.interpretation##34#</v>
      </c>
    </row>
    <row r="32" spans="1:15" x14ac:dyDescent="0.75">
      <c r="B32" s="62" t="str">
        <f>'A.5 Results'!$B$24</f>
        <v>observation.description</v>
      </c>
      <c r="C32" s="9" t="s">
        <v>611</v>
      </c>
      <c r="E32" s="14" t="str">
        <f t="shared" si="0"/>
        <v>* observation.description -&gt; ##34#Observation.text##34#</v>
      </c>
    </row>
    <row r="33" spans="2:5" x14ac:dyDescent="0.75">
      <c r="B33" s="62" t="str">
        <f>'A.5 Results'!$B$24</f>
        <v>observation.description</v>
      </c>
      <c r="C33" s="9" t="s">
        <v>612</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869</v>
      </c>
      <c r="D3" s="73" t="s">
        <v>663</v>
      </c>
      <c r="E3" s="84" t="str">
        <f>"http://hl7.eu/fhir/laboratory/StructureDefinition/"&amp;'A.5 Results'!B5</f>
        <v>http://hl7.eu/fhir/laboratory/StructureDefinition/Result</v>
      </c>
    </row>
    <row r="4" spans="1:19" x14ac:dyDescent="0.75">
      <c r="B4" s="73" t="s">
        <v>19</v>
      </c>
      <c r="C4" s="54" t="s">
        <v>870</v>
      </c>
      <c r="D4" s="73" t="s">
        <v>664</v>
      </c>
      <c r="E4" s="118" t="s">
        <v>857</v>
      </c>
      <c r="F4" s="117"/>
      <c r="G4" s="117"/>
    </row>
    <row r="5" spans="1:19" x14ac:dyDescent="0.75">
      <c r="B5" s="73" t="s">
        <v>13</v>
      </c>
      <c r="C5" s="10" t="s">
        <v>765</v>
      </c>
      <c r="D5" s="73"/>
      <c r="E5"/>
    </row>
    <row r="6" spans="1:19" x14ac:dyDescent="0.75">
      <c r="B6" s="73" t="s">
        <v>35</v>
      </c>
      <c r="C6" s="72"/>
      <c r="D6" s="73" t="s">
        <v>660</v>
      </c>
      <c r="E6" s="118" t="str">
        <f>E3</f>
        <v>http://hl7.eu/fhir/laboratory/StructureDefinition/Result</v>
      </c>
      <c r="F6" s="117"/>
      <c r="G6" s="117"/>
    </row>
    <row r="7" spans="1:19" x14ac:dyDescent="0.75">
      <c r="B7" s="73" t="s">
        <v>18</v>
      </c>
      <c r="C7" s="80"/>
      <c r="D7" s="73" t="s">
        <v>661</v>
      </c>
      <c r="E7" s="118" t="s">
        <v>662</v>
      </c>
      <c r="F7" s="117"/>
      <c r="G7" s="117"/>
    </row>
    <row r="8" spans="1:19" ht="44.25" x14ac:dyDescent="0.75">
      <c r="B8" s="73" t="s">
        <v>654</v>
      </c>
      <c r="C8" s="53" t="s">
        <v>766</v>
      </c>
      <c r="D8" s="73"/>
      <c r="E8" s="10"/>
      <c r="I8" s="14" t="s">
        <v>626</v>
      </c>
      <c r="J8" s="14" t="s">
        <v>627</v>
      </c>
      <c r="K8" s="14" t="s">
        <v>628</v>
      </c>
      <c r="L8" s="14" t="s">
        <v>629</v>
      </c>
      <c r="M8" s="9" t="s">
        <v>630</v>
      </c>
      <c r="P8" s="69" t="s">
        <v>631</v>
      </c>
      <c r="Q8" s="69">
        <v>6</v>
      </c>
    </row>
    <row r="9" spans="1:19" ht="29.5" x14ac:dyDescent="0.75">
      <c r="B9" s="73" t="s">
        <v>655</v>
      </c>
      <c r="C9" s="14" t="s">
        <v>767</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646</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769</v>
      </c>
      <c r="E17" s="9"/>
      <c r="F17" s="75" t="s">
        <v>638</v>
      </c>
      <c r="G17" s="75" t="s">
        <v>773</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638</v>
      </c>
      <c r="G18" s="75" t="s">
        <v>770</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638</v>
      </c>
      <c r="G19" s="75" t="s">
        <v>770</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638</v>
      </c>
      <c r="G20" s="75" t="s">
        <v>770</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638</v>
      </c>
      <c r="G21" s="75" t="s">
        <v>770</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638</v>
      </c>
      <c r="G22" s="75" t="s">
        <v>770</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638</v>
      </c>
      <c r="G23" s="75" t="s">
        <v>770</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638</v>
      </c>
      <c r="G24" s="75" t="s">
        <v>770</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638</v>
      </c>
      <c r="G25" s="75" t="s">
        <v>770</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638</v>
      </c>
      <c r="G26" s="75" t="s">
        <v>770</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638</v>
      </c>
      <c r="G27" s="75" t="s">
        <v>770</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638</v>
      </c>
      <c r="G28" s="75" t="s">
        <v>770</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638</v>
      </c>
      <c r="G29" s="75" t="s">
        <v>770</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638</v>
      </c>
      <c r="G30" s="75" t="s">
        <v>770</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638</v>
      </c>
      <c r="G31" s="75" t="s">
        <v>770</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638</v>
      </c>
      <c r="G32" s="75" t="s">
        <v>770</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6"/>
    </row>
    <row r="4" spans="1:19" ht="15.5" thickBot="1" x14ac:dyDescent="0.9">
      <c r="B4" s="73" t="s">
        <v>19</v>
      </c>
      <c r="C4" s="85" t="str">
        <f>'Results-ConceptMap-1'!C4</f>
        <v>result2FHIR-eu-lab</v>
      </c>
      <c r="D4" s="73" t="s">
        <v>664</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667</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774</v>
      </c>
      <c r="E17" s="9"/>
      <c r="F17" s="75" t="s">
        <v>638</v>
      </c>
      <c r="G17" s="75" t="s">
        <v>771</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775</v>
      </c>
      <c r="E18" s="9"/>
      <c r="F18" s="75" t="s">
        <v>638</v>
      </c>
      <c r="G18" s="75" t="s">
        <v>772</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774</v>
      </c>
      <c r="E19" s="9"/>
      <c r="F19" s="75" t="s">
        <v>638</v>
      </c>
      <c r="G19" s="75" t="s">
        <v>771</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775</v>
      </c>
      <c r="E20" s="9"/>
      <c r="F20" s="75" t="s">
        <v>638</v>
      </c>
      <c r="G20" s="75" t="s">
        <v>772</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790</v>
      </c>
      <c r="E21" s="9"/>
      <c r="F21" s="75" t="s">
        <v>638</v>
      </c>
      <c r="G21" s="75" t="s">
        <v>771</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791</v>
      </c>
      <c r="E22" s="9"/>
      <c r="F22" s="75" t="s">
        <v>638</v>
      </c>
      <c r="G22" s="75" t="s">
        <v>772</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790</v>
      </c>
      <c r="E23" s="9"/>
      <c r="F23" s="75" t="s">
        <v>638</v>
      </c>
      <c r="G23" s="75" t="s">
        <v>770</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790</v>
      </c>
      <c r="E24" s="9"/>
      <c r="F24" s="75" t="s">
        <v>638</v>
      </c>
      <c r="G24" s="75" t="s">
        <v>770</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790</v>
      </c>
      <c r="E25" s="9"/>
      <c r="F25" s="75" t="s">
        <v>638</v>
      </c>
      <c r="G25" s="75" t="s">
        <v>770</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790</v>
      </c>
      <c r="E26" s="9"/>
      <c r="F26" s="75" t="s">
        <v>638</v>
      </c>
      <c r="G26" s="75" t="s">
        <v>770</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790</v>
      </c>
      <c r="E27" s="9"/>
      <c r="F27" s="75" t="s">
        <v>638</v>
      </c>
      <c r="G27" s="75" t="s">
        <v>770</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790</v>
      </c>
      <c r="E28" s="9"/>
      <c r="F28" s="75" t="s">
        <v>638</v>
      </c>
      <c r="G28" s="75" t="s">
        <v>770</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790</v>
      </c>
      <c r="E29" s="14"/>
      <c r="F29" s="75" t="s">
        <v>638</v>
      </c>
      <c r="G29" s="75" t="s">
        <v>770</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790</v>
      </c>
      <c r="E30" s="14"/>
      <c r="F30" s="75" t="s">
        <v>638</v>
      </c>
      <c r="G30" s="75" t="s">
        <v>770</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790</v>
      </c>
      <c r="E31" s="14"/>
      <c r="F31" s="75" t="s">
        <v>638</v>
      </c>
      <c r="G31" s="75" t="s">
        <v>770</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790</v>
      </c>
      <c r="E32" s="14"/>
      <c r="F32" s="75" t="s">
        <v>638</v>
      </c>
      <c r="G32" s="75" t="s">
        <v>770</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790</v>
      </c>
      <c r="E33" s="14"/>
      <c r="F33" s="75" t="s">
        <v>638</v>
      </c>
      <c r="G33" s="75" t="s">
        <v>770</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790</v>
      </c>
      <c r="E34" s="14"/>
      <c r="F34" s="75" t="s">
        <v>638</v>
      </c>
      <c r="G34" s="75" t="s">
        <v>770</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790</v>
      </c>
      <c r="E35" s="14"/>
      <c r="F35" s="75" t="s">
        <v>638</v>
      </c>
      <c r="G35" s="75" t="s">
        <v>770</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790</v>
      </c>
      <c r="E36" s="14"/>
      <c r="F36" s="75" t="s">
        <v>638</v>
      </c>
      <c r="G36" s="75" t="s">
        <v>770</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4"/>
    </row>
    <row r="4" spans="1:19" ht="15.5" thickBot="1" x14ac:dyDescent="0.9">
      <c r="B4" s="73" t="s">
        <v>19</v>
      </c>
      <c r="C4" s="85" t="str">
        <f>'Results-ConceptMap-1'!C4</f>
        <v>result2FHIR-eu-lab</v>
      </c>
      <c r="D4" s="73" t="s">
        <v>664</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776</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777</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639</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639</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639</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637</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778</v>
      </c>
      <c r="E19" s="9"/>
      <c r="F19" s="75" t="s">
        <v>637</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634</v>
      </c>
      <c r="E20" s="9"/>
      <c r="F20" s="75" t="s">
        <v>638</v>
      </c>
      <c r="G20" s="75" t="s">
        <v>787</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859</v>
      </c>
      <c r="E21" s="9"/>
      <c r="F21" s="75" t="s">
        <v>638</v>
      </c>
      <c r="G21" s="75" t="s">
        <v>787</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858</v>
      </c>
      <c r="E22" s="9"/>
      <c r="F22" s="75" t="s">
        <v>638</v>
      </c>
      <c r="G22" s="75" t="s">
        <v>787</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784</v>
      </c>
      <c r="E23" s="9"/>
      <c r="F23" s="75" t="s">
        <v>637</v>
      </c>
      <c r="G23" s="82" t="s">
        <v>861</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783</v>
      </c>
      <c r="E24" s="9"/>
      <c r="F24" s="75" t="s">
        <v>637</v>
      </c>
      <c r="G24" s="82" t="s">
        <v>861</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784</v>
      </c>
      <c r="E25" s="9"/>
      <c r="F25" s="75" t="s">
        <v>637</v>
      </c>
      <c r="G25" s="82" t="s">
        <v>862</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860</v>
      </c>
      <c r="E26" s="9"/>
      <c r="F26" s="75" t="s">
        <v>637</v>
      </c>
      <c r="G26" s="82" t="s">
        <v>863</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779</v>
      </c>
      <c r="E27" s="14"/>
      <c r="F27" s="75" t="s">
        <v>637</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780</v>
      </c>
      <c r="E28" s="14"/>
      <c r="F28" s="75" t="s">
        <v>638</v>
      </c>
      <c r="G28" s="82" t="s">
        <v>953</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950</v>
      </c>
      <c r="E29" s="14"/>
      <c r="F29" s="75" t="s">
        <v>638</v>
      </c>
      <c r="G29" s="82" t="s">
        <v>954</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780</v>
      </c>
      <c r="E30" s="14"/>
      <c r="F30" s="75" t="s">
        <v>638</v>
      </c>
      <c r="G30" s="96" t="s">
        <v>951</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952</v>
      </c>
      <c r="E31" s="14"/>
      <c r="F31" s="75" t="s">
        <v>638</v>
      </c>
      <c r="G31" s="96" t="s">
        <v>955</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792</v>
      </c>
      <c r="E32" s="14"/>
      <c r="F32" s="75" t="s">
        <v>637</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781</v>
      </c>
      <c r="E33" s="14"/>
      <c r="F33" s="75" t="s">
        <v>637</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781</v>
      </c>
      <c r="E34" s="14"/>
      <c r="F34" s="75" t="s">
        <v>638</v>
      </c>
      <c r="G34" s="82" t="s">
        <v>866</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785</v>
      </c>
      <c r="E35" s="14"/>
      <c r="F35" s="75" t="s">
        <v>637</v>
      </c>
      <c r="G35" s="75" t="s">
        <v>787</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786</v>
      </c>
      <c r="E36" s="14"/>
      <c r="F36" s="75" t="s">
        <v>637</v>
      </c>
      <c r="G36" s="75" t="s">
        <v>787</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782</v>
      </c>
      <c r="E37" s="14"/>
      <c r="F37" s="75" t="s">
        <v>637</v>
      </c>
      <c r="G37" s="83" t="s">
        <v>787</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788</v>
      </c>
      <c r="E38" s="14"/>
      <c r="F38" s="75" t="s">
        <v>637</v>
      </c>
      <c r="G38" s="83" t="s">
        <v>787</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768</v>
      </c>
      <c r="E39" s="14"/>
      <c r="F39" s="75" t="s">
        <v>638</v>
      </c>
      <c r="G39" s="88" t="s">
        <v>757</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793</v>
      </c>
      <c r="E40" s="14"/>
      <c r="F40" s="75" t="s">
        <v>638</v>
      </c>
      <c r="G40" s="83" t="s">
        <v>867</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PractictionerRole##34#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794</v>
      </c>
      <c r="E41" s="14"/>
      <c r="F41" s="75" t="s">
        <v>638</v>
      </c>
      <c r="G41" s="83" t="s">
        <v>868</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PractictionerRole##34#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789</v>
      </c>
    </row>
    <row r="3" spans="2:7" x14ac:dyDescent="0.75">
      <c r="B3" s="33" t="s">
        <v>37</v>
      </c>
    </row>
    <row r="4" spans="2:7" x14ac:dyDescent="0.75">
      <c r="B4" s="77" t="str">
        <f>"Instance: "&amp;'Results-ConceptMap-1'!C4</f>
        <v>Instance: result2FHIR-eu-lab</v>
      </c>
    </row>
    <row r="5" spans="2:7" x14ac:dyDescent="0.75">
      <c r="B5" s="77" t="s">
        <v>641</v>
      </c>
    </row>
    <row r="6" spans="2:7" x14ac:dyDescent="0.75">
      <c r="B6" s="77" t="s">
        <v>642</v>
      </c>
    </row>
    <row r="7" spans="2:7" x14ac:dyDescent="0.75">
      <c r="B7" s="77" t="s">
        <v>652</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643</v>
      </c>
    </row>
    <row r="11" spans="2:7" x14ac:dyDescent="0.75">
      <c r="B11" s="77" t="s">
        <v>644</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PractictionerRole##34#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2023-11-07T09:39:04Z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