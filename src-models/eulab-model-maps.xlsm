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98C0C65D-7CE6-481F-A092-829F8E6AAFA3}" xr6:coauthVersionLast="47" xr6:coauthVersionMax="47" xr10:uidLastSave="{00000000-0000-0000-0000-000000000000}"/>
  <bookViews>
    <workbookView xWindow="-90" yWindow="-21710" windowWidth="38620" windowHeight="21100" firstSheet="52" activeTab="60"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onceptMap-2" sheetId="174" r:id="rId53"/>
    <sheet name="Specimen-CM-fsh" sheetId="165" r:id="rId54"/>
    <sheet name="A.5 Results" sheetId="134" r:id="rId55"/>
    <sheet name="Results-Map-1" sheetId="135" r:id="rId56"/>
    <sheet name="Results-fsh" sheetId="136" r:id="rId57"/>
    <sheet name="Results-ConceptMap-1" sheetId="168" r:id="rId58"/>
    <sheet name="Results-ConceptMap-2" sheetId="169" r:id="rId59"/>
    <sheet name="Results-ConceptMap-3" sheetId="170" r:id="rId60"/>
    <sheet name="Results-CM-fsh" sheetId="171" r:id="rId61"/>
  </sheets>
  <externalReferences>
    <externalReference r:id="rId62"/>
  </externalReferences>
  <definedNames>
    <definedName name="_xlnm._FilterDatabase" localSheetId="59" hidden="1">'Results-ConceptMap-3'!$A$14:$S$14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21" i="171" l="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445" i="171"/>
  <c r="B446" i="171"/>
  <c r="B447" i="171"/>
  <c r="B448" i="171"/>
  <c r="B449" i="171"/>
  <c r="B450" i="171"/>
  <c r="B451" i="171"/>
  <c r="B452" i="171"/>
  <c r="B453" i="171"/>
  <c r="B454" i="171"/>
  <c r="B455" i="171"/>
  <c r="B456"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302" i="171"/>
  <c r="B303" i="171"/>
  <c r="B304" i="171"/>
  <c r="B305" i="171"/>
  <c r="B306" i="171"/>
  <c r="B307" i="171"/>
  <c r="B308" i="171"/>
  <c r="B309" i="171"/>
  <c r="B310" i="171"/>
  <c r="B311" i="171"/>
  <c r="B312" i="171"/>
  <c r="B313" i="171"/>
  <c r="B22" i="171"/>
  <c r="B23" i="171"/>
  <c r="B24" i="171"/>
  <c r="B25" i="171"/>
  <c r="B26" i="171"/>
  <c r="B27" i="171"/>
  <c r="B28" i="171"/>
  <c r="B29" i="171"/>
  <c r="B30" i="171"/>
  <c r="B31" i="171"/>
  <c r="B32" i="171"/>
  <c r="B33" i="171"/>
  <c r="B34" i="171"/>
  <c r="B35" i="171"/>
  <c r="B36" i="171"/>
  <c r="B37" i="171"/>
  <c r="B38" i="171"/>
  <c r="B39" i="171"/>
  <c r="B40" i="171"/>
  <c r="B41" i="171"/>
  <c r="B42" i="171"/>
  <c r="B43" i="171"/>
  <c r="B44" i="171"/>
  <c r="B45" i="171"/>
  <c r="B46" i="171"/>
  <c r="B47" i="171"/>
  <c r="B48" i="171"/>
  <c r="B49" i="171"/>
  <c r="B50" i="171"/>
  <c r="B51" i="171"/>
  <c r="B52" i="171"/>
  <c r="B53" i="171"/>
  <c r="B54" i="171"/>
  <c r="B55" i="171"/>
  <c r="B56" i="171"/>
  <c r="B57" i="171"/>
  <c r="B58" i="171"/>
  <c r="B59" i="171"/>
  <c r="B60" i="171"/>
  <c r="B61" i="171"/>
  <c r="B62" i="171"/>
  <c r="B63" i="171"/>
  <c r="B64" i="171"/>
  <c r="B65" i="171"/>
  <c r="B66" i="171"/>
  <c r="B67" i="171"/>
  <c r="B68" i="171"/>
  <c r="B69" i="171"/>
  <c r="B70" i="171"/>
  <c r="B71" i="171"/>
  <c r="B72" i="171"/>
  <c r="B73" i="171"/>
  <c r="B74" i="171"/>
  <c r="B75" i="171"/>
  <c r="B76" i="171"/>
  <c r="B77" i="171"/>
  <c r="B78" i="171"/>
  <c r="B79" i="171"/>
  <c r="B80" i="171"/>
  <c r="B81" i="171"/>
  <c r="B82" i="171"/>
  <c r="B83" i="171"/>
  <c r="B84" i="171"/>
  <c r="B85" i="171"/>
  <c r="B86" i="171"/>
  <c r="B87" i="171"/>
  <c r="B88" i="171"/>
  <c r="B89" i="171"/>
  <c r="B90" i="171"/>
  <c r="B91" i="171"/>
  <c r="B92" i="171"/>
  <c r="B93" i="171"/>
  <c r="B94" i="171"/>
  <c r="B95" i="171"/>
  <c r="B96" i="171"/>
  <c r="B97" i="171"/>
  <c r="B98" i="171"/>
  <c r="B99" i="171"/>
  <c r="B100" i="171"/>
  <c r="B101" i="171"/>
  <c r="B102" i="171"/>
  <c r="B103" i="171"/>
  <c r="B104" i="171"/>
  <c r="B105" i="171"/>
  <c r="B106" i="171"/>
  <c r="B107" i="171"/>
  <c r="B108" i="171"/>
  <c r="B109" i="171"/>
  <c r="B110" i="171"/>
  <c r="B111" i="171"/>
  <c r="B112" i="171"/>
  <c r="B113" i="171"/>
  <c r="B114" i="171"/>
  <c r="B115" i="171"/>
  <c r="B116" i="171"/>
  <c r="B117" i="171"/>
  <c r="B118" i="171"/>
  <c r="B119" i="171"/>
  <c r="B120" i="171"/>
  <c r="B121" i="171"/>
  <c r="B122" i="171"/>
  <c r="B123" i="171"/>
  <c r="B124" i="171"/>
  <c r="B125" i="171"/>
  <c r="B126" i="171"/>
  <c r="B127" i="171"/>
  <c r="B128" i="171"/>
  <c r="B129" i="171"/>
  <c r="B130" i="171"/>
  <c r="B131" i="171"/>
  <c r="B132" i="171"/>
  <c r="B133" i="171"/>
  <c r="B134" i="171"/>
  <c r="B135" i="171"/>
  <c r="B136" i="171"/>
  <c r="B137" i="171"/>
  <c r="B138" i="171"/>
  <c r="B139" i="171"/>
  <c r="B140" i="171"/>
  <c r="B141" i="171"/>
  <c r="B142" i="171"/>
  <c r="B143" i="171"/>
  <c r="B144" i="171"/>
  <c r="B145" i="171"/>
  <c r="B146" i="171"/>
  <c r="B147" i="171"/>
  <c r="B148" i="171"/>
  <c r="B149" i="171"/>
  <c r="B150" i="171"/>
  <c r="B151" i="171"/>
  <c r="B152" i="171"/>
  <c r="B153" i="171"/>
  <c r="B154" i="171"/>
  <c r="B155" i="171"/>
  <c r="B156" i="171"/>
  <c r="B157" i="171"/>
  <c r="B158" i="171"/>
  <c r="B159" i="171"/>
  <c r="B160" i="171"/>
  <c r="B161" i="171"/>
  <c r="B162" i="171"/>
  <c r="B163" i="171"/>
  <c r="B164" i="171"/>
  <c r="B165" i="171"/>
  <c r="B166" i="171"/>
  <c r="B167" i="171"/>
  <c r="B168" i="171"/>
  <c r="B169" i="171"/>
  <c r="B170" i="171"/>
  <c r="B171" i="171"/>
  <c r="B172" i="171"/>
  <c r="B173" i="171"/>
  <c r="B174" i="171"/>
  <c r="B175" i="171"/>
  <c r="B176" i="171"/>
  <c r="B177" i="171"/>
  <c r="B178" i="171"/>
  <c r="B179" i="171"/>
  <c r="B180" i="171"/>
  <c r="B181" i="171"/>
  <c r="B182" i="171"/>
  <c r="B183" i="171"/>
  <c r="B184" i="171"/>
  <c r="B185" i="171"/>
  <c r="B186" i="171"/>
  <c r="B187" i="171"/>
  <c r="B188" i="171"/>
  <c r="B189" i="171"/>
  <c r="B190" i="171"/>
  <c r="B191" i="171"/>
  <c r="B192" i="171"/>
  <c r="B193" i="171"/>
  <c r="Q16" i="170"/>
  <c r="S16" i="170" s="1" a="1"/>
  <c r="S16" i="170" s="1"/>
  <c r="R16" i="170"/>
  <c r="Q17" i="170"/>
  <c r="R17" i="170"/>
  <c r="S17" i="170" s="1" a="1"/>
  <c r="S17" i="170" s="1"/>
  <c r="Q18" i="170"/>
  <c r="S18" i="170" s="1" a="1"/>
  <c r="S18" i="170" s="1"/>
  <c r="R18" i="170"/>
  <c r="Q19" i="170"/>
  <c r="R19" i="170"/>
  <c r="S19" i="170" s="1" a="1"/>
  <c r="S19" i="170" s="1"/>
  <c r="Q20" i="170"/>
  <c r="S20" i="170" s="1" a="1"/>
  <c r="S20" i="170" s="1"/>
  <c r="R20" i="170"/>
  <c r="Q21" i="170"/>
  <c r="R21" i="170"/>
  <c r="S21" i="170" s="1" a="1"/>
  <c r="S21" i="170" s="1"/>
  <c r="Q22" i="170"/>
  <c r="S22" i="170" s="1" a="1"/>
  <c r="S22" i="170" s="1"/>
  <c r="R22" i="170"/>
  <c r="Q23" i="170"/>
  <c r="R23" i="170"/>
  <c r="S23" i="170" a="1"/>
  <c r="S23" i="170"/>
  <c r="Q24" i="170"/>
  <c r="S24" i="170" s="1" a="1"/>
  <c r="S24" i="170" s="1"/>
  <c r="R24" i="170"/>
  <c r="Q25" i="170"/>
  <c r="R25" i="170"/>
  <c r="S25" i="170" a="1"/>
  <c r="S25" i="170" s="1"/>
  <c r="Q26" i="170"/>
  <c r="S26" i="170" s="1" a="1"/>
  <c r="S26" i="170" s="1"/>
  <c r="R26" i="170"/>
  <c r="Q27" i="170"/>
  <c r="R27" i="170"/>
  <c r="S27" i="170" a="1"/>
  <c r="S27" i="170" s="1"/>
  <c r="Q28" i="170"/>
  <c r="S28" i="170" s="1" a="1"/>
  <c r="S28" i="170" s="1"/>
  <c r="R28" i="170"/>
  <c r="Q29" i="170"/>
  <c r="R29" i="170"/>
  <c r="S29" i="170" s="1" a="1"/>
  <c r="S29" i="170" s="1"/>
  <c r="Q30" i="170"/>
  <c r="S30" i="170" s="1" a="1"/>
  <c r="S30" i="170" s="1"/>
  <c r="R30" i="170"/>
  <c r="Q31" i="170"/>
  <c r="R31" i="170"/>
  <c r="S31" i="170" a="1"/>
  <c r="S31" i="170"/>
  <c r="Q32" i="170"/>
  <c r="S32" i="170" s="1" a="1"/>
  <c r="S32" i="170" s="1"/>
  <c r="R32" i="170"/>
  <c r="Q33" i="170"/>
  <c r="R33" i="170"/>
  <c r="S33" i="170" a="1"/>
  <c r="S33" i="170" s="1"/>
  <c r="Q34" i="170"/>
  <c r="S34" i="170" s="1" a="1"/>
  <c r="S34" i="170" s="1"/>
  <c r="R34" i="170"/>
  <c r="Q35" i="170"/>
  <c r="R35" i="170"/>
  <c r="S35" i="170" a="1"/>
  <c r="S35" i="170" s="1"/>
  <c r="Q36" i="170"/>
  <c r="S36" i="170" s="1" a="1"/>
  <c r="S36" i="170" s="1"/>
  <c r="R36" i="170"/>
  <c r="Q37" i="170"/>
  <c r="R37" i="170"/>
  <c r="S37" i="170" s="1" a="1"/>
  <c r="S37" i="170" s="1"/>
  <c r="Q38" i="170"/>
  <c r="S38" i="170" s="1" a="1"/>
  <c r="S38" i="170" s="1"/>
  <c r="R38" i="170"/>
  <c r="Q39" i="170"/>
  <c r="R39" i="170"/>
  <c r="S39" i="170" a="1"/>
  <c r="S39" i="170"/>
  <c r="Q40" i="170"/>
  <c r="S40" i="170" s="1" a="1"/>
  <c r="S40" i="170" s="1"/>
  <c r="R40" i="170"/>
  <c r="Q41" i="170"/>
  <c r="R41" i="170"/>
  <c r="S41" i="170" a="1"/>
  <c r="S41" i="170" s="1"/>
  <c r="Q42" i="170"/>
  <c r="S42" i="170" s="1" a="1"/>
  <c r="S42" i="170" s="1"/>
  <c r="R42" i="170"/>
  <c r="Q43" i="170"/>
  <c r="R43" i="170"/>
  <c r="S43" i="170" a="1"/>
  <c r="S43" i="170" s="1"/>
  <c r="Q44" i="170"/>
  <c r="S44" i="170" s="1" a="1"/>
  <c r="S44" i="170" s="1"/>
  <c r="R44" i="170"/>
  <c r="Q45" i="170"/>
  <c r="R45" i="170"/>
  <c r="S45" i="170" s="1" a="1"/>
  <c r="S45" i="170" s="1"/>
  <c r="Q46" i="170"/>
  <c r="S46" i="170" s="1" a="1"/>
  <c r="S46" i="170" s="1"/>
  <c r="R46" i="170"/>
  <c r="Q47" i="170"/>
  <c r="R47" i="170"/>
  <c r="S47" i="170" a="1"/>
  <c r="S47" i="170"/>
  <c r="Q48" i="170"/>
  <c r="S48" i="170" s="1" a="1"/>
  <c r="S48" i="170" s="1"/>
  <c r="R48" i="170"/>
  <c r="Q49" i="170"/>
  <c r="S49" i="170" s="1" a="1"/>
  <c r="S49" i="170" s="1"/>
  <c r="R49" i="170"/>
  <c r="Q50" i="170"/>
  <c r="S50" i="170" s="1" a="1"/>
  <c r="S50" i="170" s="1"/>
  <c r="R50" i="170"/>
  <c r="Q51" i="170"/>
  <c r="R51" i="170"/>
  <c r="S51" i="170" a="1"/>
  <c r="S51" i="170" s="1"/>
  <c r="Q52" i="170"/>
  <c r="S52" i="170" s="1" a="1"/>
  <c r="S52" i="170" s="1"/>
  <c r="R52" i="170"/>
  <c r="Q53" i="170"/>
  <c r="S53" i="170" s="1" a="1"/>
  <c r="S53" i="170" s="1"/>
  <c r="R53" i="170"/>
  <c r="Q54" i="170"/>
  <c r="S54" i="170" s="1" a="1"/>
  <c r="S54" i="170" s="1"/>
  <c r="R54" i="170"/>
  <c r="Q55" i="170"/>
  <c r="R55" i="170"/>
  <c r="S55" i="170" a="1"/>
  <c r="S55" i="170"/>
  <c r="Q56" i="170"/>
  <c r="S56" i="170" s="1" a="1"/>
  <c r="S56" i="170" s="1"/>
  <c r="R56" i="170"/>
  <c r="Q57" i="170"/>
  <c r="R57" i="170"/>
  <c r="S57" i="170" a="1"/>
  <c r="S57" i="170" s="1"/>
  <c r="Q58" i="170"/>
  <c r="R58" i="170"/>
  <c r="Q59" i="170"/>
  <c r="R59" i="170"/>
  <c r="S59" i="170" a="1"/>
  <c r="S59" i="170" s="1"/>
  <c r="Q60" i="170"/>
  <c r="S60" i="170" s="1" a="1"/>
  <c r="S60" i="170" s="1"/>
  <c r="R60" i="170"/>
  <c r="Q61" i="170"/>
  <c r="S61" i="170" s="1" a="1"/>
  <c r="S61" i="170" s="1"/>
  <c r="R61" i="170"/>
  <c r="Q62" i="170"/>
  <c r="S62" i="170" s="1" a="1"/>
  <c r="S62" i="170" s="1"/>
  <c r="R62" i="170"/>
  <c r="Q63" i="170"/>
  <c r="R63" i="170"/>
  <c r="S63" i="170" a="1"/>
  <c r="S63" i="170"/>
  <c r="Q64" i="170"/>
  <c r="S64" i="170" s="1" a="1"/>
  <c r="S64" i="170" s="1"/>
  <c r="R64" i="170"/>
  <c r="Q65" i="170"/>
  <c r="R65" i="170"/>
  <c r="S65" i="170" a="1"/>
  <c r="S65" i="170" s="1"/>
  <c r="Q66" i="170"/>
  <c r="R66" i="170"/>
  <c r="Q67" i="170"/>
  <c r="R67" i="170"/>
  <c r="S67" i="170" a="1"/>
  <c r="S67" i="170" s="1"/>
  <c r="Q68" i="170"/>
  <c r="S68" i="170" s="1" a="1"/>
  <c r="S68" i="170" s="1"/>
  <c r="R68" i="170"/>
  <c r="Q69" i="170"/>
  <c r="S69" i="170" s="1" a="1"/>
  <c r="S69" i="170" s="1"/>
  <c r="R69" i="170"/>
  <c r="Q70" i="170"/>
  <c r="S70" i="170" s="1" a="1"/>
  <c r="S70" i="170" s="1"/>
  <c r="R70" i="170"/>
  <c r="Q71" i="170"/>
  <c r="R71" i="170"/>
  <c r="S71" i="170" a="1"/>
  <c r="S71" i="170"/>
  <c r="Q72" i="170"/>
  <c r="S72" i="170" s="1" a="1"/>
  <c r="S72" i="170" s="1"/>
  <c r="R72" i="170"/>
  <c r="Q73" i="170"/>
  <c r="R73" i="170"/>
  <c r="S73" i="170" a="1"/>
  <c r="S73" i="170" s="1"/>
  <c r="Q74" i="170"/>
  <c r="R74" i="170"/>
  <c r="Q75" i="170"/>
  <c r="R75" i="170"/>
  <c r="S75" i="170" a="1"/>
  <c r="S75" i="170" s="1"/>
  <c r="Q76" i="170"/>
  <c r="S76" i="170" s="1" a="1"/>
  <c r="S76" i="170" s="1"/>
  <c r="R76" i="170"/>
  <c r="Q77" i="170"/>
  <c r="S77" i="170" s="1" a="1"/>
  <c r="S77" i="170" s="1"/>
  <c r="R77" i="170"/>
  <c r="Q78" i="170"/>
  <c r="S78" i="170" s="1" a="1"/>
  <c r="S78" i="170" s="1"/>
  <c r="R78" i="170"/>
  <c r="Q79" i="170"/>
  <c r="R79" i="170"/>
  <c r="S79" i="170" a="1"/>
  <c r="S79" i="170"/>
  <c r="Q80" i="170"/>
  <c r="S80" i="170" s="1" a="1"/>
  <c r="S80" i="170" s="1"/>
  <c r="R80" i="170"/>
  <c r="Q81" i="170"/>
  <c r="R81" i="170"/>
  <c r="S81" i="170" a="1"/>
  <c r="S81" i="170" s="1"/>
  <c r="Q82" i="170"/>
  <c r="R82" i="170"/>
  <c r="Q83" i="170"/>
  <c r="R83" i="170"/>
  <c r="S83" i="170" a="1"/>
  <c r="S83" i="170" s="1"/>
  <c r="Q84" i="170"/>
  <c r="S84" i="170" s="1" a="1"/>
  <c r="S84" i="170" s="1"/>
  <c r="R84" i="170"/>
  <c r="Q85" i="170"/>
  <c r="S85" i="170" s="1" a="1"/>
  <c r="S85" i="170" s="1"/>
  <c r="R85" i="170"/>
  <c r="Q86" i="170"/>
  <c r="S86" i="170" s="1" a="1"/>
  <c r="S86" i="170" s="1"/>
  <c r="R86" i="170"/>
  <c r="Q87" i="170"/>
  <c r="R87" i="170"/>
  <c r="S87" i="170" a="1"/>
  <c r="S87" i="170"/>
  <c r="Q88" i="170"/>
  <c r="S88" i="170" s="1" a="1"/>
  <c r="S88" i="170" s="1"/>
  <c r="R88" i="170"/>
  <c r="Q89" i="170"/>
  <c r="R89" i="170"/>
  <c r="S89" i="170" a="1"/>
  <c r="S89" i="170" s="1"/>
  <c r="Q90" i="170"/>
  <c r="R90" i="170"/>
  <c r="Q91" i="170"/>
  <c r="R91" i="170"/>
  <c r="S91" i="170" a="1"/>
  <c r="S91" i="170" s="1"/>
  <c r="Q92" i="170"/>
  <c r="S92" i="170" s="1" a="1"/>
  <c r="S92" i="170" s="1"/>
  <c r="R92" i="170"/>
  <c r="Q93" i="170"/>
  <c r="S93" i="170" s="1" a="1"/>
  <c r="S93" i="170" s="1"/>
  <c r="R93" i="170"/>
  <c r="Q94" i="170"/>
  <c r="S94" i="170" s="1" a="1"/>
  <c r="S94" i="170" s="1"/>
  <c r="R94" i="170"/>
  <c r="Q95" i="170"/>
  <c r="R95" i="170"/>
  <c r="S95" i="170" a="1"/>
  <c r="S95" i="170"/>
  <c r="Q96" i="170"/>
  <c r="S96" i="170" s="1" a="1"/>
  <c r="S96" i="170" s="1"/>
  <c r="R96" i="170"/>
  <c r="Q97" i="170"/>
  <c r="R97" i="170"/>
  <c r="S97" i="170" a="1"/>
  <c r="S97" i="170" s="1"/>
  <c r="Q98" i="170"/>
  <c r="R98" i="170"/>
  <c r="Q99" i="170"/>
  <c r="R99" i="170"/>
  <c r="S99" i="170" a="1"/>
  <c r="S99" i="170" s="1"/>
  <c r="Q100" i="170"/>
  <c r="S100" i="170" s="1" a="1"/>
  <c r="S100" i="170" s="1"/>
  <c r="R100" i="170"/>
  <c r="Q101" i="170"/>
  <c r="S101" i="170" s="1" a="1"/>
  <c r="S101" i="170" s="1"/>
  <c r="R101" i="170"/>
  <c r="Q102" i="170"/>
  <c r="S102" i="170" s="1" a="1"/>
  <c r="S102" i="170" s="1"/>
  <c r="R102" i="170"/>
  <c r="Q103" i="170"/>
  <c r="R103" i="170"/>
  <c r="S103" i="170" a="1"/>
  <c r="S103" i="170"/>
  <c r="Q104" i="170"/>
  <c r="R104" i="170"/>
  <c r="S104" i="170" a="1"/>
  <c r="S104" i="170" s="1"/>
  <c r="Q105" i="170"/>
  <c r="S105" i="170" s="1" a="1"/>
  <c r="S105" i="170" s="1"/>
  <c r="R105" i="170"/>
  <c r="Q106" i="170"/>
  <c r="S106" i="170" s="1" a="1"/>
  <c r="S106" i="170" s="1"/>
  <c r="R106" i="170"/>
  <c r="Q107" i="170"/>
  <c r="R107" i="170"/>
  <c r="S107" i="170" a="1"/>
  <c r="S107" i="170" s="1"/>
  <c r="Q108" i="170"/>
  <c r="S108" i="170" s="1" a="1"/>
  <c r="S108" i="170" s="1"/>
  <c r="R108" i="170"/>
  <c r="Q109" i="170"/>
  <c r="R109" i="170"/>
  <c r="S109" i="170" s="1" a="1"/>
  <c r="S109" i="170" s="1"/>
  <c r="Q110" i="170"/>
  <c r="R110" i="170"/>
  <c r="S110" i="170" a="1"/>
  <c r="S110" i="170" s="1"/>
  <c r="Q111" i="170"/>
  <c r="R111" i="170"/>
  <c r="S111" i="170" a="1"/>
  <c r="S111" i="170" s="1"/>
  <c r="Q112" i="170"/>
  <c r="R112" i="170"/>
  <c r="S112" i="170" a="1"/>
  <c r="S112" i="170" s="1"/>
  <c r="Q113" i="170"/>
  <c r="S113" i="170" s="1" a="1"/>
  <c r="S113" i="170" s="1"/>
  <c r="R113" i="170"/>
  <c r="Q114" i="170"/>
  <c r="S114" i="170" s="1" a="1"/>
  <c r="S114" i="170" s="1"/>
  <c r="R114" i="170"/>
  <c r="Q115" i="170"/>
  <c r="S115" i="170" s="1" a="1"/>
  <c r="S115" i="170" s="1"/>
  <c r="R115" i="170"/>
  <c r="Q116" i="170"/>
  <c r="R116" i="170"/>
  <c r="S116" i="170" a="1"/>
  <c r="S116" i="170" s="1"/>
  <c r="Q117" i="170"/>
  <c r="R117" i="170"/>
  <c r="S117" i="170" a="1"/>
  <c r="S117" i="170" s="1"/>
  <c r="Q118" i="170"/>
  <c r="R118" i="170"/>
  <c r="S118" i="170" s="1" a="1"/>
  <c r="S118" i="170" s="1"/>
  <c r="Q119" i="170"/>
  <c r="R119" i="170"/>
  <c r="S119" i="170" a="1"/>
  <c r="S119" i="170"/>
  <c r="Q120" i="170"/>
  <c r="R120" i="170"/>
  <c r="S120" i="170" a="1"/>
  <c r="S120" i="170" s="1"/>
  <c r="Q121" i="170"/>
  <c r="S121" i="170" s="1" a="1"/>
  <c r="S121" i="170" s="1"/>
  <c r="R121" i="170"/>
  <c r="Q122" i="170"/>
  <c r="S122" i="170" s="1" a="1"/>
  <c r="S122" i="170" s="1"/>
  <c r="R122" i="170"/>
  <c r="Q123" i="170"/>
  <c r="R123" i="170"/>
  <c r="S123" i="170" a="1"/>
  <c r="S123" i="170" s="1"/>
  <c r="Q124" i="170"/>
  <c r="S124" i="170" s="1" a="1"/>
  <c r="S124" i="170" s="1"/>
  <c r="R124" i="170"/>
  <c r="Q125" i="170"/>
  <c r="R125" i="170"/>
  <c r="S125" i="170" s="1" a="1"/>
  <c r="S125" i="170" s="1"/>
  <c r="Q126" i="170"/>
  <c r="R126" i="170"/>
  <c r="S126" i="170" a="1"/>
  <c r="S126" i="170" s="1"/>
  <c r="Q127" i="170"/>
  <c r="R127" i="170"/>
  <c r="S127" i="170" a="1"/>
  <c r="S127" i="170" s="1"/>
  <c r="Q128" i="170"/>
  <c r="R128" i="170"/>
  <c r="S128" i="170" a="1"/>
  <c r="S128" i="170" s="1"/>
  <c r="Q129" i="170"/>
  <c r="S129" i="170" s="1" a="1"/>
  <c r="S129" i="170" s="1"/>
  <c r="R129" i="170"/>
  <c r="Q130" i="170"/>
  <c r="S130" i="170" s="1" a="1"/>
  <c r="S130" i="170" s="1"/>
  <c r="R130" i="170"/>
  <c r="Q131" i="170"/>
  <c r="S131" i="170" s="1" a="1"/>
  <c r="S131" i="170" s="1"/>
  <c r="R131" i="170"/>
  <c r="Q132" i="170"/>
  <c r="R132" i="170"/>
  <c r="S132" i="170" a="1"/>
  <c r="S132" i="170" s="1"/>
  <c r="Q133" i="170"/>
  <c r="R133" i="170"/>
  <c r="S133" i="170" a="1"/>
  <c r="S133" i="170" s="1"/>
  <c r="Q134" i="170"/>
  <c r="R134" i="170"/>
  <c r="S134" i="170" s="1" a="1"/>
  <c r="S134" i="170" s="1"/>
  <c r="Q135" i="170"/>
  <c r="R135" i="170"/>
  <c r="S135" i="170" a="1"/>
  <c r="S135" i="170"/>
  <c r="Q136" i="170"/>
  <c r="R136" i="170"/>
  <c r="S136" i="170" a="1"/>
  <c r="S136" i="170" s="1"/>
  <c r="Q137" i="170"/>
  <c r="S137" i="170" s="1" a="1"/>
  <c r="S137" i="170" s="1"/>
  <c r="R137" i="170"/>
  <c r="Q138" i="170"/>
  <c r="S138" i="170" s="1" a="1"/>
  <c r="S138" i="170" s="1"/>
  <c r="R138" i="170"/>
  <c r="Q139" i="170"/>
  <c r="R139" i="170"/>
  <c r="S139" i="170" a="1"/>
  <c r="S139" i="170" s="1"/>
  <c r="Q140" i="170"/>
  <c r="S140" i="170" s="1" a="1"/>
  <c r="S140" i="170" s="1"/>
  <c r="R140" i="170"/>
  <c r="Q141" i="170"/>
  <c r="R141" i="170"/>
  <c r="S141" i="170" s="1" a="1"/>
  <c r="S141" i="170" s="1"/>
  <c r="Q142" i="170"/>
  <c r="R142" i="170"/>
  <c r="S142" i="170" a="1"/>
  <c r="S142" i="170" s="1"/>
  <c r="Q143" i="170"/>
  <c r="R143" i="170"/>
  <c r="S143" i="170" a="1"/>
  <c r="S143" i="170" s="1"/>
  <c r="Q144" i="170"/>
  <c r="R144" i="170"/>
  <c r="S144" i="170" a="1"/>
  <c r="S144" i="170" s="1"/>
  <c r="Q145" i="170"/>
  <c r="S145" i="170" s="1" a="1"/>
  <c r="S145" i="170" s="1"/>
  <c r="R145" i="170"/>
  <c r="Q146" i="170"/>
  <c r="S146" i="170" s="1" a="1"/>
  <c r="S146" i="170" s="1"/>
  <c r="R146" i="170"/>
  <c r="Q147" i="170"/>
  <c r="S147" i="170" s="1" a="1"/>
  <c r="S147" i="170" s="1"/>
  <c r="R147" i="170"/>
  <c r="Q148" i="170"/>
  <c r="R148" i="170"/>
  <c r="S148" i="170" a="1"/>
  <c r="S148" i="170" s="1"/>
  <c r="Q149" i="170"/>
  <c r="R149" i="170"/>
  <c r="S149" i="170" a="1"/>
  <c r="S149" i="170" s="1"/>
  <c r="Q150" i="170"/>
  <c r="R150" i="170"/>
  <c r="S150" i="170" s="1" a="1"/>
  <c r="S150" i="170" s="1"/>
  <c r="Q151" i="170"/>
  <c r="R151" i="170"/>
  <c r="S151" i="170" a="1"/>
  <c r="S151" i="170"/>
  <c r="Q152" i="170"/>
  <c r="R152" i="170"/>
  <c r="S152" i="170" a="1"/>
  <c r="S152" i="170" s="1"/>
  <c r="Q153" i="170"/>
  <c r="S153" i="170" s="1" a="1"/>
  <c r="S153" i="170" s="1"/>
  <c r="R153" i="170"/>
  <c r="Q154" i="170"/>
  <c r="S154" i="170" s="1" a="1"/>
  <c r="S154" i="170" s="1"/>
  <c r="R154" i="170"/>
  <c r="Q155" i="170"/>
  <c r="R155" i="170"/>
  <c r="S155" i="170" a="1"/>
  <c r="S155" i="170" s="1"/>
  <c r="Q156" i="170"/>
  <c r="S156" i="170" s="1" a="1"/>
  <c r="S156" i="170" s="1"/>
  <c r="R156" i="170"/>
  <c r="Q157" i="170"/>
  <c r="R157" i="170"/>
  <c r="S157" i="170" s="1" a="1"/>
  <c r="S157" i="170" s="1"/>
  <c r="Q158" i="170"/>
  <c r="R158" i="170"/>
  <c r="S158" i="170" a="1"/>
  <c r="S158" i="170" s="1"/>
  <c r="Q159" i="170"/>
  <c r="R159" i="170"/>
  <c r="S159" i="170" a="1"/>
  <c r="S159" i="170" s="1"/>
  <c r="Q160" i="170"/>
  <c r="R160" i="170"/>
  <c r="S160" i="170" a="1"/>
  <c r="S160" i="170" s="1"/>
  <c r="Q161" i="170"/>
  <c r="S161" i="170" s="1" a="1"/>
  <c r="S161" i="170" s="1"/>
  <c r="R161" i="170"/>
  <c r="Q162" i="170"/>
  <c r="S162" i="170" s="1" a="1"/>
  <c r="S162" i="170" s="1"/>
  <c r="R162" i="170"/>
  <c r="Q163" i="170"/>
  <c r="S163" i="170" s="1" a="1"/>
  <c r="S163" i="170" s="1"/>
  <c r="R163" i="170"/>
  <c r="Q164" i="170"/>
  <c r="R164" i="170"/>
  <c r="S164" i="170" a="1"/>
  <c r="S164" i="170" s="1"/>
  <c r="Q165" i="170"/>
  <c r="R165" i="170"/>
  <c r="S165" i="170" a="1"/>
  <c r="S165" i="170" s="1"/>
  <c r="Q166" i="170"/>
  <c r="R166" i="170"/>
  <c r="S166" i="170" s="1" a="1"/>
  <c r="S166" i="170" s="1"/>
  <c r="Q167" i="170"/>
  <c r="R167" i="170"/>
  <c r="S167" i="170" a="1"/>
  <c r="S167" i="170"/>
  <c r="Q168" i="170"/>
  <c r="R168" i="170"/>
  <c r="S168" i="170" a="1"/>
  <c r="S168" i="170" s="1"/>
  <c r="Q169" i="170"/>
  <c r="S169" i="170" s="1" a="1"/>
  <c r="S169" i="170" s="1"/>
  <c r="R169" i="170"/>
  <c r="Q170" i="170"/>
  <c r="S170" i="170" s="1" a="1"/>
  <c r="S170" i="170" s="1"/>
  <c r="R170" i="170"/>
  <c r="Q171" i="170"/>
  <c r="R171" i="170"/>
  <c r="S171" i="170" a="1"/>
  <c r="S171" i="170" s="1"/>
  <c r="Q172" i="170"/>
  <c r="S172" i="170" s="1" a="1"/>
  <c r="S172" i="170" s="1"/>
  <c r="R172" i="170"/>
  <c r="Q173" i="170"/>
  <c r="R173" i="170"/>
  <c r="S173" i="170" s="1" a="1"/>
  <c r="S173" i="170" s="1"/>
  <c r="Q174" i="170"/>
  <c r="R174" i="170"/>
  <c r="S174" i="170" a="1"/>
  <c r="S174" i="170" s="1"/>
  <c r="Q175" i="170"/>
  <c r="R175" i="170"/>
  <c r="S175" i="170" a="1"/>
  <c r="S175" i="170" s="1"/>
  <c r="Q176" i="170"/>
  <c r="R176" i="170"/>
  <c r="S176" i="170" a="1"/>
  <c r="S176" i="170" s="1"/>
  <c r="Q177" i="170"/>
  <c r="S177" i="170" s="1" a="1"/>
  <c r="S177" i="170" s="1"/>
  <c r="R177" i="170"/>
  <c r="Q178" i="170"/>
  <c r="S178" i="170" s="1" a="1"/>
  <c r="S178" i="170" s="1"/>
  <c r="R178" i="170"/>
  <c r="Q179" i="170"/>
  <c r="S179" i="170" s="1" a="1"/>
  <c r="S179" i="170" s="1"/>
  <c r="R179" i="170"/>
  <c r="Q180" i="170"/>
  <c r="R180" i="170"/>
  <c r="S180" i="170" a="1"/>
  <c r="S180" i="170" s="1"/>
  <c r="Q181" i="170"/>
  <c r="R181" i="170"/>
  <c r="S181" i="170" a="1"/>
  <c r="S181" i="170" s="1"/>
  <c r="Q182" i="170"/>
  <c r="R182" i="170"/>
  <c r="S182" i="170" s="1" a="1"/>
  <c r="S182" i="170" s="1"/>
  <c r="Q183" i="170"/>
  <c r="R183" i="170"/>
  <c r="S183" i="170" a="1"/>
  <c r="S183" i="170"/>
  <c r="Q184" i="170"/>
  <c r="S184" i="170" s="1" a="1"/>
  <c r="S184" i="170" s="1"/>
  <c r="R184" i="170"/>
  <c r="Q185" i="170"/>
  <c r="S185" i="170" s="1" a="1"/>
  <c r="S185" i="170" s="1"/>
  <c r="R185" i="170"/>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B20" i="170"/>
  <c r="C20" i="170"/>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S16" i="140" s="1" a="1"/>
  <c r="S16" i="140" s="1"/>
  <c r="B176" i="138" s="1"/>
  <c r="R16" i="140"/>
  <c r="Q17" i="140"/>
  <c r="R17" i="140"/>
  <c r="S17" i="140" s="1" a="1"/>
  <c r="S17" i="140" s="1"/>
  <c r="B177" i="138" s="1"/>
  <c r="Q18" i="140"/>
  <c r="S18" i="140" s="1" a="1"/>
  <c r="S18" i="140" s="1"/>
  <c r="B178" i="138" s="1"/>
  <c r="R18" i="140"/>
  <c r="Q19" i="140"/>
  <c r="R19" i="140"/>
  <c r="S19" i="140" s="1" a="1"/>
  <c r="S19" i="140" s="1"/>
  <c r="B179" i="138" s="1"/>
  <c r="Q20" i="140"/>
  <c r="S20" i="140" s="1" a="1"/>
  <c r="S20" i="140" s="1"/>
  <c r="B180" i="138" s="1"/>
  <c r="R20" i="140"/>
  <c r="Q21" i="140"/>
  <c r="R21" i="140"/>
  <c r="S21" i="140" s="1" a="1"/>
  <c r="S21" i="140" s="1"/>
  <c r="B181" i="138" s="1"/>
  <c r="Q22" i="140"/>
  <c r="S22" i="140" s="1" a="1"/>
  <c r="S22" i="140" s="1"/>
  <c r="B182" i="138" s="1"/>
  <c r="R22" i="140"/>
  <c r="Q23" i="140"/>
  <c r="R23" i="140"/>
  <c r="S23" i="140" s="1" a="1"/>
  <c r="S23" i="140" s="1"/>
  <c r="B183" i="138" s="1"/>
  <c r="Q24" i="140"/>
  <c r="S24" i="140" s="1" a="1"/>
  <c r="S24" i="140" s="1"/>
  <c r="B184" i="138" s="1"/>
  <c r="R24" i="140"/>
  <c r="Q25" i="140"/>
  <c r="R25" i="140"/>
  <c r="S25" i="140" a="1"/>
  <c r="S25" i="140" s="1"/>
  <c r="B185" i="138" s="1"/>
  <c r="Q26" i="140"/>
  <c r="S26" i="140" s="1" a="1"/>
  <c r="S26" i="140" s="1"/>
  <c r="B186" i="138" s="1"/>
  <c r="R26" i="140"/>
  <c r="Q27" i="140"/>
  <c r="R27" i="140"/>
  <c r="S27" i="140" s="1" a="1"/>
  <c r="S27" i="140" s="1"/>
  <c r="B187" i="138" s="1"/>
  <c r="Q28" i="140"/>
  <c r="S28" i="140" s="1" a="1"/>
  <c r="S28" i="140" s="1"/>
  <c r="B188" i="138" s="1"/>
  <c r="R28" i="140"/>
  <c r="Q29" i="140"/>
  <c r="R29" i="140"/>
  <c r="S29" i="140" s="1" a="1"/>
  <c r="S29" i="140" s="1"/>
  <c r="B189" i="138" s="1"/>
  <c r="Q30" i="140"/>
  <c r="S30" i="140" s="1" a="1"/>
  <c r="S30" i="140" s="1"/>
  <c r="B190" i="138" s="1"/>
  <c r="R30" i="140"/>
  <c r="Q31" i="140"/>
  <c r="R31" i="140"/>
  <c r="S31" i="140" a="1"/>
  <c r="S31" i="140"/>
  <c r="B191" i="138" s="1"/>
  <c r="Q32" i="140"/>
  <c r="S32" i="140" s="1" a="1"/>
  <c r="S32" i="140" s="1"/>
  <c r="B192" i="138" s="1"/>
  <c r="R32" i="140"/>
  <c r="Q33" i="140"/>
  <c r="R33" i="140"/>
  <c r="S33" i="140" a="1"/>
  <c r="S33" i="140" s="1"/>
  <c r="B193" i="138" s="1"/>
  <c r="Q34" i="140"/>
  <c r="S34" i="140" s="1" a="1"/>
  <c r="S34" i="140" s="1"/>
  <c r="B194" i="138" s="1"/>
  <c r="R34" i="140"/>
  <c r="Q35" i="140"/>
  <c r="R35" i="140"/>
  <c r="Q36" i="140"/>
  <c r="R36" i="140"/>
  <c r="Q37" i="140"/>
  <c r="R37" i="140"/>
  <c r="Q38" i="140"/>
  <c r="S38" i="140" s="1" a="1"/>
  <c r="S38" i="140" s="1"/>
  <c r="B198" i="138" s="1"/>
  <c r="R38" i="140"/>
  <c r="Q39" i="140"/>
  <c r="R39" i="140"/>
  <c r="S39" i="140" a="1"/>
  <c r="S39" i="140" s="1"/>
  <c r="B199" i="138" s="1"/>
  <c r="Q40" i="140"/>
  <c r="S40" i="140" s="1" a="1"/>
  <c r="S40" i="140" s="1"/>
  <c r="B200" i="138" s="1"/>
  <c r="R40" i="140"/>
  <c r="Q41" i="140"/>
  <c r="R41" i="140"/>
  <c r="S41" i="140" a="1"/>
  <c r="S41" i="140" s="1"/>
  <c r="B201" i="138" s="1"/>
  <c r="Q42" i="140"/>
  <c r="S42" i="140" s="1" a="1"/>
  <c r="S42" i="140" s="1"/>
  <c r="B202" i="138" s="1"/>
  <c r="R42" i="140"/>
  <c r="Q43" i="140"/>
  <c r="R43" i="140"/>
  <c r="S43" i="140" s="1" a="1"/>
  <c r="S43" i="140" s="1"/>
  <c r="B203" i="138" s="1"/>
  <c r="Q44" i="140"/>
  <c r="S44" i="140" s="1" a="1"/>
  <c r="S44" i="140" s="1"/>
  <c r="B204" i="138" s="1"/>
  <c r="R44" i="140"/>
  <c r="Q45" i="140"/>
  <c r="R45" i="140"/>
  <c r="S45" i="140" s="1" a="1"/>
  <c r="S45" i="140" s="1"/>
  <c r="B205" i="138" s="1"/>
  <c r="Q46" i="140"/>
  <c r="S46" i="140" s="1" a="1"/>
  <c r="S46" i="140" s="1"/>
  <c r="B206" i="138" s="1"/>
  <c r="R46" i="140"/>
  <c r="Q47" i="140"/>
  <c r="R47" i="140"/>
  <c r="S47" i="140" a="1"/>
  <c r="S47" i="140"/>
  <c r="B207" i="138" s="1"/>
  <c r="Q48" i="140"/>
  <c r="S48" i="140" s="1" a="1"/>
  <c r="S48" i="140" s="1"/>
  <c r="B208" i="138" s="1"/>
  <c r="R48" i="140"/>
  <c r="Q49" i="140"/>
  <c r="R49" i="140"/>
  <c r="S49" i="140" a="1"/>
  <c r="S49" i="140" s="1"/>
  <c r="B209" i="138" s="1"/>
  <c r="Q50" i="140"/>
  <c r="R50" i="140"/>
  <c r="Q51" i="140"/>
  <c r="R51" i="140"/>
  <c r="S51" i="140" s="1" a="1"/>
  <c r="S51" i="140" s="1"/>
  <c r="B211" i="138" s="1"/>
  <c r="Q52" i="140"/>
  <c r="S52" i="140" s="1" a="1"/>
  <c r="S52" i="140" s="1"/>
  <c r="B212" i="138" s="1"/>
  <c r="R52" i="140"/>
  <c r="Q53" i="140"/>
  <c r="R53" i="140"/>
  <c r="S53" i="140" s="1" a="1"/>
  <c r="S53" i="140" s="1"/>
  <c r="B213" i="138" s="1"/>
  <c r="Q54" i="140"/>
  <c r="S54" i="140" s="1" a="1"/>
  <c r="S54" i="140" s="1"/>
  <c r="B214" i="138" s="1"/>
  <c r="R54" i="140"/>
  <c r="Q55" i="140"/>
  <c r="R55" i="140"/>
  <c r="S55" i="140" a="1"/>
  <c r="S55" i="140" s="1"/>
  <c r="B215" i="138" s="1"/>
  <c r="Q56" i="140"/>
  <c r="R56" i="140"/>
  <c r="Q57" i="140"/>
  <c r="R57" i="140"/>
  <c r="S57" i="140" a="1"/>
  <c r="S57" i="140" s="1"/>
  <c r="B217" i="138" s="1"/>
  <c r="Q58" i="140"/>
  <c r="R58" i="140"/>
  <c r="Q59" i="140"/>
  <c r="S59" i="140" s="1" a="1"/>
  <c r="S59" i="140" s="1"/>
  <c r="B219" i="138" s="1"/>
  <c r="R59" i="140"/>
  <c r="Q60" i="140"/>
  <c r="S60" i="140" s="1" a="1"/>
  <c r="S60" i="140" s="1"/>
  <c r="B220" i="138" s="1"/>
  <c r="R60" i="140"/>
  <c r="Q61" i="140"/>
  <c r="R61" i="140"/>
  <c r="S61" i="140" s="1" a="1"/>
  <c r="S61" i="140" s="1"/>
  <c r="B221" i="138" s="1"/>
  <c r="Q62" i="140"/>
  <c r="S62" i="140" s="1" a="1"/>
  <c r="S62" i="140" s="1"/>
  <c r="B222" i="138" s="1"/>
  <c r="R62" i="140"/>
  <c r="Q63" i="140"/>
  <c r="R63" i="140"/>
  <c r="S63" i="140" a="1"/>
  <c r="S63" i="140" s="1"/>
  <c r="B223" i="138" s="1"/>
  <c r="Q64" i="140"/>
  <c r="R64" i="140"/>
  <c r="Q65" i="140"/>
  <c r="R65" i="140"/>
  <c r="S65" i="140" a="1"/>
  <c r="S65" i="140" s="1"/>
  <c r="B225" i="138" s="1"/>
  <c r="Q66" i="140"/>
  <c r="R66" i="140"/>
  <c r="Q67" i="140"/>
  <c r="S67" i="140" s="1" a="1"/>
  <c r="S67" i="140" s="1"/>
  <c r="B227" i="138" s="1"/>
  <c r="R67" i="140"/>
  <c r="Q68" i="140"/>
  <c r="S68" i="140" s="1" a="1"/>
  <c r="S68" i="140" s="1"/>
  <c r="B228" i="138" s="1"/>
  <c r="R68" i="140"/>
  <c r="Q69" i="140"/>
  <c r="R69" i="140"/>
  <c r="S69" i="140" s="1" a="1"/>
  <c r="S69" i="140" s="1"/>
  <c r="B229" i="138" s="1"/>
  <c r="Q70" i="140"/>
  <c r="S70" i="140" s="1" a="1"/>
  <c r="S70" i="140" s="1"/>
  <c r="B230" i="138" s="1"/>
  <c r="R70" i="140"/>
  <c r="Q71" i="140"/>
  <c r="S71" i="140" s="1" a="1"/>
  <c r="S71" i="140" s="1"/>
  <c r="B231" i="138" s="1"/>
  <c r="R71" i="140"/>
  <c r="Q72" i="140"/>
  <c r="R72" i="140"/>
  <c r="Q73" i="140"/>
  <c r="R73" i="140"/>
  <c r="S73" i="140" a="1"/>
  <c r="S73" i="140" s="1"/>
  <c r="B233" i="138" s="1"/>
  <c r="Q74" i="140"/>
  <c r="R74" i="140"/>
  <c r="Q75" i="140"/>
  <c r="S75" i="140" s="1" a="1"/>
  <c r="S75" i="140" s="1"/>
  <c r="B235" i="138" s="1"/>
  <c r="R75" i="140"/>
  <c r="Q76" i="140"/>
  <c r="S76" i="140" s="1" a="1"/>
  <c r="S76" i="140" s="1"/>
  <c r="B236" i="138" s="1"/>
  <c r="R76" i="140"/>
  <c r="Q77" i="140"/>
  <c r="R77" i="140"/>
  <c r="S77" i="140" s="1" a="1"/>
  <c r="S77" i="140" s="1"/>
  <c r="B237" i="138" s="1"/>
  <c r="Q78" i="140"/>
  <c r="S78" i="140" s="1" a="1"/>
  <c r="S78" i="140" s="1"/>
  <c r="B238" i="138" s="1"/>
  <c r="R78" i="140"/>
  <c r="Q79" i="140"/>
  <c r="S79" i="140" s="1" a="1"/>
  <c r="S79" i="140" s="1"/>
  <c r="B239" i="138" s="1"/>
  <c r="R79" i="140"/>
  <c r="Q80" i="140"/>
  <c r="R80" i="140"/>
  <c r="Q81" i="140"/>
  <c r="R81" i="140"/>
  <c r="S81" i="140" a="1"/>
  <c r="S81" i="140" s="1"/>
  <c r="B241" i="138" s="1"/>
  <c r="Q82" i="140"/>
  <c r="R82" i="140"/>
  <c r="Q83" i="140"/>
  <c r="S83" i="140" s="1" a="1"/>
  <c r="S83" i="140" s="1"/>
  <c r="B243" i="138" s="1"/>
  <c r="R83" i="140"/>
  <c r="Q84" i="140"/>
  <c r="S84" i="140" s="1" a="1"/>
  <c r="S84" i="140" s="1"/>
  <c r="B244" i="138" s="1"/>
  <c r="R84" i="140"/>
  <c r="Q85" i="140"/>
  <c r="R85" i="140"/>
  <c r="S85" i="140" s="1" a="1"/>
  <c r="S85" i="140" s="1"/>
  <c r="B245" i="138" s="1"/>
  <c r="Q86" i="140"/>
  <c r="S86" i="140" s="1" a="1"/>
  <c r="S86" i="140" s="1"/>
  <c r="B246" i="138" s="1"/>
  <c r="R86" i="140"/>
  <c r="Q87" i="140"/>
  <c r="S87" i="140" s="1" a="1"/>
  <c r="S87" i="140" s="1"/>
  <c r="B247" i="138" s="1"/>
  <c r="R87" i="140"/>
  <c r="Q88" i="140"/>
  <c r="R88" i="140"/>
  <c r="Q89" i="140"/>
  <c r="R89" i="140"/>
  <c r="S89" i="140" a="1"/>
  <c r="S89" i="140" s="1"/>
  <c r="B249" i="138" s="1"/>
  <c r="Q90" i="140"/>
  <c r="R90" i="140"/>
  <c r="Q91" i="140"/>
  <c r="S91" i="140" s="1" a="1"/>
  <c r="S91" i="140" s="1"/>
  <c r="B251" i="138" s="1"/>
  <c r="R91" i="140"/>
  <c r="Q92" i="140"/>
  <c r="S92" i="140" s="1" a="1"/>
  <c r="S92" i="140" s="1"/>
  <c r="B252" i="138" s="1"/>
  <c r="R92" i="140"/>
  <c r="Q93" i="140"/>
  <c r="R93" i="140"/>
  <c r="S93" i="140" s="1" a="1"/>
  <c r="S93" i="140" s="1"/>
  <c r="B253" i="138" s="1"/>
  <c r="Q94" i="140"/>
  <c r="S94" i="140" s="1" a="1"/>
  <c r="S94" i="140" s="1"/>
  <c r="B254" i="138" s="1"/>
  <c r="R94" i="140"/>
  <c r="Q95" i="140"/>
  <c r="S95" i="140" s="1" a="1"/>
  <c r="S95" i="140" s="1"/>
  <c r="B255" i="138" s="1"/>
  <c r="R95" i="140"/>
  <c r="Q96" i="140"/>
  <c r="R96" i="140"/>
  <c r="Q97" i="140"/>
  <c r="R97" i="140"/>
  <c r="S97" i="140" a="1"/>
  <c r="S97" i="140" s="1"/>
  <c r="B257" i="138" s="1"/>
  <c r="Q98" i="140"/>
  <c r="R98" i="140"/>
  <c r="Q99" i="140"/>
  <c r="S99" i="140" s="1" a="1"/>
  <c r="S99" i="140" s="1"/>
  <c r="B259" i="138" s="1"/>
  <c r="R99" i="140"/>
  <c r="Q100" i="140"/>
  <c r="S100" i="140" s="1" a="1"/>
  <c r="S100" i="140" s="1"/>
  <c r="B260" i="138" s="1"/>
  <c r="R100" i="140"/>
  <c r="Q101" i="140"/>
  <c r="R101" i="140"/>
  <c r="S101" i="140" s="1" a="1"/>
  <c r="S101" i="140" s="1"/>
  <c r="B261" i="138" s="1"/>
  <c r="Q102" i="140"/>
  <c r="S102" i="140" s="1" a="1"/>
  <c r="S102" i="140" s="1"/>
  <c r="B262" i="138" s="1"/>
  <c r="R102" i="140"/>
  <c r="Q103" i="140"/>
  <c r="S103" i="140" s="1" a="1"/>
  <c r="S103" i="140" s="1"/>
  <c r="B263" i="138" s="1"/>
  <c r="R103" i="140"/>
  <c r="Q104" i="140"/>
  <c r="R104" i="140"/>
  <c r="Q105" i="140"/>
  <c r="R105" i="140"/>
  <c r="S105" i="140" a="1"/>
  <c r="S105" i="140" s="1"/>
  <c r="B265" i="138" s="1"/>
  <c r="Q106" i="140"/>
  <c r="R106" i="140"/>
  <c r="Q107" i="140"/>
  <c r="S107" i="140" s="1" a="1"/>
  <c r="S107" i="140" s="1"/>
  <c r="B267" i="138" s="1"/>
  <c r="R107" i="140"/>
  <c r="Q108" i="140"/>
  <c r="S108" i="140" s="1" a="1"/>
  <c r="S108" i="140" s="1"/>
  <c r="B268" i="138" s="1"/>
  <c r="R108" i="140"/>
  <c r="Q109" i="140"/>
  <c r="R109" i="140"/>
  <c r="S109" i="140" s="1" a="1"/>
  <c r="S109" i="140" s="1"/>
  <c r="B269" i="138" s="1"/>
  <c r="Q110" i="140"/>
  <c r="S110" i="140" s="1" a="1"/>
  <c r="S110" i="140" s="1"/>
  <c r="B270" i="138" s="1"/>
  <c r="R110" i="140"/>
  <c r="Q111" i="140"/>
  <c r="S111" i="140" s="1" a="1"/>
  <c r="S111" i="140" s="1"/>
  <c r="B271" i="138" s="1"/>
  <c r="R111" i="140"/>
  <c r="Q112" i="140"/>
  <c r="R112" i="140"/>
  <c r="Q113" i="140"/>
  <c r="R113" i="140"/>
  <c r="S113" i="140" a="1"/>
  <c r="S113" i="140" s="1"/>
  <c r="B273" i="138" s="1"/>
  <c r="Q114" i="140"/>
  <c r="R114" i="140"/>
  <c r="Q115" i="140"/>
  <c r="S115" i="140" s="1" a="1"/>
  <c r="S115" i="140" s="1"/>
  <c r="B275" i="138" s="1"/>
  <c r="R115" i="140"/>
  <c r="Q116" i="140"/>
  <c r="S116" i="140" s="1" a="1"/>
  <c r="S116" i="140" s="1"/>
  <c r="B276" i="138" s="1"/>
  <c r="R116" i="140"/>
  <c r="Q117" i="140"/>
  <c r="R117" i="140"/>
  <c r="S117" i="140" s="1" a="1"/>
  <c r="S117" i="140" s="1"/>
  <c r="B277" i="138" s="1"/>
  <c r="Q118" i="140"/>
  <c r="R118" i="140"/>
  <c r="S118" i="140" a="1"/>
  <c r="S118" i="140" s="1"/>
  <c r="B278" i="138" s="1"/>
  <c r="Q119" i="140"/>
  <c r="R119" i="140"/>
  <c r="S119" i="140" a="1"/>
  <c r="S119" i="140" s="1"/>
  <c r="B279" i="138" s="1"/>
  <c r="Q120" i="140"/>
  <c r="S120" i="140" s="1" a="1"/>
  <c r="S120" i="140" s="1"/>
  <c r="B280" i="138" s="1"/>
  <c r="R120" i="140"/>
  <c r="Q121" i="140"/>
  <c r="S121" i="140" s="1" a="1"/>
  <c r="S121" i="140" s="1"/>
  <c r="B281" i="138" s="1"/>
  <c r="R121" i="140"/>
  <c r="Q122" i="140"/>
  <c r="S122" i="140" s="1" a="1"/>
  <c r="S122" i="140" s="1"/>
  <c r="B282" i="138" s="1"/>
  <c r="R122" i="140"/>
  <c r="Q123" i="140"/>
  <c r="R123" i="140"/>
  <c r="S123" i="140" s="1" a="1"/>
  <c r="S123" i="140" s="1"/>
  <c r="B283" i="138" s="1"/>
  <c r="Q124" i="140"/>
  <c r="R124" i="140"/>
  <c r="S124" i="140" a="1"/>
  <c r="S124" i="140" s="1"/>
  <c r="B284" i="138" s="1"/>
  <c r="Q125" i="140"/>
  <c r="R125" i="140"/>
  <c r="S125" i="140" a="1"/>
  <c r="S125" i="140" s="1"/>
  <c r="B285" i="138" s="1"/>
  <c r="Q126" i="140"/>
  <c r="R126" i="140"/>
  <c r="S126" i="140" s="1" a="1"/>
  <c r="S126" i="140" s="1"/>
  <c r="B286" i="138" s="1"/>
  <c r="Q127" i="140"/>
  <c r="S127" i="140" s="1" a="1"/>
  <c r="S127" i="140" s="1"/>
  <c r="B287" i="138" s="1"/>
  <c r="R127" i="140"/>
  <c r="Q128" i="140"/>
  <c r="R128" i="140"/>
  <c r="S128" i="140" a="1"/>
  <c r="S128" i="140" s="1"/>
  <c r="B288" i="138" s="1"/>
  <c r="Q129" i="140"/>
  <c r="S129" i="140" s="1" a="1"/>
  <c r="S129" i="140" s="1"/>
  <c r="B289" i="138" s="1"/>
  <c r="R129" i="140"/>
  <c r="Q130" i="140"/>
  <c r="S130" i="140" s="1" a="1"/>
  <c r="S130" i="140" s="1"/>
  <c r="B290" i="138" s="1"/>
  <c r="R130" i="140"/>
  <c r="Q131" i="140"/>
  <c r="R131" i="140"/>
  <c r="S131" i="140" a="1"/>
  <c r="S131" i="140" s="1"/>
  <c r="B291" i="138" s="1"/>
  <c r="Q132" i="140"/>
  <c r="R132" i="140"/>
  <c r="S132" i="140" s="1" a="1"/>
  <c r="S132" i="140" s="1"/>
  <c r="B292" i="138" s="1"/>
  <c r="Q133" i="140"/>
  <c r="R133" i="140"/>
  <c r="S133" i="140" s="1" a="1"/>
  <c r="S133" i="140" s="1"/>
  <c r="B293" i="138" s="1"/>
  <c r="Q134" i="140"/>
  <c r="R134" i="140"/>
  <c r="S134" i="140" a="1"/>
  <c r="S134" i="140" s="1"/>
  <c r="B294" i="138" s="1"/>
  <c r="Q135" i="140"/>
  <c r="R135" i="140"/>
  <c r="S135" i="140" a="1"/>
  <c r="S135" i="140" s="1"/>
  <c r="B295" i="138" s="1"/>
  <c r="Q136" i="140"/>
  <c r="S136" i="140" s="1" a="1"/>
  <c r="S136" i="140" s="1"/>
  <c r="B296" i="138" s="1"/>
  <c r="R136" i="140"/>
  <c r="Q137" i="140"/>
  <c r="S137" i="140" s="1" a="1"/>
  <c r="S137" i="140" s="1"/>
  <c r="B297" i="138" s="1"/>
  <c r="R137" i="140"/>
  <c r="Q138" i="140"/>
  <c r="S138" i="140" s="1" a="1"/>
  <c r="S138" i="140" s="1"/>
  <c r="B298" i="138" s="1"/>
  <c r="R138" i="140"/>
  <c r="Q139" i="140"/>
  <c r="R139" i="140"/>
  <c r="S139" i="140" s="1" a="1"/>
  <c r="S139" i="140" s="1"/>
  <c r="B299" i="138" s="1"/>
  <c r="Q140" i="140"/>
  <c r="R140" i="140"/>
  <c r="S140" i="140" a="1"/>
  <c r="S140" i="140" s="1"/>
  <c r="B300" i="138" s="1"/>
  <c r="Q141" i="140"/>
  <c r="R141" i="140"/>
  <c r="S141" i="140" a="1"/>
  <c r="S141" i="140" s="1"/>
  <c r="B301" i="138" s="1"/>
  <c r="Q142" i="140"/>
  <c r="R142" i="140"/>
  <c r="S142" i="140" s="1" a="1"/>
  <c r="S142" i="140" s="1"/>
  <c r="B302" i="138" s="1"/>
  <c r="Q143" i="140"/>
  <c r="S143" i="140" s="1" a="1"/>
  <c r="S143" i="140" s="1"/>
  <c r="B303" i="138" s="1"/>
  <c r="R143" i="140"/>
  <c r="Q144" i="140"/>
  <c r="R144" i="140"/>
  <c r="S144" i="140" a="1"/>
  <c r="S144" i="140" s="1"/>
  <c r="B304" i="138" s="1"/>
  <c r="Q145" i="140"/>
  <c r="S145" i="140" s="1" a="1"/>
  <c r="S145" i="140" s="1"/>
  <c r="B305" i="138" s="1"/>
  <c r="R145" i="140"/>
  <c r="Q146" i="140"/>
  <c r="S146" i="140" s="1" a="1"/>
  <c r="S146" i="140" s="1"/>
  <c r="B306" i="138" s="1"/>
  <c r="R146" i="140"/>
  <c r="Q147" i="140"/>
  <c r="R147" i="140"/>
  <c r="S147" i="140" a="1"/>
  <c r="S147" i="140" s="1"/>
  <c r="B307" i="138" s="1"/>
  <c r="Q148" i="140"/>
  <c r="R148" i="140"/>
  <c r="S148" i="140" s="1" a="1"/>
  <c r="S148" i="140" s="1"/>
  <c r="B308" i="138" s="1"/>
  <c r="Q149" i="140"/>
  <c r="R149" i="140"/>
  <c r="S149" i="140" s="1" a="1"/>
  <c r="S149" i="140" s="1"/>
  <c r="B309" i="138" s="1"/>
  <c r="Q150" i="140"/>
  <c r="R150" i="140"/>
  <c r="S150" i="140" a="1"/>
  <c r="S150" i="140" s="1"/>
  <c r="B310" i="138" s="1"/>
  <c r="Q151" i="140"/>
  <c r="R151" i="140"/>
  <c r="S151" i="140" a="1"/>
  <c r="S151" i="140" s="1"/>
  <c r="B311" i="138" s="1"/>
  <c r="Q152" i="140"/>
  <c r="S152" i="140" s="1" a="1"/>
  <c r="S152" i="140" s="1"/>
  <c r="B312" i="138" s="1"/>
  <c r="R152" i="140"/>
  <c r="Q153" i="140"/>
  <c r="S153" i="140" s="1" a="1"/>
  <c r="S153" i="140" s="1"/>
  <c r="B313" i="138" s="1"/>
  <c r="R153" i="140"/>
  <c r="Q154" i="140"/>
  <c r="S154" i="140" s="1" a="1"/>
  <c r="S154" i="140" s="1"/>
  <c r="B314" i="138" s="1"/>
  <c r="R154" i="140"/>
  <c r="Q155" i="140"/>
  <c r="R155" i="140"/>
  <c r="S155" i="140" s="1" a="1"/>
  <c r="S155" i="140" s="1"/>
  <c r="B315" i="138"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B28" i="138" s="1"/>
  <c r="R23" i="137"/>
  <c r="Q24" i="137"/>
  <c r="R24" i="137"/>
  <c r="Q25" i="137"/>
  <c r="S25" i="137" s="1" a="1"/>
  <c r="S25" i="137" s="1"/>
  <c r="B30" i="138" s="1"/>
  <c r="R25" i="137"/>
  <c r="Q26" i="137"/>
  <c r="S26" i="137" s="1" a="1"/>
  <c r="S26" i="137" s="1"/>
  <c r="B31" i="138" s="1"/>
  <c r="R26" i="137"/>
  <c r="Q27" i="137"/>
  <c r="S27" i="137" s="1" a="1"/>
  <c r="S27" i="137" s="1"/>
  <c r="B32" i="138" s="1"/>
  <c r="R27" i="137"/>
  <c r="Q28" i="137"/>
  <c r="R28" i="137"/>
  <c r="Q29" i="137"/>
  <c r="S29" i="137" s="1" a="1"/>
  <c r="S29" i="137" s="1"/>
  <c r="B34" i="138" s="1"/>
  <c r="R29" i="137"/>
  <c r="Q30" i="137"/>
  <c r="S30" i="137" s="1" a="1"/>
  <c r="S30" i="137" s="1"/>
  <c r="B35" i="138" s="1"/>
  <c r="R30" i="137"/>
  <c r="Q31" i="137"/>
  <c r="S31" i="137" s="1" a="1"/>
  <c r="S31" i="137" s="1"/>
  <c r="B36" i="138" s="1"/>
  <c r="R31" i="137"/>
  <c r="Q32" i="137"/>
  <c r="R32" i="137"/>
  <c r="Q33" i="137"/>
  <c r="S33" i="137" s="1" a="1"/>
  <c r="S33" i="137" s="1"/>
  <c r="B38" i="138" s="1"/>
  <c r="R33" i="137"/>
  <c r="Q34" i="137"/>
  <c r="R34" i="137"/>
  <c r="Q35" i="137"/>
  <c r="S35" i="137" s="1" a="1"/>
  <c r="S35" i="137" s="1"/>
  <c r="B40" i="138" s="1"/>
  <c r="R35" i="137"/>
  <c r="Q36" i="137"/>
  <c r="R36" i="137"/>
  <c r="Q37" i="137"/>
  <c r="S37" i="137" s="1" a="1"/>
  <c r="S37" i="137" s="1"/>
  <c r="B42" i="138" s="1"/>
  <c r="R37" i="137"/>
  <c r="Q38" i="137"/>
  <c r="S38" i="137" s="1" a="1"/>
  <c r="S38" i="137" s="1"/>
  <c r="B43" i="138" s="1"/>
  <c r="R38" i="137"/>
  <c r="Q39" i="137"/>
  <c r="S39" i="137" s="1" a="1"/>
  <c r="S39" i="137" s="1"/>
  <c r="B44" i="138" s="1"/>
  <c r="R39" i="137"/>
  <c r="Q40" i="137"/>
  <c r="R40" i="137"/>
  <c r="Q41" i="137"/>
  <c r="S41" i="137" s="1" a="1"/>
  <c r="S41" i="137" s="1"/>
  <c r="B46" i="138" s="1"/>
  <c r="R41" i="137"/>
  <c r="Q42" i="137"/>
  <c r="S42" i="137" s="1" a="1"/>
  <c r="R42" i="137"/>
  <c r="S42" i="137"/>
  <c r="B47" i="138" s="1"/>
  <c r="Q43" i="137"/>
  <c r="S43" i="137" s="1" a="1"/>
  <c r="S43" i="137" s="1"/>
  <c r="B48" i="138" s="1"/>
  <c r="R43" i="137"/>
  <c r="Q44" i="137"/>
  <c r="R44" i="137"/>
  <c r="Q45" i="137"/>
  <c r="S45" i="137" s="1" a="1"/>
  <c r="S45" i="137" s="1"/>
  <c r="B50" i="138" s="1"/>
  <c r="R45" i="137"/>
  <c r="Q46" i="137"/>
  <c r="S46" i="137" s="1" a="1"/>
  <c r="S46" i="137" s="1"/>
  <c r="B51" i="138" s="1"/>
  <c r="R46" i="137"/>
  <c r="Q47" i="137"/>
  <c r="S47" i="137" s="1" a="1"/>
  <c r="S47" i="137" s="1"/>
  <c r="B52" i="138" s="1"/>
  <c r="R47" i="137"/>
  <c r="Q48" i="137"/>
  <c r="R48" i="137"/>
  <c r="Q49" i="137"/>
  <c r="R49" i="137"/>
  <c r="S49" i="137" a="1"/>
  <c r="S49" i="137" s="1"/>
  <c r="B54" i="138" s="1"/>
  <c r="Q50" i="137"/>
  <c r="R50" i="137"/>
  <c r="Q51" i="137"/>
  <c r="R51" i="137"/>
  <c r="S51" i="137" a="1"/>
  <c r="S51" i="137" s="1"/>
  <c r="B56" i="138" s="1"/>
  <c r="Q52" i="137"/>
  <c r="R52" i="137"/>
  <c r="Q53" i="137"/>
  <c r="R53" i="137"/>
  <c r="S53" i="137" a="1"/>
  <c r="S53" i="137" s="1"/>
  <c r="B58" i="138" s="1"/>
  <c r="Q54" i="137"/>
  <c r="R54" i="137"/>
  <c r="Q55" i="137"/>
  <c r="R55" i="137"/>
  <c r="S55" i="137" a="1"/>
  <c r="S55" i="137" s="1"/>
  <c r="B60" i="138" s="1"/>
  <c r="Q56" i="137"/>
  <c r="R56" i="137"/>
  <c r="Q57" i="137"/>
  <c r="R57" i="137"/>
  <c r="S57" i="137" a="1"/>
  <c r="S57" i="137" s="1"/>
  <c r="B62" i="138" s="1"/>
  <c r="Q58" i="137"/>
  <c r="R58" i="137"/>
  <c r="Q59" i="137"/>
  <c r="R59" i="137"/>
  <c r="S59" i="137" a="1"/>
  <c r="S59" i="137" s="1"/>
  <c r="B64" i="138" s="1"/>
  <c r="Q60" i="137"/>
  <c r="R60" i="137"/>
  <c r="Q61" i="137"/>
  <c r="R61" i="137"/>
  <c r="S61" i="137" a="1"/>
  <c r="S61" i="137" s="1"/>
  <c r="B66" i="138" s="1"/>
  <c r="Q62" i="137"/>
  <c r="R62" i="137"/>
  <c r="Q63" i="137"/>
  <c r="R63" i="137"/>
  <c r="S63" i="137" a="1"/>
  <c r="S63" i="137" s="1"/>
  <c r="B68" i="138" s="1"/>
  <c r="Q64" i="137"/>
  <c r="R64" i="137"/>
  <c r="Q65" i="137"/>
  <c r="R65" i="137"/>
  <c r="S65" i="137" a="1"/>
  <c r="S65" i="137" s="1"/>
  <c r="B70" i="138" s="1"/>
  <c r="Q66" i="137"/>
  <c r="R66" i="137"/>
  <c r="Q67" i="137"/>
  <c r="R67" i="137"/>
  <c r="S67" i="137" a="1"/>
  <c r="S67" i="137" s="1"/>
  <c r="B72" i="138" s="1"/>
  <c r="Q68" i="137"/>
  <c r="R68" i="137"/>
  <c r="Q69" i="137"/>
  <c r="R69" i="137"/>
  <c r="S69" i="137" a="1"/>
  <c r="S69" i="137" s="1"/>
  <c r="B74" i="138" s="1"/>
  <c r="Q70" i="137"/>
  <c r="R70" i="137"/>
  <c r="Q71" i="137"/>
  <c r="R71" i="137"/>
  <c r="S71" i="137" a="1"/>
  <c r="S71" i="137" s="1"/>
  <c r="B76" i="138" s="1"/>
  <c r="Q72" i="137"/>
  <c r="R72" i="137"/>
  <c r="Q73" i="137"/>
  <c r="R73" i="137"/>
  <c r="S73" i="137" a="1"/>
  <c r="S73" i="137" s="1"/>
  <c r="B78" i="138" s="1"/>
  <c r="Q74" i="137"/>
  <c r="R74" i="137"/>
  <c r="Q75" i="137"/>
  <c r="R75" i="137"/>
  <c r="S75" i="137" a="1"/>
  <c r="S75" i="137" s="1"/>
  <c r="B80" i="138" s="1"/>
  <c r="Q76" i="137"/>
  <c r="R76" i="137"/>
  <c r="Q77" i="137"/>
  <c r="R77" i="137"/>
  <c r="S77" i="137" a="1"/>
  <c r="S77" i="137" s="1"/>
  <c r="B82" i="138" s="1"/>
  <c r="Q78" i="137"/>
  <c r="R78" i="137"/>
  <c r="Q79" i="137"/>
  <c r="R79" i="137"/>
  <c r="S79" i="137" a="1"/>
  <c r="S79" i="137" s="1"/>
  <c r="B84" i="138" s="1"/>
  <c r="Q80" i="137"/>
  <c r="R80" i="137"/>
  <c r="Q81" i="137"/>
  <c r="R81" i="137"/>
  <c r="S81" i="137" a="1"/>
  <c r="S81" i="137" s="1"/>
  <c r="B86" i="138" s="1"/>
  <c r="Q82" i="137"/>
  <c r="R82" i="137"/>
  <c r="Q83" i="137"/>
  <c r="R83" i="137"/>
  <c r="S83" i="137" a="1"/>
  <c r="S83" i="137" s="1"/>
  <c r="B88" i="138" s="1"/>
  <c r="Q84" i="137"/>
  <c r="R84" i="137"/>
  <c r="Q85" i="137"/>
  <c r="R85" i="137"/>
  <c r="S85" i="137" a="1"/>
  <c r="S85" i="137" s="1"/>
  <c r="B90" i="138" s="1"/>
  <c r="Q86" i="137"/>
  <c r="R86" i="137"/>
  <c r="Q87" i="137"/>
  <c r="R87" i="137"/>
  <c r="S87" i="137" a="1"/>
  <c r="S87" i="137" s="1"/>
  <c r="B92" i="138" s="1"/>
  <c r="Q88" i="137"/>
  <c r="R88" i="137"/>
  <c r="Q89" i="137"/>
  <c r="R89" i="137"/>
  <c r="S89" i="137" a="1"/>
  <c r="S89" i="137" s="1"/>
  <c r="B94" i="138" s="1"/>
  <c r="Q90" i="137"/>
  <c r="R90" i="137"/>
  <c r="Q91" i="137"/>
  <c r="R91" i="137"/>
  <c r="S91" i="137" a="1"/>
  <c r="S91" i="137" s="1"/>
  <c r="B96" i="138" s="1"/>
  <c r="Q92" i="137"/>
  <c r="R92" i="137"/>
  <c r="Q93" i="137"/>
  <c r="R93" i="137"/>
  <c r="S93" i="137" a="1"/>
  <c r="S93" i="137" s="1"/>
  <c r="B98" i="138" s="1"/>
  <c r="Q94" i="137"/>
  <c r="R94" i="137"/>
  <c r="Q95" i="137"/>
  <c r="R95" i="137"/>
  <c r="S95" i="137" a="1"/>
  <c r="S95" i="137" s="1"/>
  <c r="B100" i="138" s="1"/>
  <c r="Q96" i="137"/>
  <c r="R96" i="137"/>
  <c r="Q97" i="137"/>
  <c r="R97" i="137"/>
  <c r="S97" i="137" a="1"/>
  <c r="S97" i="137" s="1"/>
  <c r="B102" i="138" s="1"/>
  <c r="Q98" i="137"/>
  <c r="R98" i="137"/>
  <c r="Q99" i="137"/>
  <c r="R99" i="137"/>
  <c r="S99" i="137" a="1"/>
  <c r="S99" i="137" s="1"/>
  <c r="B104" i="138" s="1"/>
  <c r="Q100" i="137"/>
  <c r="R100" i="137"/>
  <c r="Q101" i="137"/>
  <c r="R101" i="137"/>
  <c r="S101" i="137" a="1"/>
  <c r="S101" i="137" s="1"/>
  <c r="B106" i="138" s="1"/>
  <c r="Q102" i="137"/>
  <c r="R102" i="137"/>
  <c r="Q103" i="137"/>
  <c r="R103" i="137"/>
  <c r="S103" i="137" a="1"/>
  <c r="S103" i="137" s="1"/>
  <c r="B108" i="138" s="1"/>
  <c r="Q104" i="137"/>
  <c r="R104" i="137"/>
  <c r="Q105" i="137"/>
  <c r="R105" i="137"/>
  <c r="S105" i="137" a="1"/>
  <c r="S105" i="137" s="1"/>
  <c r="B110" i="138" s="1"/>
  <c r="Q106" i="137"/>
  <c r="R106" i="137"/>
  <c r="Q107" i="137"/>
  <c r="R107" i="137"/>
  <c r="S107" i="137" a="1"/>
  <c r="S107" i="137" s="1"/>
  <c r="B112" i="138" s="1"/>
  <c r="Q108" i="137"/>
  <c r="R108" i="137"/>
  <c r="Q109" i="137"/>
  <c r="R109" i="137"/>
  <c r="S109" i="137" a="1"/>
  <c r="S109" i="137" s="1"/>
  <c r="B114" i="138" s="1"/>
  <c r="Q110" i="137"/>
  <c r="R110" i="137"/>
  <c r="Q111" i="137"/>
  <c r="R111" i="137"/>
  <c r="S111" i="137" a="1"/>
  <c r="S111" i="137" s="1"/>
  <c r="B116" i="138" s="1"/>
  <c r="Q112" i="137"/>
  <c r="R112" i="137"/>
  <c r="Q113" i="137"/>
  <c r="R113" i="137"/>
  <c r="S113" i="137" a="1"/>
  <c r="S113" i="137" s="1"/>
  <c r="B118" i="138" s="1"/>
  <c r="Q114" i="137"/>
  <c r="R114" i="137"/>
  <c r="Q115" i="137"/>
  <c r="R115" i="137"/>
  <c r="S115" i="137" a="1"/>
  <c r="S115" i="137" s="1"/>
  <c r="B120" i="138" s="1"/>
  <c r="Q116" i="137"/>
  <c r="R116" i="137"/>
  <c r="Q117" i="137"/>
  <c r="R117" i="137"/>
  <c r="S117" i="137" a="1"/>
  <c r="S117" i="137" s="1"/>
  <c r="B122" i="138" s="1"/>
  <c r="Q118" i="137"/>
  <c r="R118" i="137"/>
  <c r="Q119" i="137"/>
  <c r="R119" i="137"/>
  <c r="S119" i="137" a="1"/>
  <c r="S119" i="137" s="1"/>
  <c r="B124" i="138" s="1"/>
  <c r="Q120" i="137"/>
  <c r="R120" i="137"/>
  <c r="Q121" i="137"/>
  <c r="R121" i="137"/>
  <c r="S121" i="137" a="1"/>
  <c r="S121" i="137" s="1"/>
  <c r="B126" i="138" s="1"/>
  <c r="Q122" i="137"/>
  <c r="R122" i="137"/>
  <c r="Q123" i="137"/>
  <c r="R123" i="137"/>
  <c r="S123" i="137" a="1"/>
  <c r="S123" i="137" s="1"/>
  <c r="B128" i="138" s="1"/>
  <c r="Q124" i="137"/>
  <c r="R124" i="137"/>
  <c r="Q125" i="137"/>
  <c r="R125" i="137"/>
  <c r="S125" i="137" a="1"/>
  <c r="S125" i="137" s="1"/>
  <c r="B130" i="138" s="1"/>
  <c r="Q126" i="137"/>
  <c r="R126" i="137"/>
  <c r="Q127" i="137"/>
  <c r="R127" i="137"/>
  <c r="S127" i="137" a="1"/>
  <c r="S127" i="137" s="1"/>
  <c r="B132" i="138" s="1"/>
  <c r="Q128" i="137"/>
  <c r="R128" i="137"/>
  <c r="Q129" i="137"/>
  <c r="R129" i="137"/>
  <c r="S129" i="137" a="1"/>
  <c r="S129" i="137" s="1"/>
  <c r="B134" i="138" s="1"/>
  <c r="Q130" i="137"/>
  <c r="R130" i="137"/>
  <c r="Q131" i="137"/>
  <c r="R131" i="137"/>
  <c r="S131" i="137" a="1"/>
  <c r="S131" i="137" s="1"/>
  <c r="B136" i="138" s="1"/>
  <c r="Q132" i="137"/>
  <c r="R132" i="137"/>
  <c r="Q133" i="137"/>
  <c r="R133" i="137"/>
  <c r="S133" i="137" a="1"/>
  <c r="S133" i="137" s="1"/>
  <c r="B138" i="138" s="1"/>
  <c r="Q134" i="137"/>
  <c r="R134" i="137"/>
  <c r="Q135" i="137"/>
  <c r="R135" i="137"/>
  <c r="S135" i="137" a="1"/>
  <c r="S135" i="137" s="1"/>
  <c r="B140" i="138" s="1"/>
  <c r="Q136" i="137"/>
  <c r="R136" i="137"/>
  <c r="Q137" i="137"/>
  <c r="R137" i="137"/>
  <c r="S137" i="137" a="1"/>
  <c r="S137" i="137" s="1"/>
  <c r="B142" i="138" s="1"/>
  <c r="Q138" i="137"/>
  <c r="R138" i="137"/>
  <c r="Q139" i="137"/>
  <c r="R139" i="137"/>
  <c r="S139" i="137" a="1"/>
  <c r="S139" i="137" s="1"/>
  <c r="B144" i="138" s="1"/>
  <c r="Q140" i="137"/>
  <c r="R140" i="137"/>
  <c r="Q141" i="137"/>
  <c r="R141" i="137"/>
  <c r="S141" i="137" a="1"/>
  <c r="S141" i="137" s="1"/>
  <c r="B146" i="138" s="1"/>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R149" i="137"/>
  <c r="S149" i="137" a="1"/>
  <c r="S149" i="137" s="1"/>
  <c r="B154" i="138" s="1"/>
  <c r="Q150" i="137"/>
  <c r="R150" i="137"/>
  <c r="Q151" i="137"/>
  <c r="R151" i="137"/>
  <c r="S151" i="137" a="1"/>
  <c r="S151" i="137" s="1"/>
  <c r="B156" i="138" s="1"/>
  <c r="Q152" i="137"/>
  <c r="R152" i="137"/>
  <c r="Q153" i="137"/>
  <c r="R153" i="137"/>
  <c r="S153" i="137" a="1"/>
  <c r="S153" i="137" s="1"/>
  <c r="B158" i="138" s="1"/>
  <c r="Q154" i="137"/>
  <c r="R154" i="137"/>
  <c r="Q155" i="137"/>
  <c r="R155" i="137"/>
  <c r="S155" i="137" a="1"/>
  <c r="S155" i="137" s="1"/>
  <c r="B160" i="138" s="1"/>
  <c r="Q156" i="137"/>
  <c r="R156" i="137"/>
  <c r="Q157" i="137"/>
  <c r="R157" i="137"/>
  <c r="S157" i="137" a="1"/>
  <c r="S157" i="137" s="1"/>
  <c r="B162" i="138" s="1"/>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B26" i="138" s="1"/>
  <c r="R21" i="137"/>
  <c r="Q22" i="137"/>
  <c r="R22" i="137"/>
  <c r="S22" i="137" a="1"/>
  <c r="S22" i="137" s="1"/>
  <c r="B27" i="138" s="1"/>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B54" i="145" s="1"/>
  <c r="R16" i="173"/>
  <c r="Q17" i="173"/>
  <c r="R17" i="173"/>
  <c r="S17" i="173" a="1"/>
  <c r="S17" i="173" s="1"/>
  <c r="B55" i="145" s="1"/>
  <c r="Q18" i="173"/>
  <c r="S18" i="173" s="1" a="1"/>
  <c r="S18" i="173" s="1"/>
  <c r="B56" i="145" s="1"/>
  <c r="R18" i="173"/>
  <c r="Q19" i="173"/>
  <c r="R19" i="173"/>
  <c r="S19" i="173" a="1"/>
  <c r="S19" i="173" s="1"/>
  <c r="B57" i="145" s="1"/>
  <c r="Q20" i="173"/>
  <c r="S20" i="173" s="1" a="1"/>
  <c r="S20" i="173" s="1"/>
  <c r="B58" i="145" s="1"/>
  <c r="R20" i="173"/>
  <c r="Q21" i="173"/>
  <c r="R21" i="173"/>
  <c r="S21" i="173" a="1"/>
  <c r="S21" i="173" s="1"/>
  <c r="B59" i="145" s="1"/>
  <c r="Q22" i="173"/>
  <c r="S22" i="173" s="1" a="1"/>
  <c r="S22" i="173" s="1"/>
  <c r="B60" i="145" s="1"/>
  <c r="R22" i="173"/>
  <c r="Q23" i="173"/>
  <c r="R23" i="173"/>
  <c r="S23" i="173" a="1"/>
  <c r="S23" i="173" s="1"/>
  <c r="B61" i="145" s="1"/>
  <c r="Q24" i="173"/>
  <c r="S24" i="173" s="1" a="1"/>
  <c r="S24" i="173" s="1"/>
  <c r="B62" i="145" s="1"/>
  <c r="R24" i="173"/>
  <c r="Q25" i="173"/>
  <c r="R25" i="173"/>
  <c r="S25" i="173" a="1"/>
  <c r="S25" i="173" s="1"/>
  <c r="B63" i="145" s="1"/>
  <c r="Q26" i="173"/>
  <c r="S26" i="173" s="1" a="1"/>
  <c r="S26" i="173" s="1"/>
  <c r="B64" i="145" s="1"/>
  <c r="R26" i="173"/>
  <c r="Q27" i="173"/>
  <c r="R27" i="173"/>
  <c r="S27" i="173" a="1"/>
  <c r="S27" i="173" s="1"/>
  <c r="B65" i="145" s="1"/>
  <c r="Q28" i="173"/>
  <c r="S28" i="173" s="1" a="1"/>
  <c r="S28" i="173" s="1"/>
  <c r="B66" i="145" s="1"/>
  <c r="R28" i="173"/>
  <c r="Q29" i="173"/>
  <c r="R29" i="173"/>
  <c r="S29" i="173" a="1"/>
  <c r="S29" i="173" s="1"/>
  <c r="B67" i="145" s="1"/>
  <c r="Q30" i="173"/>
  <c r="S30" i="173" s="1" a="1"/>
  <c r="S30" i="173" s="1"/>
  <c r="B68" i="145" s="1"/>
  <c r="R30" i="173"/>
  <c r="Q31" i="173"/>
  <c r="R31" i="173"/>
  <c r="S31" i="173" a="1"/>
  <c r="S31" i="173" s="1"/>
  <c r="B69" i="145" s="1"/>
  <c r="Q32" i="173"/>
  <c r="S32" i="173" s="1" a="1"/>
  <c r="S32" i="173" s="1"/>
  <c r="B70" i="145" s="1"/>
  <c r="R32" i="173"/>
  <c r="Q33" i="173"/>
  <c r="R33" i="173"/>
  <c r="S33" i="173" a="1"/>
  <c r="S33" i="173" s="1"/>
  <c r="B71" i="145" s="1"/>
  <c r="Q34" i="173"/>
  <c r="S34" i="173" s="1" a="1"/>
  <c r="S34" i="173" s="1"/>
  <c r="B72" i="145" s="1"/>
  <c r="R34" i="173"/>
  <c r="Q35" i="173"/>
  <c r="R35" i="173"/>
  <c r="S35" i="173" a="1"/>
  <c r="S35" i="173" s="1"/>
  <c r="B73" i="145" s="1"/>
  <c r="Q36" i="173"/>
  <c r="S36" i="173" s="1" a="1"/>
  <c r="S36" i="173" s="1"/>
  <c r="B74" i="145" s="1"/>
  <c r="R36" i="173"/>
  <c r="Q37" i="173"/>
  <c r="R37" i="173"/>
  <c r="S37" i="173" a="1"/>
  <c r="S37" i="173" s="1"/>
  <c r="B75" i="145" s="1"/>
  <c r="Q38" i="173"/>
  <c r="R38" i="173"/>
  <c r="Q39" i="173"/>
  <c r="R39" i="173"/>
  <c r="S39" i="173" a="1"/>
  <c r="S39" i="173" s="1"/>
  <c r="B77" i="145" s="1"/>
  <c r="Q40" i="173"/>
  <c r="S40" i="173" s="1" a="1"/>
  <c r="S40" i="173" s="1"/>
  <c r="B78" i="145" s="1"/>
  <c r="R40" i="173"/>
  <c r="Q41" i="173"/>
  <c r="R41" i="173"/>
  <c r="S41" i="173" a="1"/>
  <c r="S41" i="173" s="1"/>
  <c r="B79" i="145" s="1"/>
  <c r="Q42" i="173"/>
  <c r="S42" i="173" s="1" a="1"/>
  <c r="S42" i="173" s="1"/>
  <c r="B80" i="145" s="1"/>
  <c r="R42" i="173"/>
  <c r="Q43" i="173"/>
  <c r="R43" i="173"/>
  <c r="S43" i="173" a="1"/>
  <c r="S43" i="173" s="1"/>
  <c r="B81" i="145" s="1"/>
  <c r="Q44" i="173"/>
  <c r="R44" i="173"/>
  <c r="Q45" i="173"/>
  <c r="R45" i="173"/>
  <c r="S45" i="173" a="1"/>
  <c r="S45" i="173" s="1"/>
  <c r="B83" i="145" s="1"/>
  <c r="Q46" i="173"/>
  <c r="S46" i="173" s="1" a="1"/>
  <c r="S46" i="173" s="1"/>
  <c r="B84" i="145" s="1"/>
  <c r="R46" i="173"/>
  <c r="Q47" i="173"/>
  <c r="R47" i="173"/>
  <c r="S47" i="173" a="1"/>
  <c r="S47" i="173" s="1"/>
  <c r="B85" i="145" s="1"/>
  <c r="Q48" i="173"/>
  <c r="S48" i="173" s="1" a="1"/>
  <c r="S48" i="173" s="1"/>
  <c r="B86" i="145" s="1"/>
  <c r="R48" i="173"/>
  <c r="Q49" i="173"/>
  <c r="R49" i="173"/>
  <c r="S49" i="173" a="1"/>
  <c r="S49" i="173" s="1"/>
  <c r="B87" i="145" s="1"/>
  <c r="Q50" i="173"/>
  <c r="R50" i="173"/>
  <c r="Q51" i="173"/>
  <c r="R51" i="173"/>
  <c r="S51" i="173" a="1"/>
  <c r="S51" i="173" s="1"/>
  <c r="B89" i="145" s="1"/>
  <c r="Q52" i="173"/>
  <c r="S52" i="173" s="1" a="1"/>
  <c r="S52" i="173" s="1"/>
  <c r="B90" i="145" s="1"/>
  <c r="R52" i="173"/>
  <c r="Q53" i="173"/>
  <c r="R53" i="173"/>
  <c r="S53" i="173" a="1"/>
  <c r="S53" i="173" s="1"/>
  <c r="B91" i="145" s="1"/>
  <c r="Q54" i="173"/>
  <c r="S54" i="173" s="1" a="1"/>
  <c r="S54" i="173" s="1"/>
  <c r="B92" i="145" s="1"/>
  <c r="R54" i="173"/>
  <c r="Q55" i="173"/>
  <c r="R55" i="173"/>
  <c r="S55" i="173" a="1"/>
  <c r="S55" i="173" s="1"/>
  <c r="B93" i="145" s="1"/>
  <c r="Q56" i="173"/>
  <c r="R56" i="173"/>
  <c r="Q57" i="173"/>
  <c r="R57" i="173"/>
  <c r="S57" i="173" a="1"/>
  <c r="S57" i="173" s="1"/>
  <c r="B95" i="145" s="1"/>
  <c r="Q58" i="173"/>
  <c r="S58" i="173" s="1" a="1"/>
  <c r="S58" i="173" s="1"/>
  <c r="B96" i="145" s="1"/>
  <c r="R58" i="173"/>
  <c r="Q59" i="173"/>
  <c r="R59" i="173"/>
  <c r="S59" i="173" a="1"/>
  <c r="S59" i="173" s="1"/>
  <c r="B97" i="145" s="1"/>
  <c r="Q60" i="173"/>
  <c r="S60" i="173" s="1" a="1"/>
  <c r="S60" i="173" s="1"/>
  <c r="B98" i="145" s="1"/>
  <c r="R60" i="173"/>
  <c r="Q61" i="173"/>
  <c r="R61" i="173"/>
  <c r="S61" i="173" a="1"/>
  <c r="S61" i="173" s="1"/>
  <c r="Q62" i="173"/>
  <c r="S62" i="173" s="1" a="1"/>
  <c r="S62" i="173" s="1"/>
  <c r="R62" i="173"/>
  <c r="Q63" i="173"/>
  <c r="R63" i="173"/>
  <c r="S63" i="173" a="1"/>
  <c r="S63" i="173" s="1"/>
  <c r="Q64" i="173"/>
  <c r="S64" i="173" s="1" a="1"/>
  <c r="S64" i="173" s="1"/>
  <c r="R64" i="173"/>
  <c r="Q65" i="173"/>
  <c r="R65" i="173"/>
  <c r="S65" i="173" a="1"/>
  <c r="S65" i="173" s="1"/>
  <c r="Q66" i="173"/>
  <c r="S66" i="173" s="1" a="1"/>
  <c r="S66" i="173" s="1"/>
  <c r="R66" i="173"/>
  <c r="Q67" i="173"/>
  <c r="R67" i="173"/>
  <c r="S67" i="173" a="1"/>
  <c r="S67" i="173" s="1"/>
  <c r="Q68" i="173"/>
  <c r="S68" i="173" s="1" a="1"/>
  <c r="S68" i="173" s="1"/>
  <c r="R68" i="173"/>
  <c r="Q69" i="173"/>
  <c r="R69" i="173"/>
  <c r="S69" i="173" a="1"/>
  <c r="S69" i="173" s="1"/>
  <c r="Q70" i="173"/>
  <c r="S70" i="173" s="1" a="1"/>
  <c r="S70" i="173" s="1"/>
  <c r="R70" i="173"/>
  <c r="Q71" i="173"/>
  <c r="R71" i="173"/>
  <c r="S71" i="173" a="1"/>
  <c r="S71" i="173" s="1"/>
  <c r="Q72" i="173"/>
  <c r="S72" i="173" s="1" a="1"/>
  <c r="S72" i="173" s="1"/>
  <c r="R72" i="173"/>
  <c r="Q73" i="173"/>
  <c r="R73" i="173"/>
  <c r="S73" i="173" a="1"/>
  <c r="S73" i="173" s="1"/>
  <c r="Q74" i="173"/>
  <c r="S74" i="173" s="1" a="1"/>
  <c r="S74" i="173" s="1"/>
  <c r="R74" i="173"/>
  <c r="Q75" i="173"/>
  <c r="R75" i="173"/>
  <c r="S75" i="173" a="1"/>
  <c r="S75" i="173" s="1"/>
  <c r="Q76" i="173"/>
  <c r="S76" i="173" s="1" a="1"/>
  <c r="S76" i="173" s="1"/>
  <c r="R76" i="173"/>
  <c r="Q77" i="173"/>
  <c r="R77" i="173"/>
  <c r="S77" i="173" a="1"/>
  <c r="S77" i="173" s="1"/>
  <c r="Q78" i="173"/>
  <c r="S78" i="173" s="1" a="1"/>
  <c r="S78" i="173" s="1"/>
  <c r="R78" i="173"/>
  <c r="Q79" i="173"/>
  <c r="R79" i="173"/>
  <c r="S79" i="173" a="1"/>
  <c r="S79" i="173" s="1"/>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30" i="170"/>
  <c r="C30" i="170"/>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B23" i="170"/>
  <c r="C23" i="170"/>
  <c r="E4" i="151"/>
  <c r="E4" i="153" s="1"/>
  <c r="B22" i="169"/>
  <c r="C22" i="169"/>
  <c r="B199" i="171"/>
  <c r="B200" i="171"/>
  <c r="C40" i="170"/>
  <c r="B40" i="170"/>
  <c r="B37" i="170"/>
  <c r="C37" i="170"/>
  <c r="B22" i="170"/>
  <c r="C22" i="170"/>
  <c r="B35" i="170"/>
  <c r="C35" i="170"/>
  <c r="B24" i="170"/>
  <c r="C24" i="170"/>
  <c r="B25" i="170"/>
  <c r="C25" i="170"/>
  <c r="B26" i="170"/>
  <c r="C26" i="170"/>
  <c r="B27" i="170"/>
  <c r="C27" i="170"/>
  <c r="B28" i="170"/>
  <c r="C28" i="170"/>
  <c r="B31" i="170"/>
  <c r="C31" i="170"/>
  <c r="B32" i="170"/>
  <c r="C32" i="170"/>
  <c r="B33" i="170"/>
  <c r="C33" i="170"/>
  <c r="B34" i="170"/>
  <c r="C34" i="170"/>
  <c r="B36" i="170"/>
  <c r="C36" i="170"/>
  <c r="B38" i="170"/>
  <c r="C38" i="170"/>
  <c r="B39" i="170"/>
  <c r="C39" i="170"/>
  <c r="B16" i="170"/>
  <c r="C16" i="170"/>
  <c r="B17" i="170"/>
  <c r="C17" i="170"/>
  <c r="B18" i="170"/>
  <c r="C18" i="170"/>
  <c r="B19" i="170"/>
  <c r="C19" i="170"/>
  <c r="B21" i="170"/>
  <c r="C21"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17" i="171" s="1"/>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18"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202"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98" i="170" l="1" a="1"/>
  <c r="S98" i="170" s="1"/>
  <c r="S90" i="170" a="1"/>
  <c r="S90" i="170" s="1"/>
  <c r="S82" i="170" a="1"/>
  <c r="S82" i="170" s="1"/>
  <c r="S74" i="170" a="1"/>
  <c r="S74" i="170" s="1"/>
  <c r="S66" i="170" a="1"/>
  <c r="S66" i="170" s="1"/>
  <c r="S58" i="170" a="1"/>
  <c r="S58" i="170" s="1"/>
  <c r="S44" i="173" a="1"/>
  <c r="S44" i="173" s="1"/>
  <c r="B82" i="145" s="1"/>
  <c r="S50" i="173" a="1"/>
  <c r="S50" i="173" s="1"/>
  <c r="B88" i="145" s="1"/>
  <c r="S56" i="173" a="1"/>
  <c r="S56" i="173" s="1"/>
  <c r="B94" i="145" s="1"/>
  <c r="S38" i="173" a="1"/>
  <c r="S38" i="173" s="1"/>
  <c r="B76" i="145" s="1"/>
  <c r="S37" i="140" a="1"/>
  <c r="S37" i="140" s="1"/>
  <c r="B197" i="138" s="1"/>
  <c r="S36" i="140" a="1"/>
  <c r="S36" i="140" s="1"/>
  <c r="B196" i="138" s="1"/>
  <c r="S35" i="140" a="1"/>
  <c r="S35" i="140" s="1"/>
  <c r="B195" i="138" s="1"/>
  <c r="S56" i="140" a="1"/>
  <c r="S56" i="140" s="1"/>
  <c r="B216" i="138" s="1"/>
  <c r="S50" i="140" a="1"/>
  <c r="S50" i="140" s="1"/>
  <c r="B210" i="138" s="1"/>
  <c r="S50" i="153" a="1"/>
  <c r="S50" i="153" s="1"/>
  <c r="B56" i="156" s="1"/>
  <c r="S38" i="153" a="1"/>
  <c r="S38" i="153" s="1"/>
  <c r="B44" i="156" s="1"/>
  <c r="S35" i="148" a="1"/>
  <c r="S35" i="148" s="1"/>
  <c r="B86" i="156" s="1"/>
  <c r="B14" i="165"/>
  <c r="S112" i="140" a="1"/>
  <c r="S112" i="140" s="1"/>
  <c r="B272" i="138" s="1"/>
  <c r="S104" i="140" a="1"/>
  <c r="S104" i="140" s="1"/>
  <c r="B264" i="138" s="1"/>
  <c r="S96" i="140" a="1"/>
  <c r="S96" i="140" s="1"/>
  <c r="B256" i="138" s="1"/>
  <c r="S88" i="140" a="1"/>
  <c r="S88" i="140" s="1"/>
  <c r="B248" i="138" s="1"/>
  <c r="S80" i="140" a="1"/>
  <c r="S80" i="140" s="1"/>
  <c r="B240" i="138" s="1"/>
  <c r="S72" i="140" a="1"/>
  <c r="S72" i="140" s="1"/>
  <c r="B232" i="138" s="1"/>
  <c r="S64" i="140" a="1"/>
  <c r="S64" i="140" s="1"/>
  <c r="B224" i="138" s="1"/>
  <c r="S114" i="140" a="1"/>
  <c r="S114" i="140" s="1"/>
  <c r="B274" i="138" s="1"/>
  <c r="S106" i="140" a="1"/>
  <c r="S106" i="140" s="1"/>
  <c r="B266" i="138" s="1"/>
  <c r="S98" i="140" a="1"/>
  <c r="S98" i="140" s="1"/>
  <c r="B258" i="138" s="1"/>
  <c r="S90" i="140" a="1"/>
  <c r="S90" i="140" s="1"/>
  <c r="B250" i="138" s="1"/>
  <c r="S82" i="140" a="1"/>
  <c r="S82" i="140" s="1"/>
  <c r="B242" i="138" s="1"/>
  <c r="S74" i="140" a="1"/>
  <c r="S74" i="140" s="1"/>
  <c r="B234" i="138" s="1"/>
  <c r="S66" i="140" a="1"/>
  <c r="S66" i="140" s="1"/>
  <c r="B226" i="138" s="1"/>
  <c r="S58" i="140" a="1"/>
  <c r="S58" i="140" s="1"/>
  <c r="B218" i="138" s="1"/>
  <c r="S184" i="137" a="1"/>
  <c r="S184" i="137" s="1"/>
  <c r="S176" i="137" a="1"/>
  <c r="S176" i="137" s="1"/>
  <c r="S168" i="137" a="1"/>
  <c r="S168" i="137" s="1"/>
  <c r="S160" i="137" a="1"/>
  <c r="S160" i="137" s="1"/>
  <c r="B165" i="138" s="1"/>
  <c r="S152" i="137" a="1"/>
  <c r="S152" i="137" s="1"/>
  <c r="B157" i="138" s="1"/>
  <c r="S144" i="137" a="1"/>
  <c r="S144" i="137" s="1"/>
  <c r="B149" i="138" s="1"/>
  <c r="S136" i="137" a="1"/>
  <c r="S136" i="137" s="1"/>
  <c r="B141" i="138" s="1"/>
  <c r="S128" i="137" a="1"/>
  <c r="S128" i="137" s="1"/>
  <c r="B133" i="138" s="1"/>
  <c r="S120" i="137" a="1"/>
  <c r="S120" i="137" s="1"/>
  <c r="B125" i="138" s="1"/>
  <c r="S112" i="137" a="1"/>
  <c r="S112" i="137" s="1"/>
  <c r="B117" i="138" s="1"/>
  <c r="S104" i="137" a="1"/>
  <c r="S104" i="137" s="1"/>
  <c r="B109" i="138" s="1"/>
  <c r="S96" i="137" a="1"/>
  <c r="S96" i="137" s="1"/>
  <c r="B101" i="138" s="1"/>
  <c r="S88" i="137" a="1"/>
  <c r="S88" i="137" s="1"/>
  <c r="B93" i="138" s="1"/>
  <c r="S80" i="137" a="1"/>
  <c r="S80" i="137" s="1"/>
  <c r="B85" i="138" s="1"/>
  <c r="S72" i="137" a="1"/>
  <c r="S72" i="137" s="1"/>
  <c r="B77" i="138" s="1"/>
  <c r="S64" i="137" a="1"/>
  <c r="S64" i="137" s="1"/>
  <c r="B69" i="138" s="1"/>
  <c r="S56" i="137" a="1"/>
  <c r="S56" i="137" s="1"/>
  <c r="B61" i="138" s="1"/>
  <c r="S48" i="137" a="1"/>
  <c r="S48" i="137" s="1"/>
  <c r="B53" i="138" s="1"/>
  <c r="S32" i="137" a="1"/>
  <c r="S32" i="137" s="1"/>
  <c r="B37" i="138" s="1"/>
  <c r="S186" i="137" a="1"/>
  <c r="S186" i="137" s="1"/>
  <c r="S178" i="137" a="1"/>
  <c r="S178" i="137" s="1"/>
  <c r="S170" i="137" a="1"/>
  <c r="S170" i="137" s="1"/>
  <c r="S162" i="137" a="1"/>
  <c r="S162" i="137" s="1"/>
  <c r="B167" i="138" s="1"/>
  <c r="S154" i="137" a="1"/>
  <c r="S154" i="137" s="1"/>
  <c r="B159" i="138" s="1"/>
  <c r="S146" i="137" a="1"/>
  <c r="S146" i="137" s="1"/>
  <c r="B151" i="138" s="1"/>
  <c r="S138" i="137" a="1"/>
  <c r="S138" i="137" s="1"/>
  <c r="B143" i="138" s="1"/>
  <c r="S130" i="137" a="1"/>
  <c r="S130" i="137" s="1"/>
  <c r="B135" i="138" s="1"/>
  <c r="S122" i="137" a="1"/>
  <c r="S122" i="137" s="1"/>
  <c r="B127" i="138" s="1"/>
  <c r="S114" i="137" a="1"/>
  <c r="S114" i="137" s="1"/>
  <c r="B119" i="138" s="1"/>
  <c r="S106" i="137" a="1"/>
  <c r="S106" i="137" s="1"/>
  <c r="B111" i="138" s="1"/>
  <c r="S98" i="137" a="1"/>
  <c r="S98" i="137" s="1"/>
  <c r="B103" i="138" s="1"/>
  <c r="S90" i="137" a="1"/>
  <c r="S90" i="137" s="1"/>
  <c r="B95" i="138" s="1"/>
  <c r="S82" i="137" a="1"/>
  <c r="S82" i="137" s="1"/>
  <c r="B87" i="138" s="1"/>
  <c r="S28" i="137" a="1"/>
  <c r="S28" i="137" s="1"/>
  <c r="B33" i="138" s="1"/>
  <c r="S34" i="137" a="1"/>
  <c r="S34" i="137" s="1"/>
  <c r="B39" i="138" s="1"/>
  <c r="S74" i="137" a="1"/>
  <c r="S74" i="137" s="1"/>
  <c r="B79" i="138" s="1"/>
  <c r="S66" i="137" a="1"/>
  <c r="S66" i="137" s="1"/>
  <c r="B71" i="138" s="1"/>
  <c r="S58" i="137" a="1"/>
  <c r="S58" i="137" s="1"/>
  <c r="B63" i="138" s="1"/>
  <c r="S50" i="137" a="1"/>
  <c r="S50" i="137" s="1"/>
  <c r="B55" i="138" s="1"/>
  <c r="S44" i="137" a="1"/>
  <c r="S44" i="137" s="1"/>
  <c r="B49" i="138" s="1"/>
  <c r="S188" i="137" a="1"/>
  <c r="S188" i="137" s="1"/>
  <c r="S180" i="137" a="1"/>
  <c r="S180" i="137" s="1"/>
  <c r="S172" i="137" a="1"/>
  <c r="S172" i="137" s="1"/>
  <c r="S164" i="137" a="1"/>
  <c r="S164" i="137" s="1"/>
  <c r="S156" i="137" a="1"/>
  <c r="S156" i="137" s="1"/>
  <c r="B161" i="138" s="1"/>
  <c r="S148" i="137" a="1"/>
  <c r="S148" i="137" s="1"/>
  <c r="B153" i="138" s="1"/>
  <c r="S140" i="137" a="1"/>
  <c r="S140" i="137" s="1"/>
  <c r="B145" i="138" s="1"/>
  <c r="S132" i="137" a="1"/>
  <c r="S132" i="137" s="1"/>
  <c r="B137" i="138" s="1"/>
  <c r="S124" i="137" a="1"/>
  <c r="S124" i="137" s="1"/>
  <c r="B129" i="138" s="1"/>
  <c r="S116" i="137" a="1"/>
  <c r="S116" i="137" s="1"/>
  <c r="B121" i="138" s="1"/>
  <c r="S108" i="137" a="1"/>
  <c r="S108" i="137" s="1"/>
  <c r="B113" i="138" s="1"/>
  <c r="S100" i="137" a="1"/>
  <c r="S100" i="137" s="1"/>
  <c r="B105" i="138" s="1"/>
  <c r="S92" i="137" a="1"/>
  <c r="S92" i="137" s="1"/>
  <c r="B97" i="138" s="1"/>
  <c r="S84" i="137" a="1"/>
  <c r="S84" i="137" s="1"/>
  <c r="B89" i="138" s="1"/>
  <c r="S76" i="137" a="1"/>
  <c r="S76" i="137" s="1"/>
  <c r="B81" i="138" s="1"/>
  <c r="S68" i="137" a="1"/>
  <c r="S68" i="137" s="1"/>
  <c r="B73" i="138" s="1"/>
  <c r="S60" i="137" a="1"/>
  <c r="S60" i="137" s="1"/>
  <c r="B65" i="138" s="1"/>
  <c r="S52" i="137" a="1"/>
  <c r="S52" i="137" s="1"/>
  <c r="B57" i="138" s="1"/>
  <c r="S40" i="137" a="1"/>
  <c r="S40" i="137" s="1"/>
  <c r="B45" i="138" s="1"/>
  <c r="S24" i="137" a="1"/>
  <c r="S24" i="137" s="1"/>
  <c r="B29" i="138" s="1"/>
  <c r="S190" i="137" a="1"/>
  <c r="S190" i="137" s="1"/>
  <c r="S182" i="137" a="1"/>
  <c r="S182" i="137" s="1"/>
  <c r="S174" i="137" a="1"/>
  <c r="S174" i="137" s="1"/>
  <c r="S166" i="137" a="1"/>
  <c r="S166" i="137" s="1"/>
  <c r="S158" i="137" a="1"/>
  <c r="S158" i="137" s="1"/>
  <c r="B163" i="138" s="1"/>
  <c r="S150" i="137" a="1"/>
  <c r="S150" i="137" s="1"/>
  <c r="B155" i="138" s="1"/>
  <c r="S142" i="137" a="1"/>
  <c r="S142" i="137" s="1"/>
  <c r="B147" i="138" s="1"/>
  <c r="S134" i="137" a="1"/>
  <c r="S134" i="137" s="1"/>
  <c r="B139" i="138" s="1"/>
  <c r="S126" i="137" a="1"/>
  <c r="S126" i="137" s="1"/>
  <c r="B131" i="138" s="1"/>
  <c r="S118" i="137" a="1"/>
  <c r="S118" i="137" s="1"/>
  <c r="B123" i="138" s="1"/>
  <c r="S110" i="137" a="1"/>
  <c r="S110" i="137" s="1"/>
  <c r="B115" i="138" s="1"/>
  <c r="S102" i="137" a="1"/>
  <c r="S102" i="137" s="1"/>
  <c r="B107" i="138" s="1"/>
  <c r="S94" i="137" a="1"/>
  <c r="S94" i="137" s="1"/>
  <c r="B99" i="138" s="1"/>
  <c r="S86" i="137" a="1"/>
  <c r="S86" i="137" s="1"/>
  <c r="B91" i="138" s="1"/>
  <c r="S78" i="137" a="1"/>
  <c r="S78" i="137" s="1"/>
  <c r="B83" i="138" s="1"/>
  <c r="S70" i="137" a="1"/>
  <c r="S70" i="137" s="1"/>
  <c r="B75" i="138" s="1"/>
  <c r="S62" i="137" a="1"/>
  <c r="S62" i="137" s="1"/>
  <c r="B67" i="138" s="1"/>
  <c r="S54" i="137" a="1"/>
  <c r="S54" i="137" s="1"/>
  <c r="B59" i="138" s="1"/>
  <c r="S36" i="137" a="1"/>
  <c r="S36" i="137" s="1"/>
  <c r="B41" i="138"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5" i="172" a="1"/>
  <c r="S15" i="172" s="1"/>
  <c r="I15" i="172"/>
  <c r="I16" i="172"/>
  <c r="L27" i="108"/>
  <c r="C57" i="110" s="1"/>
  <c r="C28" i="110"/>
  <c r="C9" i="110"/>
  <c r="L26" i="108"/>
  <c r="C56" i="110" s="1"/>
  <c r="L14" i="108"/>
  <c r="C44" i="110" s="1"/>
  <c r="C11" i="110"/>
  <c r="L10" i="108"/>
  <c r="C40" i="110" s="1"/>
  <c r="I15" i="170"/>
  <c r="S15" i="170" s="1" a="1"/>
  <c r="S15" i="170" s="1"/>
  <c r="B21" i="171" s="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I15" i="169"/>
  <c r="S15" i="169" a="1"/>
  <c r="S15" i="169" s="1"/>
  <c r="B320"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tc={EEF73628-470F-482E-906C-0FC5F33F53A0}</author>
  </authors>
  <commentList>
    <comment ref="G38" authorId="0" shapeId="0" xr:uid="{EEF73628-470F-482E-906C-0FC5F33F53A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<sst xmlns="http://schemas.openxmlformats.org/spreadsheetml/2006/main" count="2586" uniqueCount="972">
  <si>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</si>
  <si>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</si>
  <si>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</si>
  <si>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</si>
  <si>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</si>
  <si>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</si>
  <si>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</si>
  <si>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</si>
  <si>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</si>
  <si>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</si>
  <si>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</si>
  <si>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</si>
  <si>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</si>
  <si>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</si>
  <si>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</si>
  <si>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</si>
  <si>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</si>
  <si>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</si>
  <si>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</si>
  <si>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</si>
  <si>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</si>
  <si>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</si>
  <si>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</si>
  <si>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</si>
  <si>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</si>
  <si>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</si>
  <si>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</si>
  <si>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</si>
  <si>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</si>
  <si>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</si>
  <si>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</si>
  <si>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</si>
  <si>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</si>
  <si>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</si>
  <si>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</si>
  <si>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</si>
  <si>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</si>
  <si>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</si>
  <si>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</si>
  <si>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</si>
  <si>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</si>
  <si>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</si>
  <si>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</si>
  <si>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</si>
  <si>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</si>
  <si>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</si>
  <si>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</si>
  <si>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</si>
  <si>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</si>
  <si>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</si>
  <si>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</si>
  <si>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</si>
  <si>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</si>
  <si>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</si>
  <si>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</si>
  <si>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</si>
  <si>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</si>
  <si>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</si>
  <si>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</si>
  <si>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</si>
  <si>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</si>
  <si>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</si>
  <si>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</si>
  <si>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</si>
  <si>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</si>
  <si>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</si>
  <si>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</si>
  <si>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</si>
  <si>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</si>
  <si>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</si>
  <si>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</si>
  <si>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</si>
  <si>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</si>
  <si>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</si>
  <si>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</si>
  <si>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</si>
  <si>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</si>
  <si>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</si>
  <si>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</si>
  <si>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</si>
  <si>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</si>
  <si>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</si>
  <si>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</si>
  <si>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</si>
  <si>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</si>
  <si>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</si>
  <si>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</si>
  <si>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</si>
  <si>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</si>
  <si>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</si>
  <si>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</si>
  <si>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</si>
  <si>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</si>
  <si>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</si>
  <si>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</si>
  <si>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</si>
  <si>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</si>
  <si>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</si>
  <si>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</si>
  <si>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</si>
  <si>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</si>
  <si>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</si>
  <si>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</si>
  <si>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</si>
  <si>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</si>
  <si>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</si>
  <si>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</si>
  <si>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</si>
  <si>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</si>
  <si>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</si>
  <si>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</si>
  <si>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</si>
  <si>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</si>
  <si>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</si>
  <si>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</si>
  <si>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</si>
  <si>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</si>
  <si>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</si>
  <si>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</si>
  <si>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</si>
  <si>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</si>
  <si>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</si>
  <si>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</si>
  <si>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</si>
  <si>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</si>
  <si>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</si>
  <si>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</si>
  <si>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</si>
  <si>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</si>
  <si>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</si>
  <si>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</si>
  <si>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</si>
  <si>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</si>
  <si>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</si>
  <si>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</si>
  <si>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</si>
  <si>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</si>
  <si>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</si>
  <si>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</si>
  <si>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</si>
  <si>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</si>
  <si>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</si>
  <si>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</si>
  <si>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</si>
  <si>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</si>
  <si>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</si>
  <si>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</si>
  <si>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</si>
  <si>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</si>
  <si>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</si>
  <si>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</si>
  <si>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</si>
  <si>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</si>
  <si>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</si>
  <si>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</si>
  <si>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</si>
  <si>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</si>
  <si>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</si>
  <si>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</si>
  <si>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</si>
  <si>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</si>
  <si>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</si>
  <si>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</si>
  <si>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</si>
  <si>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</si>
  <si>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</si>
  <si>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</si>
  <si>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</si>
  <si>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</si>
  <si>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</si>
  <si>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</si>
  <si>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</si>
  <si>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</si>
  <si>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</si>
  <si>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</si>
  <si>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</si>
  <si>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</si>
  <si>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</si>
  <si>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</si>
  <si>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</si>
  <si>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</si>
  <si>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</si>
  <si>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</si>
  <si>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</si>
  <si>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</si>
  <si>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</si>
  <si>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</si>
  <si>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</si>
  <si>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</si>
  <si>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</si>
  <si>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</si>
  <si>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</si>
  <si>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</si>
  <si>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</si>
  <si>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</si>
  <si>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</si>
  <si>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</si>
  <si>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</si>
  <si>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</si>
  <si>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</si>
  <si>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</si>
  <si>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</si>
  <si>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</si>
  <si>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</si>
  <si>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</si>
  <si>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</si>
  <si>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</si>
  <si>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</si>
  <si>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</si>
  <si>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</si>
  <si>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</si>
  <si>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</si>
  <si>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</si>
  <si>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</si>
  <si>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</si>
  <si>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</si>
  <si>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</si>
  <si>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</si>
  <si>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</si>
  <si>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</si>
  <si>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</si>
  <si>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</si>
  <si>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</si>
  <si>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</si>
  <si>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</si>
  <si>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</si>
  <si>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</si>
  <si>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</si>
  <si>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</si>
  <si>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</si>
  <si>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</si>
  <si>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</si>
  <si>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</si>
  <si>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</si>
  <si>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</si>
  <si>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</si>
  <si>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</si>
  <si>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</si>
  <si>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</si>
  <si>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</si>
  <si>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</si>
  <si>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</si>
  <si>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</si>
  <si>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</si>
  <si>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</si>
  <si>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</si>
  <si>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</si>
  <si>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</si>
  <si>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</si>
  <si>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</si>
  <si>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</si>
  <si>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</si>
  <si>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</si>
  <si>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</si>
  <si>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</si>
  <si>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</si>
  <si>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</si>
  <si>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</si>
  <si>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</si>
  <si>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</si>
  <si>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</si>
  <si>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</si>
  <si>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</si>
  <si>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</si>
  <si>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</si>
  <si>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</si>
  <si>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</si>
  <si>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</si>
  <si>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</si>
  <si>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</si>
  <si>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</si>
  <si>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</si>
  <si>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</si>
  <si>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</si>
  <si>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</si>
  <si>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</si>
  <si>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</si>
  <si>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</si>
  <si>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</si>
  <si>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</si>
  <si>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</si>
  <si>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</si>
  <si>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</si>
  <si>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</si>
  <si>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</si>
  <si>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</si>
  <si>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</si>
  <si>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</si>
  <si>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</si>
  <si>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</si>
  <si>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</si>
  <si>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</si>
  <si>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</si>
  <si>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</si>
  <si>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</si>
  <si>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</si>
  <si>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</si>
  <si>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</si>
  <si>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</si>
  <si>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</si>
  <si>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</si>
  <si>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</si>
  <si>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</si>
  <si>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</si>
  <si>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</si>
  <si>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</si>
  <si>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</si>
  <si>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</si>
  <si>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</si>
  <si>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</si>
  <si>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</si>
  <si>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</si>
  <si>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</si>
  <si>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</si>
  <si>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</si>
  <si>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</si>
  <si>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</si>
  <si>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</si>
  <si>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</si>
  <si>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</si>
  <si>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</si>
  <si>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</si>
  <si>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</si>
  <si>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</si>
  <si>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</si>
  <si>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</si>
  <si>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</si>
  <si>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</si>
  <si>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</si>
  <si>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</si>
  <si>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</si>
  <si>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</si>
  <si>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</si>
  <si>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</si>
  <si>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</si>
  <si>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</si>
  <si>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</si>
  <si>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</si>
  <si>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</si>
  <si>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</si>
  <si>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</si>
  <si>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</si>
  <si>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</si>
  <si>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</si>
  <si>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</si>
  <si>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</si>
  <si>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</si>
  <si>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</si>
  <si>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</si>
  <si>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</si>
  <si>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</si>
  <si>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</si>
  <si>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</si>
  <si>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</si>
  <si>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</si>
  <si>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</si>
  <si>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</si>
  <si>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</si>
  <si>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</si>
  <si>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</si>
  <si>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</si>
  <si>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</si>
  <si>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</si>
  <si>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</si>
  <si>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</si>
  <si>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</si>
  <si>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</si>
  <si>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</si>
  <si>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</si>
  <si>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</si>
  <si>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</si>
  <si>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</si>
  <si>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</si>
  <si>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</si>
  <si>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</si>
  <si>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</si>
  <si>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</si>
  <si>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</si>
  <si>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</si>
  <si>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</si>
  <si>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</si>
  <si>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</si>
  <si>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</si>
  <si>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</si>
  <si>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</si>
  <si>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</si>
  <si>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</si>
  <si>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</si>
  <si>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</si>
  <si>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</si>
  <si>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</si>
  <si>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</si>
  <si>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</si>
  <si>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</si>
  <si>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</si>
  <si>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</si>
  <si>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</si>
  <si>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</si>
  <si>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</si>
  <si>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</si>
  <si>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</si>
  <si>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</si>
  <si>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</si>
  <si>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</si>
  <si>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</si>
  <si>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</si>
  <si>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</si>
  <si>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</si>
  <si>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</si>
  <si>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</si>
  <si>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</si>
  <si>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</si>
  <si>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</si>
  <si>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</si>
  <si>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</si>
  <si>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</si>
  <si>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</si>
  <si>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</si>
  <si>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</si>
  <si>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</si>
  <si>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</si>
  <si>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</si>
  <si>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</si>
  <si>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</si>
  <si>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</si>
  <si>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</si>
  <si>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</si>
  <si>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</si>
  <si>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</si>
  <si>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</si>
  <si>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</si>
  <si>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</si>
  <si>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</si>
  <si>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</si>
  <si>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</si>
  <si>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</si>
  <si>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</si>
  <si>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</si>
  <si>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</si>
  <si>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</si>
  <si>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</si>
  <si>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</si>
  <si>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</si>
  <si>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</si>
  <si>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</si>
  <si>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</si>
  <si>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</si>
  <si>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</si>
  <si>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</si>
  <si>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</si>
  <si>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</si>
  <si>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</si>
  <si>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</si>
  <si>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</si>
  <si>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</si>
  <si>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</si>
  <si>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</si>
  <si>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</si>
  <si>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</si>
  <si>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</si>
  <si>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</si>
  <si>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</si>
  <si>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</si>
  <si>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</si>
  <si>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</si>
  <si>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</si>
  <si>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</si>
  <si>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</si>
  <si>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</si>
  <si>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</si>
  <si>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</si>
  <si>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</si>
  <si>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</si>
  <si>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</si>
  <si>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</si>
  <si>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</si>
  <si>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</si>
  <si>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</si>
  <si>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</si>
  <si>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</si>
  <si>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</si>
  <si>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</si>
  <si>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</si>
  <si>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</si>
  <si>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</si>
  <si>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</si>
  <si>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</si>
  <si>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</si>
  <si>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</si>
  <si>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</si>
  <si>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</si>
  <si>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</si>
  <si>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</si>
  <si>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</si>
  <si>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</si>
  <si>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</si>
  <si>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</si>
  <si>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</si>
  <si>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</si>
  <si>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</si>
  <si>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</si>
  <si>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</si>
  <si>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</si>
  <si>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</si>
  <si>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</si>
  <si>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</si>
  <si>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</si>
  <si>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</si>
  <si>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</si>
  <si>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</si>
  <si>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</si>
  <si>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</si>
  <si>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</si>
  <si>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</si>
  <si>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</si>
  <si>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</si>
  <si>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</si>
  <si>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</si>
  <si>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</si>
  <si>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</si>
  <si>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</si>
  <si>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</si>
  <si>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</si>
  <si>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</si>
  <si>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</si>
  <si>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</si>
  <si>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</si>
  <si>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</si>
  <si>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</si>
  <si>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</si>
  <si>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</si>
  <si>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</si>
  <si>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</si>
  <si>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</si>
  <si>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</si>
  <si>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</si>
  <si>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</si>
  <si>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</si>
  <si>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</si>
  <si>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</si>
  <si>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</si>
  <si>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</si>
  <si>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</si>
  <si>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</si>
  <si>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</si>
  <si>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</si>
  <si>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</si>
  <si>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</si>
  <si>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</si>
  <si>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</si>
  <si>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</si>
  <si>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</si>
  <si>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</si>
  <si>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</si>
  <si>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</si>
  <si>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</si>
  <si>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</si>
  <si>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</si>
  <si>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</si>
  <si>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</si>
  <si>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</si>
  <si>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</si>
  <si>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</si>
  <si>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</si>
  <si>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</si>
  <si>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</si>
  <si>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</si>
  <si>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</si>
  <si>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</si>
  <si>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</si>
  <si>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</si>
  <si>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</si>
  <si>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</si>
  <si>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</si>
  <si>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</si>
  <si>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</si>
  <si>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</si>
  <si>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</si>
  <si>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</si>
  <si>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</si>
  <si>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</si>
  <si>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</si>
  <si>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</si>
  <si>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</si>
  <si>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</si>
  <si>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</si>
  <si>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</si>
  <si>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</si>
  <si>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</si>
  <si>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</si>
  <si>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</si>
  <si>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</si>
  <si>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</si>
  <si>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</si>
  <si>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</si>
  <si>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</si>
  <si>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</si>
  <si>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</si>
  <si>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</si>
  <si>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</si>
  <si>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</si>
  <si>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</si>
  <si>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</si>
  <si>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</si>
  <si>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</si>
  <si>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</si>
  <si>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</si>
  <si>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</si>
  <si>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</si>
  <si>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</si>
  <si>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</si>
  <si>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</si>
  <si>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</si>
  <si>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</si>
  <si>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</si>
  <si>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</si>
  <si>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</si>
  <si>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</si>
  <si>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</si>
  <si>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</si>
  <si>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</si>
  <si>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</si>
  <si>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</si>
  <si>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</si>
  <si>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</si>
  <si>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</si>
  <si>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</si>
  <si>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</si>
  <si>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</si>
  <si>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</si>
  <si>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</si>
  <si>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</si>
  <si>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</si>
  <si>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</si>
  <si>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</si>
  <si>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</si>
  <si>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</si>
  <si>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</si>
  <si>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</si>
  <si>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</si>
  <si>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</si>
  <si>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</si>
  <si>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</si>
  <si>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</si>
  <si>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</si>
  <si>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</si>
  <si>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</si>
  <si>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</si>
  <si>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</si>
  <si>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</si>
  <si>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</si>
  <si>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</si>
  <si>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</si>
  <si>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</si>
  <si>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</si>
  <si>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</si>
  <si>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</si>
  <si>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</si>
  <si>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</si>
  <si>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</si>
  <si>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</si>
  <si>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</si>
  <si>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</si>
  <si>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</si>
  <si>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</si>
  <si>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</si>
  <si>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</si>
  <si>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</si>
  <si>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</si>
  <si>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</si>
  <si>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</si>
  <si>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</si>
  <si>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</si>
  <si>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</si>
  <si>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</si>
  <si>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</si>
  <si>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</si>
  <si>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</si>
  <si>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</si>
  <si>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</si>
  <si>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</si>
  <si>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</si>
  <si>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</si>
  <si>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</si>
  <si>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</si>
  <si>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</si>
  <si>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</si>
  <si>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</si>
  <si>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</si>
  <si>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</si>
  <si>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</si>
  <si>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</si>
  <si>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</si>
  <si>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</si>
  <si>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</si>
  <si>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</si>
  <si>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</si>
  <si>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</si>
  <si>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</si>
  <si>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</si>
  <si>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</si>
  <si>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</si>
  <si>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</si>
  <si>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</si>
  <si>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</si>
  <si>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</si>
  <si>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</si>
  <si>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</si>
  <si>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</si>
  <si>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</si>
  <si>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</si>
  <si>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</si>
  <si>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</si>
  <si>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</si>
  <si>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</si>
  <si>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</si>
  <si>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</si>
  <si>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</si>
  <si>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</si>
  <si>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</si>
  <si>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</si>
  <si>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</si>
  <si>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</si>
  <si>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</si>
  <si>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</si>
  <si>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</si>
  <si>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</si>
  <si>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</si>
  <si>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</si>
  <si>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</si>
  <si>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</si>
  <si>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</si>
  <si>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</si>
  <si>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</si>
  <si>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</si>
  <si>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</si>
  <si>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</si>
  <si>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</si>
  <si>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</si>
  <si>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</si>
  <si>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</si>
  <si>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</si>
  <si>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</si>
  <si>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</si>
  <si>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</si>
  <si>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</si>
  <si>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</si>
  <si>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</si>
  <si>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</si>
  <si>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</si>
  <si>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</si>
  <si>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</si>
  <si>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</si>
  <si>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</si>
  <si>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</si>
  <si>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</si>
  <si>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</si>
  <si>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</si>
  <si>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</si>
  <si>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</si>
  <si>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</si>
  <si>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</si>
  <si>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</si>
  <si>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</si>
  <si>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</si>
  <si>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</si>
  <si>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attester.party</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</si>
  <si>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</si>
  <si>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</si>
  <si>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</si>
  <si>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</si>
  <si>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</si>
  <si>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</si>
  <si>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</si>
  <si>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</si>
  <si>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</si>
  <si>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</si>
  <si>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</si>
  <si>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</si>
  <si>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</si>
  <si>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</si>
  <si>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</si>
  <si>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</si>
  <si>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</si>
  <si>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</si>
  <si>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</si>
  <si>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</si>
  <si>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</si>
  <si>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</si>
  <si>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</si>
  <si>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</si>
  <si>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</si>
  <si>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</si>
  <si>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</si>
  <si>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</si>
  <si>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</si>
  <si>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</si>
  <si>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</si>
  <si>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</si>
  <si>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</si>
  <si>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</si>
  <si>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</si>
  <si>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</si>
  <si>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</si>
  <si>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</si>
  <si>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</si>
  <si>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</si>
  <si>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</si>
  <si>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</si>
  <si>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</si>
  <si>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</si>
  <si>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</si>
  <si>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</si>
  <si>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</si>
  <si>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</si>
  <si>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</si>
  <si>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</si>
  <si>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</si>
  <si>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</si>
  <si>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</si>
  <si>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</si>
  <si>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</si>
  <si>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</si>
  <si>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</si>
  <si>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</si>
  <si>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</si>
  <si>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</si>
  <si>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</si>
  <si>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</si>
  <si>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</si>
  <si>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</si>
  <si>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</si>
  <si>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</si>
  <si>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</si>
  <si>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</si>
  <si>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</si>
  <si>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</si>
  <si>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</si>
  <si>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</si>
  <si>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</si>
  <si>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</si>
  <si>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</si>
  <si>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</si>
  <si>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</si>
  <si>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</si>
  <si>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</si>
  <si>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</si>
  <si>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</si>
  <si>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</si>
  <si>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</si>
  <si>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</si>
  <si>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</si>
  <si>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</si>
  <si>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</si>
  <si>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</si>
  <si>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</si>
  <si>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</si>
  <si>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</si>
  <si>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</si>
  <si>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</si>
  <si>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</si>
  <si>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</si>
  <si>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</si>
  <si>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</si>
  <si>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</si>
  <si>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</si>
  <si>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</si>
  <si>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</si>
  <si>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</si>
  <si>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</si>
  <si>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</si>
  <si>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</si>
  <si>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</si>
  <si>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</si>
  <si>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</si>
  <si>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</si>
  <si>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</si>
  <si>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</si>
  <si>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</si>
  <si>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</si>
  <si>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</si>
  <si>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</si>
  <si>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</si>
  <si>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</si>
  <si>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</si>
  <si>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When it refers to the measuring device, including kits, and device of type Device</t>
  </si>
  <si>
    <t>When it refers to the measuring device and device of type DeviceMeasure</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</si>
  <si>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</si>
  <si>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</si>
  <si>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</si>
  <si>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</si>
  <si>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</si>
  <si>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</si>
  <si>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</si>
  <si>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</si>
  <si>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</si>
  <si>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</si>
  <si>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</si>
  <si>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</si>
  <si>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</si>
  <si>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</si>
  <si>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</si>
  <si>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</si>
  <si>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</si>
  <si>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</si>
  <si>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</si>
  <si>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</si>
  <si>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</si>
  <si>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</si>
  <si>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</si>
  <si>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</si>
  <si>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</si>
  <si>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</si>
  <si>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</si>
  <si>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</si>
  <si>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</si>
  <si>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</si>
  <si>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</si>
  <si>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</si>
  <si>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</si>
  <si>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</si>
  <si>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</si>
  <si>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</si>
  <si>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</si>
  <si>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</si>
  <si>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</si>
  <si>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</si>
  <si>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</si>
  <si>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</si>
  <si>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</si>
  <si>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</si>
  <si>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</si>
  <si>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</si>
  <si>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</si>
  <si>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</si>
  <si>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</si>
  <si>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</si>
  <si>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</si>
  <si>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</si>
  <si>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</si>
  <si>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</si>
  <si>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</si>
  <si>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</si>
  <si>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</si>
  <si>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</si>
  <si>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</si>
  <si>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</si>
  <si>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http://hl7.eu/fhir/laboratory/StructureDefinition/bodyStructure-eu-lab</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</si>
  <si>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</si>
  <si>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</si>
  <si>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</si>
  <si>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</si>
  <si>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</si>
  <si>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</si>
  <si>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</si>
  <si>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result.resolve().ofType(Observation)</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</si>
  <si>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</si>
  <si>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</si>
  <si>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</si>
  <si>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</si>
  <si>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</si>
  <si>
    <t>issued</t>
  </si>
  <si>
    <t>intended as the clinical relevant time (i.e. when the specimen was collected)</t>
  </si>
  <si>
    <t>as the date the result is made available.</t>
  </si>
  <si>
    <t>If it refers to the owner of the policy</t>
  </si>
  <si>
    <t>If it refers to the plan beneficiary</t>
  </si>
  <si>
    <t>If it refers to the subscriber to the policy and the Subscriber is of type Patient</t>
  </si>
  <si>
    <t>If it is the ID assigned to the subscriber</t>
  </si>
  <si>
    <t>The mapping refers to the case "code" mapped to Observation.code. A similar mapping applies to the other cases.</t>
  </si>
  <si>
    <t>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t>
  </si>
  <si>
    <t>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t>
  </si>
  <si>
    <t>With device of type DeviceMeasure.
This resource can be used to capture some information about the setting (including calibration)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</si>
</sst>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
      <sz val="9"/>
      <color indexed="81"/>
      <name val="Tahoma"/>
      <family val="2"/>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7">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xf numFmtId="49" fontId="0" fillId="0" borderId="1" xfId="0" applyNumberFormat="1" applyFill="1" applyBorder="1" applyAlignment="1">
      <alignment wrapText="1"/>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5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8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C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threadedComments/threadedComment2.xml><?xml version="1.0" encoding="utf-8"?>
<ThreadedComments xmlns="http://schemas.microsoft.com/office/spreadsheetml/2018/threadedcomments" xmlns:x="http://schemas.openxmlformats.org/spreadsheetml/2006/main">
  <threadedComment ref="G38" dT="2024-02-09T18:35:26.99" personId="{3C83DDFD-8948-4013-AE43-43EFF8DD498C}" id="{EEF73628-470F-482E-906C-0FC5F33F53A0}">
    <text>TO BE CHECKED</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2" t="s">
        <v>39</v>
      </c>
      <c r="C3" s="103"/>
      <c r="D3" s="35" t="s">
        <v>40</v>
      </c>
      <c r="E3" s="35" t="s">
        <v>41</v>
      </c>
    </row>
    <row r="4" spans="2:5" ht="16.75" thickBot="1" x14ac:dyDescent="0.9">
      <c r="B4" s="104" t="s">
        <v>42</v>
      </c>
      <c r="C4" s="105"/>
      <c r="D4" s="105"/>
      <c r="E4" s="106"/>
    </row>
    <row r="5" spans="2:5" ht="16.75" thickBot="1" x14ac:dyDescent="0.9">
      <c r="B5" s="104" t="s">
        <v>43</v>
      </c>
      <c r="C5" s="105"/>
      <c r="D5" s="105"/>
      <c r="E5" s="106"/>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7" t="s">
        <v>57</v>
      </c>
      <c r="C10" s="107" t="s">
        <v>58</v>
      </c>
      <c r="D10" s="40" t="s">
        <v>59</v>
      </c>
      <c r="E10" s="110" t="s">
        <v>60</v>
      </c>
    </row>
    <row r="11" spans="2:5" x14ac:dyDescent="0.75">
      <c r="B11" s="108"/>
      <c r="C11" s="108"/>
      <c r="D11" s="41"/>
      <c r="E11" s="111"/>
    </row>
    <row r="12" spans="2:5" ht="32.75" thickBot="1" x14ac:dyDescent="0.9">
      <c r="B12" s="109"/>
      <c r="C12" s="109"/>
      <c r="D12" s="37" t="s">
        <v>61</v>
      </c>
      <c r="E12" s="112"/>
    </row>
    <row r="13" spans="2:5" ht="16.75" thickBot="1" x14ac:dyDescent="0.9">
      <c r="B13" s="113" t="s">
        <v>62</v>
      </c>
      <c r="C13" s="114"/>
      <c r="D13" s="114"/>
      <c r="E13" s="115"/>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13" t="s">
        <v>70</v>
      </c>
      <c r="C16" s="114"/>
      <c r="D16" s="114"/>
      <c r="E16" s="115"/>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13" t="s">
        <v>83</v>
      </c>
      <c r="C21" s="114"/>
      <c r="D21" s="114"/>
      <c r="E21" s="115"/>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13" t="s">
        <v>93</v>
      </c>
      <c r="C25" s="114"/>
      <c r="D25" s="114"/>
      <c r="E25" s="115"/>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13" t="s">
        <v>102</v>
      </c>
      <c r="C29" s="114"/>
      <c r="D29" s="114"/>
      <c r="E29" s="115"/>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13" t="s">
        <v>114</v>
      </c>
      <c r="C34" s="114"/>
      <c r="D34" s="114"/>
      <c r="E34" s="115"/>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13" t="s">
        <v>126</v>
      </c>
      <c r="C39" s="114"/>
      <c r="D39" s="114"/>
      <c r="E39" s="115"/>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2" t="s">
        <v>39</v>
      </c>
      <c r="C3" s="103"/>
      <c r="D3" s="35" t="s">
        <v>40</v>
      </c>
      <c r="E3" s="35" t="s">
        <v>41</v>
      </c>
    </row>
    <row r="4" spans="2:5" ht="15.5" thickBot="1" x14ac:dyDescent="0.9">
      <c r="B4" s="116" t="s">
        <v>144</v>
      </c>
      <c r="C4" s="117"/>
      <c r="D4" s="117"/>
      <c r="E4" s="118"/>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9" t="s">
        <v>162</v>
      </c>
      <c r="C11" s="120"/>
      <c r="D11" s="120"/>
      <c r="E11" s="121"/>
    </row>
    <row r="12" spans="2:5" ht="32" x14ac:dyDescent="0.75">
      <c r="B12" s="107" t="s">
        <v>163</v>
      </c>
      <c r="C12" s="107" t="s">
        <v>164</v>
      </c>
      <c r="D12" s="107" t="s">
        <v>165</v>
      </c>
      <c r="E12" s="43" t="s">
        <v>166</v>
      </c>
    </row>
    <row r="13" spans="2:5" ht="16" x14ac:dyDescent="0.75">
      <c r="B13" s="108"/>
      <c r="C13" s="108"/>
      <c r="D13" s="108"/>
      <c r="E13" s="43" t="s">
        <v>167</v>
      </c>
    </row>
    <row r="14" spans="2:5" ht="16.75" thickBot="1" x14ac:dyDescent="0.9">
      <c r="B14" s="109"/>
      <c r="C14" s="109"/>
      <c r="D14" s="109"/>
      <c r="E14" s="39" t="s">
        <v>168</v>
      </c>
    </row>
    <row r="15" spans="2:5" ht="15.5" thickBot="1" x14ac:dyDescent="0.9">
      <c r="B15" s="119" t="s">
        <v>169</v>
      </c>
      <c r="C15" s="120"/>
      <c r="D15" s="120"/>
      <c r="E15" s="121"/>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7" t="s">
        <v>188</v>
      </c>
      <c r="C22" s="110" t="s">
        <v>189</v>
      </c>
      <c r="D22" s="107" t="s">
        <v>190</v>
      </c>
      <c r="E22" s="43" t="s">
        <v>167</v>
      </c>
    </row>
    <row r="23" spans="2:5" x14ac:dyDescent="0.75">
      <c r="B23" s="108"/>
      <c r="C23" s="111"/>
      <c r="D23" s="108"/>
      <c r="E23" s="41"/>
    </row>
    <row r="24" spans="2:5" ht="16.75" thickBot="1" x14ac:dyDescent="0.9">
      <c r="B24" s="109"/>
      <c r="C24" s="112"/>
      <c r="D24" s="109"/>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13" t="s">
        <v>198</v>
      </c>
      <c r="C27" s="114"/>
      <c r="D27" s="114"/>
      <c r="E27" s="115"/>
    </row>
    <row r="28" spans="2:5" ht="16.75" thickBot="1" x14ac:dyDescent="0.9">
      <c r="B28" s="113" t="s">
        <v>199</v>
      </c>
      <c r="C28" s="114"/>
      <c r="D28" s="114"/>
      <c r="E28" s="115"/>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13" t="s">
        <v>206</v>
      </c>
      <c r="C31" s="114"/>
      <c r="D31" s="114"/>
      <c r="E31" s="115"/>
    </row>
    <row r="32" spans="2:5" ht="16.75" thickBot="1" x14ac:dyDescent="0.9">
      <c r="B32" s="36" t="s">
        <v>207</v>
      </c>
      <c r="C32" s="39" t="s">
        <v>208</v>
      </c>
      <c r="D32" s="37" t="s">
        <v>209</v>
      </c>
      <c r="E32" s="39" t="s">
        <v>113</v>
      </c>
    </row>
    <row r="33" spans="2:5" ht="16" x14ac:dyDescent="0.75">
      <c r="B33" s="107" t="s">
        <v>210</v>
      </c>
      <c r="C33" s="110" t="s">
        <v>211</v>
      </c>
      <c r="D33" s="107" t="s">
        <v>212</v>
      </c>
      <c r="E33" s="43" t="s">
        <v>130</v>
      </c>
    </row>
    <row r="34" spans="2:5" ht="16" x14ac:dyDescent="0.75">
      <c r="B34" s="108"/>
      <c r="C34" s="111"/>
      <c r="D34" s="108"/>
      <c r="E34" s="43" t="s">
        <v>213</v>
      </c>
    </row>
    <row r="35" spans="2:5" ht="16.75" thickBot="1" x14ac:dyDescent="0.9">
      <c r="B35" s="109"/>
      <c r="C35" s="112"/>
      <c r="D35" s="109"/>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7" t="s">
        <v>226</v>
      </c>
      <c r="C40" s="110" t="s">
        <v>227</v>
      </c>
      <c r="D40" s="107" t="s">
        <v>228</v>
      </c>
      <c r="E40" s="43" t="s">
        <v>167</v>
      </c>
    </row>
    <row r="41" spans="2:5" x14ac:dyDescent="0.75">
      <c r="B41" s="108"/>
      <c r="C41" s="111"/>
      <c r="D41" s="108"/>
      <c r="E41" s="41"/>
    </row>
    <row r="42" spans="2:5" ht="16.75" thickBot="1" x14ac:dyDescent="0.9">
      <c r="B42" s="109"/>
      <c r="C42" s="112"/>
      <c r="D42" s="109"/>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7" t="s">
        <v>238</v>
      </c>
      <c r="C46" s="110" t="s">
        <v>239</v>
      </c>
      <c r="D46" s="107" t="s">
        <v>240</v>
      </c>
      <c r="E46" s="43" t="s">
        <v>241</v>
      </c>
    </row>
    <row r="47" spans="2:5" x14ac:dyDescent="0.75">
      <c r="B47" s="108"/>
      <c r="C47" s="111"/>
      <c r="D47" s="108"/>
      <c r="E47" s="44"/>
    </row>
    <row r="48" spans="2:5" ht="16.75" thickBot="1" x14ac:dyDescent="0.9">
      <c r="B48" s="109"/>
      <c r="C48" s="112"/>
      <c r="D48" s="109"/>
      <c r="E48" s="39" t="s">
        <v>242</v>
      </c>
    </row>
    <row r="49" spans="2:5" ht="16" x14ac:dyDescent="0.75">
      <c r="B49" s="107" t="s">
        <v>243</v>
      </c>
      <c r="C49" s="110" t="s">
        <v>244</v>
      </c>
      <c r="D49" s="107" t="s">
        <v>245</v>
      </c>
      <c r="E49" s="43" t="s">
        <v>167</v>
      </c>
    </row>
    <row r="50" spans="2:5" x14ac:dyDescent="0.75">
      <c r="B50" s="108"/>
      <c r="C50" s="111"/>
      <c r="D50" s="108"/>
      <c r="E50" s="41"/>
    </row>
    <row r="51" spans="2:5" ht="48.75" thickBot="1" x14ac:dyDescent="0.9">
      <c r="B51" s="109"/>
      <c r="C51" s="112"/>
      <c r="D51" s="109"/>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841</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867</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818</v>
      </c>
      <c r="C16" s="9" t="s">
        <v>816</v>
      </c>
      <c r="D16" s="9" t="s">
        <v>817</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840</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822</v>
      </c>
      <c r="C21" s="9" t="s">
        <v>820</v>
      </c>
      <c r="D21" s="14" t="s">
        <v>821</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823</v>
      </c>
      <c r="D22" s="14" t="s">
        <v>819</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828</v>
      </c>
      <c r="C23" s="89" t="s">
        <v>824</v>
      </c>
      <c r="D23" s="90" t="s">
        <v>829</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831</v>
      </c>
      <c r="C24" s="91" t="s">
        <v>825</v>
      </c>
      <c r="D24" s="92" t="s">
        <v>830</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832</v>
      </c>
      <c r="C25" s="91" t="s">
        <v>826</v>
      </c>
      <c r="D25" s="92" t="s">
        <v>827</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833</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25" workbookViewId="0">
      <selection activeCell="G34" sqref="G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810</v>
      </c>
      <c r="D4" s="73" t="s">
        <v>645</v>
      </c>
      <c r="E4" s="84" t="s">
        <v>801</v>
      </c>
    </row>
    <row r="5" spans="1:19" x14ac:dyDescent="0.75">
      <c r="B5" s="73" t="s">
        <v>13</v>
      </c>
      <c r="C5" s="10" t="s">
        <v>640</v>
      </c>
      <c r="D5" s="73"/>
      <c r="E5" s="10"/>
    </row>
    <row r="6" spans="1:19" x14ac:dyDescent="0.75">
      <c r="B6" s="73" t="s">
        <v>35</v>
      </c>
      <c r="C6" s="72" t="s">
        <v>634</v>
      </c>
      <c r="D6" s="73" t="s">
        <v>641</v>
      </c>
      <c r="E6" s="122" t="s">
        <v>634</v>
      </c>
      <c r="F6" s="122"/>
      <c r="G6" s="122"/>
    </row>
    <row r="7" spans="1:19" x14ac:dyDescent="0.75">
      <c r="B7" s="73" t="s">
        <v>18</v>
      </c>
      <c r="C7" s="80" t="s">
        <v>637</v>
      </c>
      <c r="D7" s="73" t="s">
        <v>642</v>
      </c>
      <c r="E7" s="122" t="s">
        <v>643</v>
      </c>
      <c r="F7" s="122"/>
      <c r="G7" s="122"/>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INDEX('Report-ConceptMap-1'!$I$15:$N$271,Q15+1,R15)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INDEX('Report-ConceptMap-1'!$I$15:$N$271,Q16+1,R16)</f>
        <v>* group[=].element[=].display = ##34#A.1 Report header data elements##34#</v>
      </c>
    </row>
    <row r="17" spans="1:19" ht="88.5" x14ac:dyDescent="0.75">
      <c r="A17" s="23"/>
      <c r="B17" s="9" t="str">
        <f>Report!B10</f>
        <v>header.payer</v>
      </c>
      <c r="C17" s="9" t="str">
        <f>Report!C10</f>
        <v>A.1.3 Health insurance and payment information</v>
      </c>
      <c r="D17" s="14" t="s">
        <v>760</v>
      </c>
      <c r="E17" s="9"/>
      <c r="F17" s="75" t="s">
        <v>619</v>
      </c>
      <c r="G17" s="14" t="s">
        <v>629</v>
      </c>
      <c r="H17" s="76"/>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INDEX('Report-ConceptMap-1'!$I$15:$N$271,Q17+1,R17)</f>
        <v>* group[=].element[=].target.code = #DiagnosticReport</v>
      </c>
    </row>
    <row r="18" spans="1:19" ht="73.75" x14ac:dyDescent="0.75">
      <c r="A18" s="23"/>
      <c r="B18" s="9" t="str">
        <f>Report!B11</f>
        <v>header.informationRecipient</v>
      </c>
      <c r="C18" s="9" t="str">
        <f>Report!C11</f>
        <v>A.1.4 Information recipient</v>
      </c>
      <c r="D18" s="14" t="s">
        <v>764</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INDEX('Report-ConceptMap-1'!$I$15:$N$271,Q18+1,R18)</f>
        <v>* group[=].element[=].target.display = ##34###34#</v>
      </c>
    </row>
    <row r="19" spans="1:19" ht="73.75" x14ac:dyDescent="0.75">
      <c r="A19" s="23"/>
      <c r="B19" s="9" t="str">
        <f>Report!B12</f>
        <v>header.author</v>
      </c>
      <c r="C19" s="9" t="str">
        <f>Report!C12</f>
        <v>A.1.5 Author</v>
      </c>
      <c r="D19" s="14" t="s">
        <v>761</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INDEX('Report-ConceptMap-1'!$I$15:$N$271,Q19+1,R19)</f>
        <v>* group[=].element[=].target.equivalence = #relatedto</v>
      </c>
    </row>
    <row r="20" spans="1:19" ht="59" x14ac:dyDescent="0.75">
      <c r="A20" s="23"/>
      <c r="B20" s="9" t="str">
        <f>Report!B12</f>
        <v>header.author</v>
      </c>
      <c r="C20" s="9" t="str">
        <f>Report!C12</f>
        <v>A.1.5 Author</v>
      </c>
      <c r="D20" s="14" t="s">
        <v>746</v>
      </c>
      <c r="E20" s="9"/>
      <c r="F20" s="75" t="s">
        <v>619</v>
      </c>
      <c r="G20" s="75" t="s">
        <v>657</v>
      </c>
      <c r="H20" s="76"/>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INDEX('Report-ConceptMap-1'!$I$15:$N$271,Q20+1,R20)</f>
        <v/>
      </c>
    </row>
    <row r="21" spans="1:19" ht="59" x14ac:dyDescent="0.75">
      <c r="A21" s="23"/>
      <c r="B21" s="9" t="str">
        <f>Report!B13</f>
        <v>header.legalAuthenticator</v>
      </c>
      <c r="C21" s="9" t="str">
        <f>Report!C13</f>
        <v>A.1.6 Legal authenticator</v>
      </c>
      <c r="D21" s="14"/>
      <c r="E21" s="9"/>
      <c r="F21" s="75" t="s">
        <v>620</v>
      </c>
      <c r="G21" s="75" t="s">
        <v>658</v>
      </c>
      <c r="H21" s="76"/>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INDEX('Report-ConceptMap-1'!$I$15:$N$271,Q21+1,R21)</f>
        <v>* group[=].element[+].code = #LabReport.header.subject</v>
      </c>
    </row>
    <row r="22" spans="1:19" ht="59" x14ac:dyDescent="0.75">
      <c r="A22" s="23"/>
      <c r="B22" s="9" t="str">
        <f>Report!B14</f>
        <v>header.validator</v>
      </c>
      <c r="C22" s="9" t="str">
        <f>Report!C14</f>
        <v>A.1.7 Result validator</v>
      </c>
      <c r="D22" s="14"/>
      <c r="E22" s="9"/>
      <c r="F22" s="75" t="s">
        <v>620</v>
      </c>
      <c r="G22" s="75" t="s">
        <v>658</v>
      </c>
      <c r="H22" s="76"/>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INDEX('Report-ConceptMap-1'!$I$15:$N$271,Q22+1,R22)</f>
        <v>* group[=].element[=].display = ##34#A.1.1 - A1.2 Patient/subject##34#</v>
      </c>
    </row>
    <row r="23" spans="1:19" ht="44.25" x14ac:dyDescent="0.75">
      <c r="A23" s="23"/>
      <c r="B23" s="9" t="str">
        <f>Report!B15</f>
        <v>header.metadata</v>
      </c>
      <c r="C23" s="9" t="str">
        <f>Report!C15</f>
        <v>A.1.8 Laboratory report metadata</v>
      </c>
      <c r="D23" s="14"/>
      <c r="E23" s="9"/>
      <c r="F23" s="75" t="s">
        <v>619</v>
      </c>
      <c r="G23" s="75"/>
      <c r="H23" s="76"/>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INDEX('Report-ConceptMap-1'!$I$15:$N$271,Q23+1,R23)</f>
        <v>* group[=].element[=].target.code = #DiagnosticReport.subject</v>
      </c>
    </row>
    <row r="24" spans="1:19" ht="103.25" x14ac:dyDescent="0.75">
      <c r="A24" s="23"/>
      <c r="B24" s="9" t="str">
        <f>Report!B16</f>
        <v>header.metadata.documentId</v>
      </c>
      <c r="C24" s="9" t="str">
        <f>Report!C16</f>
        <v>A.1.8.0 Document Id</v>
      </c>
      <c r="D24" s="14" t="s">
        <v>360</v>
      </c>
      <c r="E24" s="14"/>
      <c r="F24" s="75" t="s">
        <v>619</v>
      </c>
      <c r="G24" s="82" t="s">
        <v>834</v>
      </c>
      <c r="H24" s="76"/>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INDEX('Report-ConceptMap-1'!$I$15:$N$271,Q24+1,R24)</f>
        <v>* group[=].element[=].target.display = ##34###34#</v>
      </c>
    </row>
    <row r="25" spans="1:19" ht="44.25" x14ac:dyDescent="0.75">
      <c r="A25" s="23"/>
      <c r="B25" s="9" t="str">
        <f>Report!B17</f>
        <v>header.metadata.type</v>
      </c>
      <c r="C25" s="9" t="str">
        <f>Report!C17</f>
        <v>A.1.8.1 Document type</v>
      </c>
      <c r="D25" s="14" t="s">
        <v>615</v>
      </c>
      <c r="E25" s="14"/>
      <c r="F25" s="75" t="s">
        <v>618</v>
      </c>
      <c r="G25" s="75"/>
      <c r="H25" s="76"/>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INDEX('Report-ConceptMap-1'!$I$15:$N$271,Q25+1,R25)</f>
        <v>* group[=].element[=].target.equivalence = #relatedto</v>
      </c>
    </row>
    <row r="26" spans="1:19" ht="73.75" x14ac:dyDescent="0.75">
      <c r="B26" s="9" t="str">
        <f>Report!B18</f>
        <v>header.metadata.status</v>
      </c>
      <c r="C26" s="9" t="str">
        <f>Report!C18</f>
        <v>A.1.8.2 Document status</v>
      </c>
      <c r="D26" s="14" t="s">
        <v>630</v>
      </c>
      <c r="E26" s="14"/>
      <c r="F26" s="75" t="s">
        <v>619</v>
      </c>
      <c r="G26" s="82" t="s">
        <v>857</v>
      </c>
      <c r="H26" s="76"/>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INDEX('Report-ConceptMap-1'!$I$15:$N$271,Q26+1,R26)</f>
        <v/>
      </c>
    </row>
    <row r="27" spans="1:19" ht="73.75" x14ac:dyDescent="0.75">
      <c r="B27" s="9" t="str">
        <f>Report!B19</f>
        <v>header.metadata.dateTime</v>
      </c>
      <c r="C27" s="9" t="str">
        <f>Report!C19</f>
        <v>A.1.8.3 Report date and time</v>
      </c>
      <c r="D27" s="14" t="s">
        <v>631</v>
      </c>
      <c r="E27" s="14"/>
      <c r="F27" s="75" t="s">
        <v>618</v>
      </c>
      <c r="G27" s="75"/>
      <c r="H27" s="76"/>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INDEX('Report-ConceptMap-1'!$I$15:$N$271,Q27+1,R27)</f>
        <v>* group[=].element[+].code = #LabReport.header.payer</v>
      </c>
    </row>
    <row r="28" spans="1:19" ht="59" x14ac:dyDescent="0.75">
      <c r="B28" s="9" t="str">
        <f>Report!B20</f>
        <v>header.metadata.title</v>
      </c>
      <c r="C28" s="9" t="str">
        <f>Report!C20</f>
        <v>A.1.8.4 Document title</v>
      </c>
      <c r="D28" s="14"/>
      <c r="E28" s="14"/>
      <c r="F28" s="75" t="s">
        <v>620</v>
      </c>
      <c r="G28" s="75" t="s">
        <v>658</v>
      </c>
      <c r="H28" s="76"/>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INDEX('Report-ConceptMap-1'!$I$15:$N$271,Q28+1,R28)</f>
        <v>* group[=].element[=].display = ##34#A.1.3 Health insurance and payment information##34#</v>
      </c>
    </row>
    <row r="29" spans="1:19" ht="44.25" x14ac:dyDescent="0.75">
      <c r="B29" s="9" t="str">
        <f>Report!B21</f>
        <v>header.metadata.studyType</v>
      </c>
      <c r="C29" s="9" t="str">
        <f>Report!C21</f>
        <v>A.1.8.5 Study type</v>
      </c>
      <c r="D29" s="14" t="s">
        <v>883</v>
      </c>
      <c r="E29" s="14"/>
      <c r="F29" s="75" t="s">
        <v>619</v>
      </c>
      <c r="G29" s="75"/>
      <c r="H29" s="76"/>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INDEX('Report-ConceptMap-1'!$I$15:$N$271,Q29+1,R29)</f>
        <v>* group[=].element[=].target.code = #DiagnosticReport.basedOn.insurance</v>
      </c>
    </row>
    <row r="30" spans="1:19" ht="59" x14ac:dyDescent="0.75">
      <c r="B30" s="9" t="str">
        <f>Report!B22</f>
        <v>header.metadata.custodian</v>
      </c>
      <c r="C30" s="9" t="str">
        <f>Report!C22</f>
        <v>A.1.8.6 Report custodian</v>
      </c>
      <c r="D30" s="14"/>
      <c r="E30" s="14"/>
      <c r="F30" s="75" t="s">
        <v>620</v>
      </c>
      <c r="G30" s="75" t="s">
        <v>658</v>
      </c>
      <c r="H30" s="76"/>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INDEX('Report-ConceptMap-1'!$I$15:$N$271,Q30+1,R30)</f>
        <v>* group[=].element[=].target.display = ##34###34#</v>
      </c>
    </row>
    <row r="31" spans="1:19" ht="59" x14ac:dyDescent="0.75">
      <c r="B31" s="9" t="str">
        <f>Report!B23</f>
        <v>header.metadata.confidentiality</v>
      </c>
      <c r="C31" s="9" t="str">
        <f>Report!C23</f>
        <v>A.1.8.7 Confidentiality</v>
      </c>
      <c r="D31" s="14"/>
      <c r="E31" s="14"/>
      <c r="F31" s="75" t="s">
        <v>620</v>
      </c>
      <c r="G31" s="75" t="s">
        <v>658</v>
      </c>
      <c r="H31" s="76"/>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INDEX('Report-ConceptMap-1'!$I$15:$N$271,Q31+1,R31)</f>
        <v>* group[=].element[=].target.equivalence = #relatedto</v>
      </c>
    </row>
    <row r="32" spans="1:19" ht="44.25" x14ac:dyDescent="0.75">
      <c r="B32" s="9" t="str">
        <f>Report!B24</f>
        <v>header.metadata.language</v>
      </c>
      <c r="C32" s="9" t="str">
        <f>Report!C24</f>
        <v>A.1.8.8 Language</v>
      </c>
      <c r="D32" s="14" t="s">
        <v>835</v>
      </c>
      <c r="E32" s="14"/>
      <c r="F32" s="75" t="s">
        <v>618</v>
      </c>
      <c r="G32" s="75"/>
      <c r="H32" s="76"/>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INDEX('Report-ConceptMap-1'!$I$15:$N$271,Q32+1,R32)</f>
        <v>* group[=].element[=].target.comment = ##34#basedOn.resolve().ofType(ServiceRequest).insurance.resolve().ofType(Coverage)##34#</v>
      </c>
    </row>
    <row r="33" spans="1:19" ht="88.5" x14ac:dyDescent="0.75">
      <c r="B33" s="9" t="str">
        <f>Report!B25</f>
        <v>header.metadata.version</v>
      </c>
      <c r="C33" s="9" t="str">
        <f>Report!C25</f>
        <v>A.1.8.9 Version</v>
      </c>
      <c r="D33" s="14"/>
      <c r="E33" s="14"/>
      <c r="F33" s="75" t="s">
        <v>620</v>
      </c>
      <c r="G33" s="82" t="s">
        <v>838</v>
      </c>
      <c r="H33" s="76"/>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INDEX('Report-ConceptMap-1'!$I$15:$N$271,Q33+1,R33)</f>
        <v>* group[=].element[+].code = #LabReport.header.informationRecipient</v>
      </c>
    </row>
    <row r="34" spans="1:19" ht="73.75" x14ac:dyDescent="0.75">
      <c r="B34" s="9" t="str">
        <f>Report!B26</f>
        <v>order</v>
      </c>
      <c r="C34" s="9" t="str">
        <f>Report!C26</f>
        <v>A.2-A.3 Order</v>
      </c>
      <c r="D34" s="14" t="s">
        <v>757</v>
      </c>
      <c r="E34" s="14"/>
      <c r="F34" s="75" t="s">
        <v>619</v>
      </c>
      <c r="G34" s="75" t="s">
        <v>632</v>
      </c>
      <c r="H34" s="76"/>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INDEX('Report-ConceptMap-1'!$I$15:$N$271,Q34+1,R34)</f>
        <v>* group[=].element[=].display = ##34#A.1.4 Information recipient##34#</v>
      </c>
    </row>
    <row r="35" spans="1:19" ht="44.25" x14ac:dyDescent="0.75">
      <c r="B35" s="9" t="str">
        <f>Report!B27</f>
        <v>specimen</v>
      </c>
      <c r="C35" s="9" t="str">
        <f>Report!C27</f>
        <v>A.4 Specimen information</v>
      </c>
      <c r="D35" s="14" t="s">
        <v>331</v>
      </c>
      <c r="E35" s="14"/>
      <c r="F35" s="75" t="s">
        <v>619</v>
      </c>
      <c r="G35" s="75"/>
      <c r="H35" s="76"/>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INDEX('Report-ConceptMap-1'!$I$15:$N$271,Q35+1,R35)</f>
        <v>* group[=].element[=].target.code = #DiagnosticReport.extension:information-recipient</v>
      </c>
    </row>
    <row r="36" spans="1:19" ht="44.25" x14ac:dyDescent="0.75">
      <c r="B36" s="9" t="str">
        <f>Report!B28</f>
        <v>result</v>
      </c>
      <c r="C36" s="9" t="str">
        <f>Report!C28</f>
        <v>A.5 Results data elements</v>
      </c>
      <c r="D36" s="14" t="s">
        <v>332</v>
      </c>
      <c r="E36" s="14"/>
      <c r="F36" s="75" t="s">
        <v>619</v>
      </c>
      <c r="G36" s="75"/>
      <c r="H36" s="76"/>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INDEX('Report-ConceptMap-1'!$I$15:$N$271,Q36+1,R36)</f>
        <v>* group[=].element[=].target.display = ##34###34#</v>
      </c>
    </row>
    <row r="37" spans="1:19" ht="73.75" x14ac:dyDescent="0.75">
      <c r="B37" s="66" t="s">
        <v>331</v>
      </c>
      <c r="C37" s="66" t="s">
        <v>169</v>
      </c>
      <c r="D37" s="14" t="s">
        <v>762</v>
      </c>
      <c r="E37" s="14"/>
      <c r="F37" s="75" t="s">
        <v>619</v>
      </c>
      <c r="G37" s="14" t="s">
        <v>955</v>
      </c>
      <c r="H37" s="76"/>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##34#result.resolve().ofType(Observation)##34#</v>
      </c>
      <c r="P37" s="9">
        <v>23</v>
      </c>
      <c r="Q37" s="9">
        <f t="shared" si="9"/>
        <v>3</v>
      </c>
      <c r="R37" s="9">
        <f t="shared" si="24"/>
        <v>5</v>
      </c>
      <c r="S37" s="14" t="str" cm="1">
        <f t="array" ref="S37">INDEX('Report-ConceptMap-1'!$I$15:$N$271,Q37+1,R37)</f>
        <v>* group[=].element[=].target.equivalence = #equivalent</v>
      </c>
    </row>
    <row r="38" spans="1:19" s="1" customFormat="1" x14ac:dyDescent="0.75">
      <c r="A38"/>
      <c r="B38" s="9"/>
      <c r="C38" s="9"/>
      <c r="D38" s="14"/>
      <c r="E38" s="14"/>
      <c r="F38" s="75"/>
      <c r="G38" s="76"/>
      <c r="H38" s="76"/>
      <c r="I38" s="14"/>
      <c r="J38" s="14"/>
      <c r="K38" s="14"/>
      <c r="L38" s="14"/>
      <c r="M38" s="14"/>
      <c r="N38" s="14"/>
      <c r="P38" s="9">
        <v>24</v>
      </c>
      <c r="Q38" s="9">
        <f t="shared" si="9"/>
        <v>3</v>
      </c>
      <c r="R38" s="9">
        <f t="shared" si="24"/>
        <v>6</v>
      </c>
      <c r="S38" s="14" t="str" cm="1">
        <f t="array" ref="S38">INDEX('Report-ConceptMap-1'!$I$15:$N$271,Q38+1,R38)</f>
        <v/>
      </c>
    </row>
    <row r="39" spans="1:19" s="1" customFormat="1" x14ac:dyDescent="0.75">
      <c r="A39"/>
      <c r="B39" s="9"/>
      <c r="C39" s="9"/>
      <c r="D39" s="60"/>
      <c r="F39" s="76"/>
      <c r="G39" s="76"/>
      <c r="H39" s="76"/>
      <c r="I39" s="14"/>
      <c r="J39" s="14"/>
      <c r="K39" s="14"/>
      <c r="L39" s="14"/>
      <c r="M39" s="14"/>
      <c r="N39" s="14"/>
      <c r="P39" s="9">
        <v>25</v>
      </c>
      <c r="Q39" s="9">
        <f t="shared" si="9"/>
        <v>4</v>
      </c>
      <c r="R39" s="9">
        <f t="shared" si="24"/>
        <v>1</v>
      </c>
      <c r="S39" s="14" t="str" cm="1">
        <f t="array" ref="S39">INDEX('Report-ConceptMap-1'!$I$15:$N$271,Q39+1,R39)</f>
        <v>* group[=].element[+].code = #LabReport.header.author</v>
      </c>
    </row>
    <row r="40" spans="1:19" s="1" customFormat="1" x14ac:dyDescent="0.75">
      <c r="A40"/>
      <c r="B40" s="9"/>
      <c r="C40" s="9"/>
      <c r="F40" s="76"/>
      <c r="G40" s="76"/>
      <c r="H40" s="76"/>
      <c r="J40"/>
      <c r="K40" s="76"/>
      <c r="L40" s="76"/>
      <c r="M40" s="74"/>
      <c r="N40" s="74"/>
      <c r="P40" s="9">
        <v>26</v>
      </c>
      <c r="Q40" s="9">
        <f t="shared" si="9"/>
        <v>4</v>
      </c>
      <c r="R40" s="9">
        <f t="shared" si="24"/>
        <v>2</v>
      </c>
      <c r="S40" s="14" t="str" cm="1">
        <f t="array" ref="S40">INDEX('Report-ConceptMap-1'!$I$15:$N$271,Q40+1,R40)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24"/>
        <v>3</v>
      </c>
      <c r="S41" s="14" t="str" cm="1">
        <f t="array" ref="S41">INDEX('Report-ConceptMap-1'!$I$15:$N$271,Q41+1,R41)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24"/>
        <v>4</v>
      </c>
      <c r="S42" s="14" t="str" cm="1">
        <f t="array" ref="S42">INDEX('Report-ConceptMap-1'!$I$15:$N$271,Q42+1,R42)</f>
        <v>* group[=].element[=].target.display = ##34###34#</v>
      </c>
    </row>
    <row r="43" spans="1:19" s="1" customFormat="1" x14ac:dyDescent="0.75">
      <c r="A43"/>
      <c r="B43" s="9"/>
      <c r="C43" s="9"/>
      <c r="F43" s="76"/>
      <c r="G43" s="76"/>
      <c r="H43" s="76"/>
      <c r="J43" s="76"/>
      <c r="K43" s="76"/>
      <c r="L43" s="76"/>
      <c r="M43" s="74"/>
      <c r="N43" s="74"/>
      <c r="P43" s="9">
        <v>29</v>
      </c>
      <c r="Q43" s="9">
        <f t="shared" si="9"/>
        <v>4</v>
      </c>
      <c r="R43" s="9">
        <f t="shared" si="24"/>
        <v>5</v>
      </c>
      <c r="S43" s="14" t="str" cm="1">
        <f t="array" ref="S43">INDEX('Report-ConceptMap-1'!$I$15:$N$271,Q43+1,R43)</f>
        <v>* group[=].element[=].target.equivalence = #relatedto</v>
      </c>
    </row>
    <row r="44" spans="1:19" s="1" customFormat="1" x14ac:dyDescent="0.75">
      <c r="A44"/>
      <c r="B44" s="9"/>
      <c r="C44" s="9"/>
      <c r="F44" s="76"/>
      <c r="G44" s="76"/>
      <c r="H44" s="76"/>
      <c r="J44" s="76"/>
      <c r="K44" s="76"/>
      <c r="L44" s="76"/>
      <c r="M44" s="76"/>
      <c r="N44" s="76"/>
      <c r="P44" s="9">
        <v>30</v>
      </c>
      <c r="Q44" s="9">
        <f t="shared" si="9"/>
        <v>4</v>
      </c>
      <c r="R44" s="9">
        <f t="shared" si="24"/>
        <v>6</v>
      </c>
      <c r="S44" s="14" t="str" cm="1">
        <f t="array" ref="S44">INDEX('Report-ConceptMap-1'!$I$15:$N$271,Q44+1,R44)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24"/>
        <v>1</v>
      </c>
      <c r="S45" s="14" t="str" cm="1">
        <f t="array" ref="S45">INDEX('Report-ConceptMap-1'!$I$15:$N$271,Q45+1,R45)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24"/>
        <v>2</v>
      </c>
      <c r="S46" s="14" t="str" cm="1">
        <f t="array" ref="S46">INDEX('Report-ConceptMap-1'!$I$15:$N$271,Q46+1,R46)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24"/>
        <v>3</v>
      </c>
      <c r="S47" s="14" t="str" cm="1">
        <f t="array" ref="S47">INDEX('Report-ConceptMap-1'!$I$15:$N$271,Q47+1,R47)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24"/>
        <v>4</v>
      </c>
      <c r="S48" s="14" t="str" cm="1">
        <f t="array" ref="S48">INDEX('Report-ConceptMap-1'!$I$15:$N$271,Q48+1,R48)</f>
        <v>* group[=].element[=].target.display = ##34###34#</v>
      </c>
    </row>
    <row r="49" spans="1:19" s="1" customFormat="1" x14ac:dyDescent="0.75">
      <c r="A49"/>
      <c r="B49" s="9"/>
      <c r="C49"/>
      <c r="F49" s="76"/>
      <c r="G49" s="76"/>
      <c r="H49" s="76"/>
      <c r="J49" s="76"/>
      <c r="K49" s="76"/>
      <c r="L49" s="76"/>
      <c r="M49" s="76"/>
      <c r="N49" s="76"/>
      <c r="P49" s="9">
        <v>35</v>
      </c>
      <c r="Q49" s="9">
        <f t="shared" si="9"/>
        <v>5</v>
      </c>
      <c r="R49" s="9">
        <f t="shared" si="24"/>
        <v>5</v>
      </c>
      <c r="S49" s="14" t="str" cm="1">
        <f t="array" ref="S49">INDEX('Report-ConceptMap-1'!$I$15:$N$271,Q49+1,R49)</f>
        <v>* group[=].element[=].target.equivalence = #relatedto</v>
      </c>
    </row>
    <row r="50" spans="1:19" x14ac:dyDescent="0.75">
      <c r="F50" s="76"/>
      <c r="G50" s="76"/>
      <c r="H50" s="76"/>
      <c r="J50" s="76"/>
      <c r="K50" s="76"/>
      <c r="L50" s="76"/>
      <c r="M50" s="76"/>
      <c r="N50" s="76"/>
      <c r="P50" s="9">
        <v>36</v>
      </c>
      <c r="Q50" s="9">
        <f t="shared" si="9"/>
        <v>5</v>
      </c>
      <c r="R50" s="9">
        <f t="shared" si="24"/>
        <v>6</v>
      </c>
      <c r="S50" s="14" t="str" cm="1">
        <f t="array" ref="S50">INDEX('Report-ConceptMap-1'!$I$15:$N$271,Q50+1,R50)</f>
        <v>* group[=].element[=].target.comment = ##34#If the author is the perfomer##34#</v>
      </c>
    </row>
    <row r="51" spans="1:19" x14ac:dyDescent="0.75">
      <c r="F51" s="76"/>
      <c r="G51" s="76"/>
      <c r="H51" s="76"/>
      <c r="J51" s="76"/>
      <c r="K51" s="76"/>
      <c r="L51" s="76"/>
      <c r="M51" s="76"/>
      <c r="N51" s="76"/>
      <c r="P51" s="9">
        <v>37</v>
      </c>
      <c r="Q51" s="9">
        <f t="shared" si="9"/>
        <v>6</v>
      </c>
      <c r="R51" s="9">
        <f t="shared" si="24"/>
        <v>1</v>
      </c>
      <c r="S51" s="14" t="str" cm="1">
        <f t="array" ref="S51">INDEX('Report-ConceptMap-1'!$I$15:$N$271,Q51+1,R51)</f>
        <v>* group[=].element[+].code = #LabReport.header.legalAuthenticator</v>
      </c>
    </row>
    <row r="52" spans="1:19" x14ac:dyDescent="0.75">
      <c r="F52" s="76"/>
      <c r="G52" s="76"/>
      <c r="H52" s="76"/>
      <c r="J52" s="76"/>
      <c r="K52" s="76"/>
      <c r="L52" s="76"/>
      <c r="M52" s="76"/>
      <c r="N52" s="76"/>
      <c r="P52" s="9">
        <v>38</v>
      </c>
      <c r="Q52" s="9">
        <f t="shared" si="9"/>
        <v>6</v>
      </c>
      <c r="R52" s="9">
        <f t="shared" si="24"/>
        <v>2</v>
      </c>
      <c r="S52" s="14" t="str" cm="1">
        <f t="array" ref="S52">INDEX('Report-ConceptMap-1'!$I$15:$N$271,Q52+1,R52)</f>
        <v>* group[=].element[=].display = ##34#A.1.6 Legal authenticator##34#</v>
      </c>
    </row>
    <row r="53" spans="1:19" x14ac:dyDescent="0.75">
      <c r="F53" s="76"/>
      <c r="G53" s="76"/>
      <c r="H53" s="76"/>
      <c r="J53" s="76"/>
      <c r="K53" s="76"/>
      <c r="L53" s="76"/>
      <c r="M53" s="76"/>
      <c r="N53" s="76"/>
      <c r="P53" s="9">
        <v>39</v>
      </c>
      <c r="Q53" s="9">
        <f t="shared" si="9"/>
        <v>6</v>
      </c>
      <c r="R53" s="9">
        <f t="shared" si="24"/>
        <v>3</v>
      </c>
      <c r="S53" s="14" t="str" cm="1">
        <f t="array" ref="S53">INDEX('Report-ConceptMap-1'!$I$15:$N$271,Q53+1,R53)</f>
        <v>//-- unmatched</v>
      </c>
    </row>
    <row r="54" spans="1:19" ht="29.5" x14ac:dyDescent="0.75">
      <c r="B54" t="s">
        <v>607</v>
      </c>
      <c r="C54" t="s">
        <v>608</v>
      </c>
      <c r="D54" s="1" t="s">
        <v>609</v>
      </c>
      <c r="E54" t="s">
        <v>610</v>
      </c>
      <c r="P54" s="9">
        <v>40</v>
      </c>
      <c r="Q54" s="9">
        <f t="shared" si="9"/>
        <v>6</v>
      </c>
      <c r="R54" s="9">
        <f t="shared" si="24"/>
        <v>4</v>
      </c>
      <c r="S54" s="14" t="str" cm="1">
        <f t="array" ref="S54">INDEX('Report-ConceptMap-1'!$I$15:$N$271,Q54+1,R54)</f>
        <v>//-- unmatched</v>
      </c>
    </row>
    <row r="55" spans="1:19" x14ac:dyDescent="0.75">
      <c r="P55" s="9">
        <v>41</v>
      </c>
      <c r="Q55" s="9">
        <f t="shared" si="9"/>
        <v>6</v>
      </c>
      <c r="R55" s="9">
        <f t="shared" si="24"/>
        <v>5</v>
      </c>
      <c r="S55" s="14" t="str" cm="1">
        <f t="array" ref="S55">INDEX('Report-ConceptMap-1'!$I$15:$N$271,Q55+1,R55)</f>
        <v>* group[=].element[=].target.equivalence = #unmatched</v>
      </c>
    </row>
    <row r="56" spans="1:19" ht="29.5" x14ac:dyDescent="0.75">
      <c r="P56" s="9">
        <v>42</v>
      </c>
      <c r="Q56" s="9">
        <f t="shared" si="9"/>
        <v>6</v>
      </c>
      <c r="R56" s="9">
        <f t="shared" si="24"/>
        <v>6</v>
      </c>
      <c r="S56" s="14" t="str" cm="1">
        <f t="array" ref="S56">INDEX('Report-ConceptMap-1'!$I$15:$N$271,Q56+1,R56)</f>
        <v>* group[=].element[=].target.comment = ##34#Mapped in the Composition resource##34#</v>
      </c>
    </row>
    <row r="57" spans="1:19" x14ac:dyDescent="0.75">
      <c r="P57" s="9">
        <v>43</v>
      </c>
      <c r="Q57" s="9">
        <f t="shared" si="9"/>
        <v>7</v>
      </c>
      <c r="R57" s="9">
        <f t="shared" si="24"/>
        <v>1</v>
      </c>
      <c r="S57" s="14" t="str" cm="1">
        <f t="array" ref="S57">INDEX('Report-ConceptMap-1'!$I$15:$N$271,Q57+1,R57)</f>
        <v>* group[=].element[+].code = #LabReport.header.validator</v>
      </c>
    </row>
    <row r="58" spans="1:19" x14ac:dyDescent="0.75">
      <c r="P58" s="9">
        <v>44</v>
      </c>
      <c r="Q58" s="9">
        <f t="shared" si="9"/>
        <v>7</v>
      </c>
      <c r="R58" s="9">
        <f t="shared" si="24"/>
        <v>2</v>
      </c>
      <c r="S58" s="14" t="str" cm="1">
        <f t="array" ref="S58">INDEX('Report-ConceptMap-1'!$I$15:$N$271,Q58+1,R58)</f>
        <v>* group[=].element[=].display = ##34#A.1.7 Result validator##34#</v>
      </c>
    </row>
    <row r="59" spans="1:19" x14ac:dyDescent="0.75">
      <c r="P59" s="9">
        <v>45</v>
      </c>
      <c r="Q59" s="9">
        <f t="shared" si="9"/>
        <v>7</v>
      </c>
      <c r="R59" s="9">
        <f t="shared" si="24"/>
        <v>3</v>
      </c>
      <c r="S59" s="14" t="str" cm="1">
        <f t="array" ref="S59">INDEX('Report-ConceptMap-1'!$I$15:$N$271,Q59+1,R59)</f>
        <v>//-- unmatched</v>
      </c>
    </row>
    <row r="60" spans="1:19" x14ac:dyDescent="0.75">
      <c r="P60" s="9">
        <v>46</v>
      </c>
      <c r="Q60" s="9">
        <f t="shared" si="9"/>
        <v>7</v>
      </c>
      <c r="R60" s="9">
        <f t="shared" si="24"/>
        <v>4</v>
      </c>
      <c r="S60" s="14" t="str" cm="1">
        <f t="array" ref="S60">INDEX('Report-ConceptMap-1'!$I$15:$N$271,Q60+1,R60)</f>
        <v>//-- unmatched</v>
      </c>
    </row>
    <row r="61" spans="1:19" x14ac:dyDescent="0.75">
      <c r="P61" s="9">
        <v>47</v>
      </c>
      <c r="Q61" s="9">
        <f t="shared" si="9"/>
        <v>7</v>
      </c>
      <c r="R61" s="9">
        <f t="shared" si="24"/>
        <v>5</v>
      </c>
      <c r="S61" s="14" t="str" cm="1">
        <f t="array" ref="S61">INDEX('Report-ConceptMap-1'!$I$15:$N$271,Q61+1,R61)</f>
        <v>* group[=].element[=].target.equivalence = #unmatched</v>
      </c>
    </row>
    <row r="62" spans="1:19" ht="29.5" x14ac:dyDescent="0.75">
      <c r="P62" s="9">
        <v>48</v>
      </c>
      <c r="Q62" s="9">
        <f t="shared" si="9"/>
        <v>7</v>
      </c>
      <c r="R62" s="9">
        <f t="shared" si="24"/>
        <v>6</v>
      </c>
      <c r="S62" s="14" t="str" cm="1">
        <f t="array" ref="S62">INDEX('Report-ConceptMap-1'!$I$15:$N$271,Q62+1,R62)</f>
        <v>* group[=].element[=].target.comment = ##34#Mapped in the Composition resource##34#</v>
      </c>
    </row>
    <row r="63" spans="1:19" x14ac:dyDescent="0.75">
      <c r="P63" s="9">
        <v>49</v>
      </c>
      <c r="Q63" s="9">
        <f t="shared" si="9"/>
        <v>8</v>
      </c>
      <c r="R63" s="9">
        <f t="shared" si="24"/>
        <v>1</v>
      </c>
      <c r="S63" s="14" t="str" cm="1">
        <f t="array" ref="S63">INDEX('Report-ConceptMap-1'!$I$15:$N$271,Q63+1,R63)</f>
        <v>* group[=].element[+].code = #LabReport.header.metadata</v>
      </c>
    </row>
    <row r="64" spans="1:19" x14ac:dyDescent="0.75">
      <c r="P64" s="9">
        <v>50</v>
      </c>
      <c r="Q64" s="9">
        <f t="shared" si="9"/>
        <v>8</v>
      </c>
      <c r="R64" s="9">
        <f t="shared" si="24"/>
        <v>2</v>
      </c>
      <c r="S64" s="14" t="str" cm="1">
        <f t="array" ref="S64">INDEX('Report-ConceptMap-1'!$I$15:$N$271,Q64+1,R64)</f>
        <v>* group[=].element[=].display = ##34#A.1.8 Laboratory report metadata##34#</v>
      </c>
    </row>
    <row r="65" spans="16:19" x14ac:dyDescent="0.75">
      <c r="P65" s="9">
        <v>51</v>
      </c>
      <c r="Q65" s="9">
        <f t="shared" si="9"/>
        <v>8</v>
      </c>
      <c r="R65" s="9">
        <f t="shared" si="24"/>
        <v>3</v>
      </c>
      <c r="S65" s="14" t="str" cm="1">
        <f t="array" ref="S65">INDEX('Report-ConceptMap-1'!$I$15:$N$271,Q65+1,R65)</f>
        <v>* group[=].element[=].target.code = #DiagnosticReport</v>
      </c>
    </row>
    <row r="66" spans="16:19" x14ac:dyDescent="0.75">
      <c r="P66" s="9">
        <v>52</v>
      </c>
      <c r="Q66" s="9">
        <f t="shared" si="9"/>
        <v>8</v>
      </c>
      <c r="R66" s="9">
        <f t="shared" si="24"/>
        <v>4</v>
      </c>
      <c r="S66" s="14" t="str" cm="1">
        <f t="array" ref="S66">INDEX('Report-ConceptMap-1'!$I$15:$N$271,Q66+1,R66)</f>
        <v>* group[=].element[=].target.display = ##34###34#</v>
      </c>
    </row>
    <row r="67" spans="16:19" x14ac:dyDescent="0.75">
      <c r="P67" s="9">
        <v>53</v>
      </c>
      <c r="Q67" s="9">
        <f t="shared" si="9"/>
        <v>8</v>
      </c>
      <c r="R67" s="9">
        <f t="shared" si="24"/>
        <v>5</v>
      </c>
      <c r="S67" s="14" t="str" cm="1">
        <f t="array" ref="S67">INDEX('Report-ConceptMap-1'!$I$15:$N$271,Q67+1,R67)</f>
        <v>* group[=].element[=].target.equivalence = #relatedto</v>
      </c>
    </row>
    <row r="68" spans="16:19" x14ac:dyDescent="0.75">
      <c r="P68" s="9">
        <v>54</v>
      </c>
      <c r="Q68" s="9">
        <f t="shared" si="9"/>
        <v>8</v>
      </c>
      <c r="R68" s="9">
        <f t="shared" si="24"/>
        <v>6</v>
      </c>
      <c r="S68" s="14" t="str" cm="1">
        <f t="array" ref="S68">INDEX('Report-ConceptMap-1'!$I$15:$N$271,Q68+1,R68)</f>
        <v/>
      </c>
    </row>
    <row r="69" spans="16:19" x14ac:dyDescent="0.75">
      <c r="P69" s="9">
        <v>55</v>
      </c>
      <c r="Q69" s="9">
        <f t="shared" si="9"/>
        <v>9</v>
      </c>
      <c r="R69" s="9">
        <f t="shared" si="24"/>
        <v>1</v>
      </c>
      <c r="S69" s="14" t="str" cm="1">
        <f t="array" ref="S69">INDEX('Report-ConceptMap-1'!$I$15:$N$271,Q69+1,R69)</f>
        <v>* group[=].element[+].code = #LabReport.header.metadata.documentId</v>
      </c>
    </row>
    <row r="70" spans="16:19" x14ac:dyDescent="0.75">
      <c r="P70" s="9">
        <v>56</v>
      </c>
      <c r="Q70" s="9">
        <f t="shared" si="9"/>
        <v>9</v>
      </c>
      <c r="R70" s="9">
        <f t="shared" si="24"/>
        <v>2</v>
      </c>
      <c r="S70" s="14" t="str" cm="1">
        <f t="array" ref="S70">INDEX('Report-ConceptMap-1'!$I$15:$N$271,Q70+1,R70)</f>
        <v>* group[=].element[=].display = ##34#A.1.8.0 Document Id##34#</v>
      </c>
    </row>
    <row r="71" spans="16:19" x14ac:dyDescent="0.75">
      <c r="P71" s="9">
        <v>57</v>
      </c>
      <c r="Q71" s="9">
        <f t="shared" si="9"/>
        <v>9</v>
      </c>
      <c r="R71" s="9">
        <f t="shared" si="24"/>
        <v>3</v>
      </c>
      <c r="S71" s="14" t="str" cm="1">
        <f t="array" ref="S71">INDEX('Report-ConceptMap-1'!$I$15:$N$271,Q71+1,R71)</f>
        <v>* group[=].element[=].target.code = #DiagnosticReport.identifier</v>
      </c>
    </row>
    <row r="72" spans="16:19" x14ac:dyDescent="0.75">
      <c r="P72" s="9">
        <v>58</v>
      </c>
      <c r="Q72" s="9">
        <f t="shared" si="9"/>
        <v>9</v>
      </c>
      <c r="R72" s="9">
        <f t="shared" si="24"/>
        <v>4</v>
      </c>
      <c r="S72" s="14" t="str" cm="1">
        <f t="array" ref="S72">INDEX('Report-ConceptMap-1'!$I$15:$N$271,Q72+1,R72)</f>
        <v>* group[=].element[=].target.display = ##34###34#</v>
      </c>
    </row>
    <row r="73" spans="16:19" x14ac:dyDescent="0.75">
      <c r="P73" s="9">
        <v>59</v>
      </c>
      <c r="Q73" s="9">
        <f t="shared" si="9"/>
        <v>9</v>
      </c>
      <c r="R73" s="9">
        <f t="shared" si="24"/>
        <v>5</v>
      </c>
      <c r="S73" s="14" t="str" cm="1">
        <f t="array" ref="S73">INDEX('Report-ConceptMap-1'!$I$15:$N$271,Q73+1,R73)</f>
        <v>* group[=].element[=].target.equivalence = #relatedto</v>
      </c>
    </row>
    <row r="74" spans="16:19" ht="44.25" x14ac:dyDescent="0.75">
      <c r="P74" s="9">
        <v>60</v>
      </c>
      <c r="Q74" s="9">
        <f t="shared" si="9"/>
        <v>9</v>
      </c>
      <c r="R74" s="9">
        <f t="shared" si="24"/>
        <v>6</v>
      </c>
      <c r="S74" s="14" t="str" cm="1">
        <f t="array" ref="S74">INDEX('Report-ConceptMap-1'!$I$15:$N$271,Q74+1,R74)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INDEX('Report-ConceptMap-1'!$I$15:$N$271,Q75+1,R75)</f>
        <v>* group[=].element[+].code = #LabReport.header.metadata.type</v>
      </c>
    </row>
    <row r="76" spans="16:19" x14ac:dyDescent="0.75">
      <c r="P76" s="9">
        <v>62</v>
      </c>
      <c r="Q76" s="9">
        <f t="shared" si="9"/>
        <v>10</v>
      </c>
      <c r="R76" s="9">
        <f t="shared" si="24"/>
        <v>2</v>
      </c>
      <c r="S76" s="14" t="str" cm="1">
        <f t="array" ref="S76">INDEX('Report-ConceptMap-1'!$I$15:$N$271,Q76+1,R76)</f>
        <v>* group[=].element[=].display = ##34#A.1.8.1 Document type##34#</v>
      </c>
    </row>
    <row r="77" spans="16:19" x14ac:dyDescent="0.75">
      <c r="P77" s="9">
        <v>63</v>
      </c>
      <c r="Q77" s="9">
        <f t="shared" si="9"/>
        <v>10</v>
      </c>
      <c r="R77" s="9">
        <f t="shared" si="24"/>
        <v>3</v>
      </c>
      <c r="S77" s="14" t="str" cm="1">
        <f t="array" ref="S77">INDEX('Report-ConceptMap-1'!$I$15:$N$271,Q77+1,R77)</f>
        <v>* group[=].element[=].target.code = #DiagnosticReport.code</v>
      </c>
    </row>
    <row r="78" spans="16:19" x14ac:dyDescent="0.75">
      <c r="P78" s="9">
        <v>64</v>
      </c>
      <c r="Q78" s="9">
        <f t="shared" si="9"/>
        <v>10</v>
      </c>
      <c r="R78" s="9">
        <f t="shared" si="24"/>
        <v>4</v>
      </c>
      <c r="S78" s="14" t="str" cm="1">
        <f t="array" ref="S78">INDEX('Report-ConceptMap-1'!$I$15:$N$271,Q78+1,R78)</f>
        <v>* group[=].element[=].target.display = ##34###34#</v>
      </c>
    </row>
    <row r="79" spans="16:19" x14ac:dyDescent="0.75">
      <c r="P79" s="9">
        <v>65</v>
      </c>
      <c r="Q79" s="9">
        <f t="shared" si="9"/>
        <v>10</v>
      </c>
      <c r="R79" s="9">
        <f t="shared" si="24"/>
        <v>5</v>
      </c>
      <c r="S79" s="14" t="str" cm="1">
        <f t="array" ref="S79">INDEX('Report-ConceptMap-1'!$I$15:$N$271,Q79+1,R79)</f>
        <v>* group[=].element[=].target.equivalence = #equivalent</v>
      </c>
    </row>
    <row r="80" spans="16:19" x14ac:dyDescent="0.75">
      <c r="P80" s="9">
        <v>66</v>
      </c>
      <c r="Q80" s="9">
        <f t="shared" si="9"/>
        <v>10</v>
      </c>
      <c r="R80" s="9">
        <f t="shared" si="24"/>
        <v>6</v>
      </c>
      <c r="S80" s="14" t="str" cm="1">
        <f t="array" ref="S80">INDEX('Report-ConceptMap-1'!$I$15:$N$271,Q80+1,R80)</f>
        <v/>
      </c>
    </row>
    <row r="81" spans="16:19" x14ac:dyDescent="0.75">
      <c r="P81" s="9">
        <v>67</v>
      </c>
      <c r="Q81" s="9">
        <f t="shared" si="9"/>
        <v>11</v>
      </c>
      <c r="R81" s="9">
        <f t="shared" si="24"/>
        <v>1</v>
      </c>
      <c r="S81" s="14" t="str" cm="1">
        <f t="array" ref="S81">INDEX('Report-ConceptMap-1'!$I$15:$N$271,Q81+1,R81)</f>
        <v>* group[=].element[+].code = #LabReport.header.metadata.status</v>
      </c>
    </row>
    <row r="82" spans="16:19" x14ac:dyDescent="0.75">
      <c r="P82" s="9">
        <v>68</v>
      </c>
      <c r="Q82" s="9">
        <f t="shared" si="9"/>
        <v>11</v>
      </c>
      <c r="R82" s="9">
        <f t="shared" si="24"/>
        <v>2</v>
      </c>
      <c r="S82" s="14" t="str" cm="1">
        <f t="array" ref="S82">INDEX('Report-ConceptMap-1'!$I$15:$N$271,Q82+1,R82)</f>
        <v>* group[=].element[=].display = ##34#A.1.8.2 Document status##34#</v>
      </c>
    </row>
    <row r="83" spans="16:19" x14ac:dyDescent="0.75">
      <c r="P83" s="9">
        <v>69</v>
      </c>
      <c r="Q83" s="9">
        <f t="shared" si="9"/>
        <v>11</v>
      </c>
      <c r="R83" s="9">
        <f t="shared" si="24"/>
        <v>3</v>
      </c>
      <c r="S83" s="14" t="str" cm="1">
        <f t="array" ref="S83">INDEX('Report-ConceptMap-1'!$I$15:$N$271,Q83+1,R83)</f>
        <v>* group[=].element[=].target.code = #DiagnosticReport.status</v>
      </c>
    </row>
    <row r="84" spans="16:19" x14ac:dyDescent="0.75">
      <c r="P84" s="9">
        <v>70</v>
      </c>
      <c r="Q84" s="9">
        <f t="shared" si="9"/>
        <v>11</v>
      </c>
      <c r="R84" s="9">
        <f t="shared" si="24"/>
        <v>4</v>
      </c>
      <c r="S84" s="14" t="str" cm="1">
        <f t="array" ref="S84">INDEX('Report-ConceptMap-1'!$I$15:$N$271,Q84+1,R84)</f>
        <v>* group[=].element[=].target.display = ##34###34#</v>
      </c>
    </row>
    <row r="85" spans="16:19" x14ac:dyDescent="0.75">
      <c r="P85" s="9">
        <v>71</v>
      </c>
      <c r="Q85" s="9">
        <f t="shared" si="9"/>
        <v>11</v>
      </c>
      <c r="R85" s="9">
        <f t="shared" si="24"/>
        <v>5</v>
      </c>
      <c r="S85" s="14" t="str" cm="1">
        <f t="array" ref="S85">INDEX('Report-ConceptMap-1'!$I$15:$N$271,Q85+1,R85)</f>
        <v>* group[=].element[=].target.equivalence = #relatedto</v>
      </c>
    </row>
    <row r="86" spans="16:19" ht="29.5" x14ac:dyDescent="0.75">
      <c r="P86" s="9">
        <v>72</v>
      </c>
      <c r="Q86" s="9">
        <f t="shared" si="9"/>
        <v>11</v>
      </c>
      <c r="R86" s="9">
        <f t="shared" si="24"/>
        <v>6</v>
      </c>
      <c r="S86" s="14" t="str" cm="1">
        <f t="array" ref="S86">INDEX('Report-ConceptMap-1'!$I$15:$N$271,Q86+1,R86)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INDEX('Report-ConceptMap-1'!$I$15:$N$271,Q87+1,R87)</f>
        <v>* group[=].element[+].code = #LabReport.header.metadata.dateTime</v>
      </c>
    </row>
    <row r="88" spans="16:19" x14ac:dyDescent="0.75">
      <c r="P88" s="9">
        <v>74</v>
      </c>
      <c r="Q88" s="9">
        <f t="shared" si="9"/>
        <v>12</v>
      </c>
      <c r="R88" s="9">
        <f t="shared" ref="R88:R151" si="25">IF(MOD(P88,$Q$8)=0,$Q$8,MOD(P88,$Q$8))</f>
        <v>2</v>
      </c>
      <c r="S88" s="14" t="str" cm="1">
        <f t="array" ref="S88">INDEX('Report-ConceptMap-1'!$I$15:$N$271,Q88+1,R88)</f>
        <v>* group[=].element[=].display = ##34#A.1.8.3 Report date and time##34#</v>
      </c>
    </row>
    <row r="89" spans="16:19" x14ac:dyDescent="0.75">
      <c r="P89" s="9">
        <v>75</v>
      </c>
      <c r="Q89" s="9">
        <f t="shared" si="9"/>
        <v>12</v>
      </c>
      <c r="R89" s="9">
        <f t="shared" si="25"/>
        <v>3</v>
      </c>
      <c r="S89" s="14" t="str" cm="1">
        <f t="array" ref="S89">INDEX('Report-ConceptMap-1'!$I$15:$N$271,Q89+1,R89)</f>
        <v>* group[=].element[=].target.code = #DiagnosticReport.effectiveDateTime</v>
      </c>
    </row>
    <row r="90" spans="16:19" x14ac:dyDescent="0.75">
      <c r="P90" s="9">
        <v>76</v>
      </c>
      <c r="Q90" s="9">
        <f t="shared" si="9"/>
        <v>12</v>
      </c>
      <c r="R90" s="9">
        <f t="shared" si="25"/>
        <v>4</v>
      </c>
      <c r="S90" s="14" t="str" cm="1">
        <f t="array" ref="S90">INDEX('Report-ConceptMap-1'!$I$15:$N$271,Q90+1,R90)</f>
        <v>* group[=].element[=].target.display = ##34###34#</v>
      </c>
    </row>
    <row r="91" spans="16:19" x14ac:dyDescent="0.75">
      <c r="P91" s="9">
        <v>77</v>
      </c>
      <c r="Q91" s="9">
        <f t="shared" si="9"/>
        <v>12</v>
      </c>
      <c r="R91" s="9">
        <f t="shared" si="25"/>
        <v>5</v>
      </c>
      <c r="S91" s="14" t="str" cm="1">
        <f t="array" ref="S91">INDEX('Report-ConceptMap-1'!$I$15:$N$271,Q91+1,R91)</f>
        <v>* group[=].element[=].target.equivalence = #equivalent</v>
      </c>
    </row>
    <row r="92" spans="16:19" x14ac:dyDescent="0.75">
      <c r="P92" s="9">
        <v>78</v>
      </c>
      <c r="Q92" s="9">
        <f t="shared" si="9"/>
        <v>12</v>
      </c>
      <c r="R92" s="9">
        <f t="shared" si="25"/>
        <v>6</v>
      </c>
      <c r="S92" s="14" t="str" cm="1">
        <f t="array" ref="S92">INDEX('Report-ConceptMap-1'!$I$15:$N$271,Q92+1,R92)</f>
        <v/>
      </c>
    </row>
    <row r="93" spans="16:19" x14ac:dyDescent="0.75">
      <c r="P93" s="9">
        <v>79</v>
      </c>
      <c r="Q93" s="9">
        <f t="shared" si="9"/>
        <v>13</v>
      </c>
      <c r="R93" s="9">
        <f t="shared" si="25"/>
        <v>1</v>
      </c>
      <c r="S93" s="14" t="str" cm="1">
        <f t="array" ref="S93">INDEX('Report-ConceptMap-1'!$I$15:$N$271,Q93+1,R93)</f>
        <v>* group[=].element[+].code = #LabReport.header.metadata.title</v>
      </c>
    </row>
    <row r="94" spans="16:19" x14ac:dyDescent="0.75">
      <c r="P94" s="9">
        <v>80</v>
      </c>
      <c r="Q94" s="9">
        <f t="shared" si="9"/>
        <v>13</v>
      </c>
      <c r="R94" s="9">
        <f t="shared" si="25"/>
        <v>2</v>
      </c>
      <c r="S94" s="14" t="str" cm="1">
        <f t="array" ref="S94">INDEX('Report-ConceptMap-1'!$I$15:$N$271,Q94+1,R94)</f>
        <v>* group[=].element[=].display = ##34#A.1.8.4 Document title##34#</v>
      </c>
    </row>
    <row r="95" spans="16:19" x14ac:dyDescent="0.75">
      <c r="P95" s="9">
        <v>81</v>
      </c>
      <c r="Q95" s="9">
        <f t="shared" si="9"/>
        <v>13</v>
      </c>
      <c r="R95" s="9">
        <f t="shared" si="25"/>
        <v>3</v>
      </c>
      <c r="S95" s="14" t="str" cm="1">
        <f t="array" ref="S95">INDEX('Report-ConceptMap-1'!$I$15:$N$271,Q95+1,R95)</f>
        <v>//-- unmatched</v>
      </c>
    </row>
    <row r="96" spans="16:19" x14ac:dyDescent="0.75">
      <c r="P96" s="9">
        <v>82</v>
      </c>
      <c r="Q96" s="9">
        <f t="shared" si="9"/>
        <v>13</v>
      </c>
      <c r="R96" s="9">
        <f t="shared" si="25"/>
        <v>4</v>
      </c>
      <c r="S96" s="14" t="str" cm="1">
        <f t="array" ref="S96">INDEX('Report-ConceptMap-1'!$I$15:$N$271,Q96+1,R96)</f>
        <v>//-- unmatched</v>
      </c>
    </row>
    <row r="97" spans="16:19" x14ac:dyDescent="0.75">
      <c r="P97" s="9">
        <v>83</v>
      </c>
      <c r="Q97" s="9">
        <f t="shared" si="9"/>
        <v>13</v>
      </c>
      <c r="R97" s="9">
        <f t="shared" si="25"/>
        <v>5</v>
      </c>
      <c r="S97" s="14" t="str" cm="1">
        <f t="array" ref="S97">INDEX('Report-ConceptMap-1'!$I$15:$N$271,Q97+1,R97)</f>
        <v>* group[=].element[=].target.equivalence = #unmatched</v>
      </c>
    </row>
    <row r="98" spans="16:19" ht="29.5" x14ac:dyDescent="0.75">
      <c r="P98" s="9">
        <v>84</v>
      </c>
      <c r="Q98" s="9">
        <f t="shared" si="9"/>
        <v>13</v>
      </c>
      <c r="R98" s="9">
        <f t="shared" si="25"/>
        <v>6</v>
      </c>
      <c r="S98" s="14" t="str" cm="1">
        <f t="array" ref="S98">INDEX('Report-ConceptMap-1'!$I$15:$N$271,Q98+1,R98)</f>
        <v>* group[=].element[=].target.comment = ##34#Mapped in the Composition resource##34#</v>
      </c>
    </row>
    <row r="99" spans="16:19" x14ac:dyDescent="0.75">
      <c r="P99" s="9">
        <v>85</v>
      </c>
      <c r="Q99" s="9">
        <f t="shared" si="9"/>
        <v>14</v>
      </c>
      <c r="R99" s="9">
        <f t="shared" si="25"/>
        <v>1</v>
      </c>
      <c r="S99" s="14" t="str" cm="1">
        <f t="array" ref="S99">INDEX('Report-ConceptMap-1'!$I$15:$N$271,Q99+1,R99)</f>
        <v>* group[=].element[+].code = #LabReport.header.metadata.studyType</v>
      </c>
    </row>
    <row r="100" spans="16:19" x14ac:dyDescent="0.75">
      <c r="P100" s="9">
        <v>86</v>
      </c>
      <c r="Q100" s="9">
        <f t="shared" si="9"/>
        <v>14</v>
      </c>
      <c r="R100" s="9">
        <f t="shared" si="25"/>
        <v>2</v>
      </c>
      <c r="S100" s="14" t="str" cm="1">
        <f t="array" ref="S100">INDEX('Report-ConceptMap-1'!$I$15:$N$271,Q100+1,R100)</f>
        <v>* group[=].element[=].display = ##34#A.1.8.5 Study type##34#</v>
      </c>
    </row>
    <row r="101" spans="16:19" x14ac:dyDescent="0.75">
      <c r="P101" s="9">
        <v>87</v>
      </c>
      <c r="Q101" s="9">
        <f t="shared" si="9"/>
        <v>14</v>
      </c>
      <c r="R101" s="9">
        <f t="shared" si="25"/>
        <v>3</v>
      </c>
      <c r="S101" s="14" t="str" cm="1">
        <f t="array" ref="S101">INDEX('Report-ConceptMap-1'!$I$15:$N$271,Q101+1,R101)</f>
        <v>* group[=].element[=].target.code = #DiagnosticReport.category</v>
      </c>
    </row>
    <row r="102" spans="16:19" x14ac:dyDescent="0.75">
      <c r="P102" s="9">
        <v>88</v>
      </c>
      <c r="Q102" s="9">
        <f t="shared" si="9"/>
        <v>14</v>
      </c>
      <c r="R102" s="9">
        <f t="shared" si="25"/>
        <v>4</v>
      </c>
      <c r="S102" s="14" t="str" cm="1">
        <f t="array" ref="S102">INDEX('Report-ConceptMap-1'!$I$15:$N$271,Q102+1,R102)</f>
        <v>* group[=].element[=].target.display = ##34###34#</v>
      </c>
    </row>
    <row r="103" spans="16:19" x14ac:dyDescent="0.75">
      <c r="P103" s="9">
        <v>89</v>
      </c>
      <c r="Q103" s="9">
        <f t="shared" si="9"/>
        <v>14</v>
      </c>
      <c r="R103" s="9">
        <f t="shared" si="25"/>
        <v>5</v>
      </c>
      <c r="S103" s="14" t="str" cm="1">
        <f t="array" ref="S103">INDEX('Report-ConceptMap-1'!$I$15:$N$271,Q103+1,R103)</f>
        <v>* group[=].element[=].target.equivalence = #relatedto</v>
      </c>
    </row>
    <row r="104" spans="16:19" x14ac:dyDescent="0.75">
      <c r="P104" s="9">
        <v>90</v>
      </c>
      <c r="Q104" s="9">
        <f t="shared" si="9"/>
        <v>14</v>
      </c>
      <c r="R104" s="9">
        <f t="shared" si="25"/>
        <v>6</v>
      </c>
      <c r="S104" s="14" t="str" cm="1">
        <f t="array" ref="S104">INDEX('Report-ConceptMap-1'!$I$15:$N$271,Q104+1,R104)</f>
        <v/>
      </c>
    </row>
    <row r="105" spans="16:19" x14ac:dyDescent="0.75">
      <c r="P105" s="9">
        <v>91</v>
      </c>
      <c r="Q105" s="9">
        <f t="shared" si="9"/>
        <v>15</v>
      </c>
      <c r="R105" s="9">
        <f t="shared" si="25"/>
        <v>1</v>
      </c>
      <c r="S105" s="14" t="str" cm="1">
        <f t="array" ref="S105">INDEX('Report-ConceptMap-1'!$I$15:$N$271,Q105+1,R105)</f>
        <v>* group[=].element[+].code = #LabReport.header.metadata.custodian</v>
      </c>
    </row>
    <row r="106" spans="16:19" x14ac:dyDescent="0.75">
      <c r="P106" s="9">
        <v>92</v>
      </c>
      <c r="Q106" s="9">
        <f t="shared" si="9"/>
        <v>15</v>
      </c>
      <c r="R106" s="9">
        <f t="shared" si="25"/>
        <v>2</v>
      </c>
      <c r="S106" s="14" t="str" cm="1">
        <f t="array" ref="S106">INDEX('Report-ConceptMap-1'!$I$15:$N$271,Q106+1,R106)</f>
        <v>* group[=].element[=].display = ##34#A.1.8.6 Report custodian##34#</v>
      </c>
    </row>
    <row r="107" spans="16:19" x14ac:dyDescent="0.75">
      <c r="P107" s="9">
        <v>93</v>
      </c>
      <c r="Q107" s="9">
        <f t="shared" si="9"/>
        <v>15</v>
      </c>
      <c r="R107" s="9">
        <f t="shared" si="25"/>
        <v>3</v>
      </c>
      <c r="S107" s="14" t="str" cm="1">
        <f t="array" ref="S107">INDEX('Report-ConceptMap-1'!$I$15:$N$271,Q107+1,R107)</f>
        <v>//-- unmatched</v>
      </c>
    </row>
    <row r="108" spans="16:19" x14ac:dyDescent="0.75">
      <c r="P108" s="9">
        <v>94</v>
      </c>
      <c r="Q108" s="9">
        <f t="shared" si="9"/>
        <v>15</v>
      </c>
      <c r="R108" s="9">
        <f t="shared" si="25"/>
        <v>4</v>
      </c>
      <c r="S108" s="14" t="str" cm="1">
        <f t="array" ref="S108">INDEX('Report-ConceptMap-1'!$I$15:$N$271,Q108+1,R108)</f>
        <v>//-- unmatched</v>
      </c>
    </row>
    <row r="109" spans="16:19" x14ac:dyDescent="0.75">
      <c r="P109" s="9">
        <v>95</v>
      </c>
      <c r="Q109" s="9">
        <f t="shared" si="9"/>
        <v>15</v>
      </c>
      <c r="R109" s="9">
        <f t="shared" si="25"/>
        <v>5</v>
      </c>
      <c r="S109" s="14" t="str" cm="1">
        <f t="array" ref="S109">INDEX('Report-ConceptMap-1'!$I$15:$N$271,Q109+1,R109)</f>
        <v>* group[=].element[=].target.equivalence = #unmatched</v>
      </c>
    </row>
    <row r="110" spans="16:19" ht="29.5" x14ac:dyDescent="0.75">
      <c r="P110" s="9">
        <v>96</v>
      </c>
      <c r="Q110" s="9">
        <f t="shared" si="9"/>
        <v>15</v>
      </c>
      <c r="R110" s="9">
        <f t="shared" si="25"/>
        <v>6</v>
      </c>
      <c r="S110" s="14" t="str" cm="1">
        <f t="array" ref="S110">INDEX('Report-ConceptMap-1'!$I$15:$N$271,Q110+1,R110)</f>
        <v>* group[=].element[=].target.comment = ##34#Mapped in the Composition resource##34#</v>
      </c>
    </row>
    <row r="111" spans="16:19" x14ac:dyDescent="0.75">
      <c r="P111" s="9">
        <v>97</v>
      </c>
      <c r="Q111" s="9">
        <f t="shared" si="9"/>
        <v>16</v>
      </c>
      <c r="R111" s="9">
        <f t="shared" si="25"/>
        <v>1</v>
      </c>
      <c r="S111" s="14" t="str" cm="1">
        <f t="array" ref="S111">INDEX('Report-ConceptMap-1'!$I$15:$N$271,Q111+1,R111)</f>
        <v>* group[=].element[+].code = #LabReport.header.metadata.confidentiality</v>
      </c>
    </row>
    <row r="112" spans="16:19" x14ac:dyDescent="0.75">
      <c r="P112" s="9">
        <v>98</v>
      </c>
      <c r="Q112" s="9">
        <f t="shared" si="9"/>
        <v>16</v>
      </c>
      <c r="R112" s="9">
        <f t="shared" si="25"/>
        <v>2</v>
      </c>
      <c r="S112" s="14" t="str" cm="1">
        <f t="array" ref="S112">INDEX('Report-ConceptMap-1'!$I$15:$N$271,Q112+1,R112)</f>
        <v>* group[=].element[=].display = ##34#A.1.8.7 Confidentiality##34#</v>
      </c>
    </row>
    <row r="113" spans="16:19" x14ac:dyDescent="0.75">
      <c r="P113" s="9">
        <v>99</v>
      </c>
      <c r="Q113" s="9">
        <f t="shared" si="9"/>
        <v>16</v>
      </c>
      <c r="R113" s="9">
        <f t="shared" si="25"/>
        <v>3</v>
      </c>
      <c r="S113" s="14" t="str" cm="1">
        <f t="array" ref="S113">INDEX('Report-ConceptMap-1'!$I$15:$N$271,Q113+1,R113)</f>
        <v>//-- unmatched</v>
      </c>
    </row>
    <row r="114" spans="16:19" x14ac:dyDescent="0.75">
      <c r="P114" s="9">
        <v>100</v>
      </c>
      <c r="Q114" s="9">
        <f t="shared" si="9"/>
        <v>16</v>
      </c>
      <c r="R114" s="9">
        <f t="shared" si="25"/>
        <v>4</v>
      </c>
      <c r="S114" s="14" t="str" cm="1">
        <f t="array" ref="S114">INDEX('Report-ConceptMap-1'!$I$15:$N$271,Q114+1,R114)</f>
        <v>//-- unmatched</v>
      </c>
    </row>
    <row r="115" spans="16:19" x14ac:dyDescent="0.75">
      <c r="P115" s="9">
        <v>101</v>
      </c>
      <c r="Q115" s="9">
        <f t="shared" si="9"/>
        <v>16</v>
      </c>
      <c r="R115" s="9">
        <f t="shared" si="25"/>
        <v>5</v>
      </c>
      <c r="S115" s="14" t="str" cm="1">
        <f t="array" ref="S115">INDEX('Report-ConceptMap-1'!$I$15:$N$271,Q115+1,R115)</f>
        <v>* group[=].element[=].target.equivalence = #unmatched</v>
      </c>
    </row>
    <row r="116" spans="16:19" ht="29.5" x14ac:dyDescent="0.75">
      <c r="P116" s="9">
        <v>102</v>
      </c>
      <c r="Q116" s="9">
        <f t="shared" si="9"/>
        <v>16</v>
      </c>
      <c r="R116" s="9">
        <f t="shared" si="25"/>
        <v>6</v>
      </c>
      <c r="S116" s="14" t="str" cm="1">
        <f t="array" ref="S116">INDEX('Report-ConceptMap-1'!$I$15:$N$271,Q116+1,R116)</f>
        <v>* group[=].element[=].target.comment = ##34#Mapped in the Composition resource##34#</v>
      </c>
    </row>
    <row r="117" spans="16:19" x14ac:dyDescent="0.75">
      <c r="P117" s="9">
        <v>103</v>
      </c>
      <c r="Q117" s="9">
        <f t="shared" si="9"/>
        <v>17</v>
      </c>
      <c r="R117" s="9">
        <f t="shared" si="25"/>
        <v>1</v>
      </c>
      <c r="S117" s="14" t="str" cm="1">
        <f t="array" ref="S117">INDEX('Report-ConceptMap-1'!$I$15:$N$271,Q117+1,R117)</f>
        <v>* group[=].element[+].code = #LabReport.header.metadata.language</v>
      </c>
    </row>
    <row r="118" spans="16:19" x14ac:dyDescent="0.75">
      <c r="P118" s="9">
        <v>104</v>
      </c>
      <c r="Q118" s="9">
        <f t="shared" si="9"/>
        <v>17</v>
      </c>
      <c r="R118" s="9">
        <f t="shared" si="25"/>
        <v>2</v>
      </c>
      <c r="S118" s="14" t="str" cm="1">
        <f t="array" ref="S118">INDEX('Report-ConceptMap-1'!$I$15:$N$271,Q118+1,R118)</f>
        <v>* group[=].element[=].display = ##34#A.1.8.8 Language##34#</v>
      </c>
    </row>
    <row r="119" spans="16:19" x14ac:dyDescent="0.75">
      <c r="P119" s="9">
        <v>105</v>
      </c>
      <c r="Q119" s="9">
        <f t="shared" si="9"/>
        <v>17</v>
      </c>
      <c r="R119" s="9">
        <f t="shared" si="25"/>
        <v>3</v>
      </c>
      <c r="S119" s="14" t="str" cm="1">
        <f t="array" ref="S119">INDEX('Report-ConceptMap-1'!$I$15:$N$271,Q119+1,R119)</f>
        <v>* group[=].element[=].target.code = #DiagnosticReport.language</v>
      </c>
    </row>
    <row r="120" spans="16:19" x14ac:dyDescent="0.75">
      <c r="P120" s="9">
        <v>106</v>
      </c>
      <c r="Q120" s="9">
        <f t="shared" si="9"/>
        <v>17</v>
      </c>
      <c r="R120" s="9">
        <f t="shared" si="25"/>
        <v>4</v>
      </c>
      <c r="S120" s="14" t="str" cm="1">
        <f t="array" ref="S120">INDEX('Report-ConceptMap-1'!$I$15:$N$271,Q120+1,R120)</f>
        <v>* group[=].element[=].target.display = ##34###34#</v>
      </c>
    </row>
    <row r="121" spans="16:19" x14ac:dyDescent="0.75">
      <c r="P121" s="9">
        <v>107</v>
      </c>
      <c r="Q121" s="9">
        <f t="shared" si="9"/>
        <v>17</v>
      </c>
      <c r="R121" s="9">
        <f t="shared" si="25"/>
        <v>5</v>
      </c>
      <c r="S121" s="14" t="str" cm="1">
        <f t="array" ref="S121">INDEX('Report-ConceptMap-1'!$I$15:$N$271,Q121+1,R121)</f>
        <v>* group[=].element[=].target.equivalence = #equivalent</v>
      </c>
    </row>
    <row r="122" spans="16:19" x14ac:dyDescent="0.75">
      <c r="P122" s="9">
        <v>108</v>
      </c>
      <c r="Q122" s="9">
        <f t="shared" si="9"/>
        <v>17</v>
      </c>
      <c r="R122" s="9">
        <f t="shared" si="25"/>
        <v>6</v>
      </c>
      <c r="S122" s="14" t="str" cm="1">
        <f t="array" ref="S122">INDEX('Report-ConceptMap-1'!$I$15:$N$271,Q122+1,R122)</f>
        <v/>
      </c>
    </row>
    <row r="123" spans="16:19" x14ac:dyDescent="0.75">
      <c r="P123" s="9">
        <v>109</v>
      </c>
      <c r="Q123" s="9">
        <f t="shared" si="9"/>
        <v>18</v>
      </c>
      <c r="R123" s="9">
        <f t="shared" si="25"/>
        <v>1</v>
      </c>
      <c r="S123" s="14" t="str" cm="1">
        <f t="array" ref="S123">INDEX('Report-ConceptMap-1'!$I$15:$N$271,Q123+1,R123)</f>
        <v>* group[=].element[+].code = #LabReport.header.metadata.version</v>
      </c>
    </row>
    <row r="124" spans="16:19" x14ac:dyDescent="0.75">
      <c r="P124" s="9">
        <v>110</v>
      </c>
      <c r="Q124" s="9">
        <f t="shared" si="9"/>
        <v>18</v>
      </c>
      <c r="R124" s="9">
        <f t="shared" si="25"/>
        <v>2</v>
      </c>
      <c r="S124" s="14" t="str" cm="1">
        <f t="array" ref="S124">INDEX('Report-ConceptMap-1'!$I$15:$N$271,Q124+1,R124)</f>
        <v>* group[=].element[=].display = ##34#A.1.8.9 Version##34#</v>
      </c>
    </row>
    <row r="125" spans="16:19" x14ac:dyDescent="0.75">
      <c r="P125" s="9">
        <v>111</v>
      </c>
      <c r="Q125" s="9">
        <f t="shared" si="9"/>
        <v>18</v>
      </c>
      <c r="R125" s="9">
        <f t="shared" si="25"/>
        <v>3</v>
      </c>
      <c r="S125" s="14" t="str" cm="1">
        <f t="array" ref="S125">INDEX('Report-ConceptMap-1'!$I$15:$N$271,Q125+1,R125)</f>
        <v>//-- unmatched</v>
      </c>
    </row>
    <row r="126" spans="16:19" x14ac:dyDescent="0.75">
      <c r="P126" s="9">
        <v>112</v>
      </c>
      <c r="Q126" s="9">
        <f t="shared" si="9"/>
        <v>18</v>
      </c>
      <c r="R126" s="9">
        <f t="shared" si="25"/>
        <v>4</v>
      </c>
      <c r="S126" s="14" t="str" cm="1">
        <f t="array" ref="S126">INDEX('Report-ConceptMap-1'!$I$15:$N$271,Q126+1,R126)</f>
        <v>//-- unmatched</v>
      </c>
    </row>
    <row r="127" spans="16:19" x14ac:dyDescent="0.75">
      <c r="P127" s="9">
        <v>113</v>
      </c>
      <c r="Q127" s="9">
        <f t="shared" si="9"/>
        <v>18</v>
      </c>
      <c r="R127" s="9">
        <f t="shared" si="25"/>
        <v>5</v>
      </c>
      <c r="S127" s="14" t="str" cm="1">
        <f t="array" ref="S127">INDEX('Report-ConceptMap-1'!$I$15:$N$271,Q127+1,R127)</f>
        <v>* group[=].element[=].target.equivalence = #unmatched</v>
      </c>
    </row>
    <row r="128" spans="16:19" ht="29.5" x14ac:dyDescent="0.75">
      <c r="P128" s="9">
        <v>114</v>
      </c>
      <c r="Q128" s="9">
        <f t="shared" si="9"/>
        <v>18</v>
      </c>
      <c r="R128" s="9">
        <f t="shared" si="25"/>
        <v>6</v>
      </c>
      <c r="S128" s="14" t="str" cm="1">
        <f t="array" ref="S128">INDEX('Report-ConceptMap-1'!$I$15:$N$271,Q128+1,R128)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INDEX('Report-ConceptMap-1'!$I$15:$N$271,Q129+1,R129)</f>
        <v>* group[=].element[+].code = #LabReport.order</v>
      </c>
    </row>
    <row r="130" spans="16:19" x14ac:dyDescent="0.75">
      <c r="P130" s="9">
        <v>116</v>
      </c>
      <c r="Q130" s="9">
        <f t="shared" si="9"/>
        <v>19</v>
      </c>
      <c r="R130" s="9">
        <f t="shared" si="25"/>
        <v>2</v>
      </c>
      <c r="S130" s="14" t="str" cm="1">
        <f t="array" ref="S130">INDEX('Report-ConceptMap-1'!$I$15:$N$271,Q130+1,R130)</f>
        <v>* group[=].element[=].display = ##34#A.2-A.3 Order##34#</v>
      </c>
    </row>
    <row r="131" spans="16:19" x14ac:dyDescent="0.75">
      <c r="P131" s="9">
        <v>117</v>
      </c>
      <c r="Q131" s="9">
        <f t="shared" si="9"/>
        <v>19</v>
      </c>
      <c r="R131" s="9">
        <f t="shared" si="25"/>
        <v>3</v>
      </c>
      <c r="S131" s="14" t="str" cm="1">
        <f t="array" ref="S131">INDEX('Report-ConceptMap-1'!$I$15:$N$271,Q131+1,R131)</f>
        <v>* group[=].element[=].target.code = #DiagnosticReport.basedOn</v>
      </c>
    </row>
    <row r="132" spans="16:19" x14ac:dyDescent="0.75">
      <c r="P132" s="9">
        <v>118</v>
      </c>
      <c r="Q132" s="9">
        <f t="shared" si="9"/>
        <v>19</v>
      </c>
      <c r="R132" s="9">
        <f t="shared" si="25"/>
        <v>4</v>
      </c>
      <c r="S132" s="14" t="str" cm="1">
        <f t="array" ref="S132">INDEX('Report-ConceptMap-1'!$I$15:$N$271,Q132+1,R132)</f>
        <v>* group[=].element[=].target.display = ##34###34#</v>
      </c>
    </row>
    <row r="133" spans="16:19" x14ac:dyDescent="0.75">
      <c r="P133" s="9">
        <v>119</v>
      </c>
      <c r="Q133" s="9">
        <f t="shared" si="9"/>
        <v>19</v>
      </c>
      <c r="R133" s="9">
        <f t="shared" si="25"/>
        <v>5</v>
      </c>
      <c r="S133" s="14" t="str" cm="1">
        <f t="array" ref="S133">INDEX('Report-ConceptMap-1'!$I$15:$N$271,Q133+1,R133)</f>
        <v>* group[=].element[=].target.equivalence = #relatedto</v>
      </c>
    </row>
    <row r="134" spans="16:19" ht="29.5" x14ac:dyDescent="0.75">
      <c r="P134" s="9">
        <v>120</v>
      </c>
      <c r="Q134" s="9">
        <f t="shared" si="9"/>
        <v>19</v>
      </c>
      <c r="R134" s="9">
        <f t="shared" si="25"/>
        <v>6</v>
      </c>
      <c r="S134" s="14" t="str" cm="1">
        <f t="array" ref="S134">INDEX('Report-ConceptMap-1'!$I$15:$N$271,Q134+1,R134)</f>
        <v>* group[=].element[=].target.comment = ##34#basedOn.resolve().ofType(ServiceRequest)##34#</v>
      </c>
    </row>
    <row r="135" spans="16:19" x14ac:dyDescent="0.75">
      <c r="P135" s="9">
        <v>121</v>
      </c>
      <c r="Q135" s="9">
        <f t="shared" si="9"/>
        <v>20</v>
      </c>
      <c r="R135" s="9">
        <f t="shared" si="25"/>
        <v>1</v>
      </c>
      <c r="S135" s="14" t="str" cm="1">
        <f t="array" ref="S135">INDEX('Report-ConceptMap-1'!$I$15:$N$271,Q135+1,R135)</f>
        <v>* group[=].element[+].code = #LabReport.specimen</v>
      </c>
    </row>
    <row r="136" spans="16:19" x14ac:dyDescent="0.75">
      <c r="P136" s="9">
        <v>122</v>
      </c>
      <c r="Q136" s="9">
        <f t="shared" si="9"/>
        <v>20</v>
      </c>
      <c r="R136" s="9">
        <f t="shared" si="25"/>
        <v>2</v>
      </c>
      <c r="S136" s="14" t="str" cm="1">
        <f t="array" ref="S136">INDEX('Report-ConceptMap-1'!$I$15:$N$271,Q136+1,R136)</f>
        <v>* group[=].element[=].display = ##34#A.4 Specimen information##34#</v>
      </c>
    </row>
    <row r="137" spans="16:19" x14ac:dyDescent="0.75">
      <c r="P137" s="9">
        <v>123</v>
      </c>
      <c r="Q137" s="9">
        <f t="shared" si="9"/>
        <v>20</v>
      </c>
      <c r="R137" s="9">
        <f t="shared" si="25"/>
        <v>3</v>
      </c>
      <c r="S137" s="14" t="str" cm="1">
        <f t="array" ref="S137">INDEX('Report-ConceptMap-1'!$I$15:$N$271,Q137+1,R137)</f>
        <v>* group[=].element[=].target.code = #DiagnosticReport.specimen</v>
      </c>
    </row>
    <row r="138" spans="16:19" x14ac:dyDescent="0.75">
      <c r="P138" s="9">
        <v>124</v>
      </c>
      <c r="Q138" s="9">
        <f t="shared" si="9"/>
        <v>20</v>
      </c>
      <c r="R138" s="9">
        <f t="shared" si="25"/>
        <v>4</v>
      </c>
      <c r="S138" s="14" t="str" cm="1">
        <f t="array" ref="S138">INDEX('Report-ConceptMap-1'!$I$15:$N$271,Q138+1,R138)</f>
        <v>* group[=].element[=].target.display = ##34###34#</v>
      </c>
    </row>
    <row r="139" spans="16:19" x14ac:dyDescent="0.75">
      <c r="P139" s="9">
        <v>125</v>
      </c>
      <c r="Q139" s="9">
        <f t="shared" si="9"/>
        <v>20</v>
      </c>
      <c r="R139" s="9">
        <f t="shared" si="25"/>
        <v>5</v>
      </c>
      <c r="S139" s="14" t="str" cm="1">
        <f t="array" ref="S139">INDEX('Report-ConceptMap-1'!$I$15:$N$271,Q139+1,R139)</f>
        <v>* group[=].element[=].target.equivalence = #relatedto</v>
      </c>
    </row>
    <row r="140" spans="16:19" x14ac:dyDescent="0.75">
      <c r="P140" s="9">
        <v>126</v>
      </c>
      <c r="Q140" s="9">
        <f t="shared" si="9"/>
        <v>20</v>
      </c>
      <c r="R140" s="9">
        <f t="shared" si="25"/>
        <v>6</v>
      </c>
      <c r="S140" s="14" t="str" cm="1">
        <f t="array" ref="S140">INDEX('Report-ConceptMap-1'!$I$15:$N$271,Q140+1,R140)</f>
        <v/>
      </c>
    </row>
    <row r="141" spans="16:19" x14ac:dyDescent="0.75">
      <c r="P141" s="9">
        <v>127</v>
      </c>
      <c r="Q141" s="9">
        <f t="shared" si="9"/>
        <v>21</v>
      </c>
      <c r="R141" s="9">
        <f t="shared" si="25"/>
        <v>1</v>
      </c>
      <c r="S141" s="14" t="str" cm="1">
        <f t="array" ref="S141">INDEX('Report-ConceptMap-1'!$I$15:$N$271,Q141+1,R141)</f>
        <v>* group[=].element[+].code = #LabReport.result</v>
      </c>
    </row>
    <row r="142" spans="16:19" x14ac:dyDescent="0.75">
      <c r="P142" s="9">
        <v>128</v>
      </c>
      <c r="Q142" s="9">
        <f t="shared" si="9"/>
        <v>21</v>
      </c>
      <c r="R142" s="9">
        <f t="shared" si="25"/>
        <v>2</v>
      </c>
      <c r="S142" s="14" t="str" cm="1">
        <f t="array" ref="S142">INDEX('Report-ConceptMap-1'!$I$15:$N$271,Q142+1,R142)</f>
        <v>* group[=].element[=].display = ##34#A.5 Results data elements##34#</v>
      </c>
    </row>
    <row r="143" spans="16:19" x14ac:dyDescent="0.75">
      <c r="P143" s="9">
        <v>129</v>
      </c>
      <c r="Q143" s="9">
        <f t="shared" si="9"/>
        <v>21</v>
      </c>
      <c r="R143" s="9">
        <f t="shared" si="25"/>
        <v>3</v>
      </c>
      <c r="S143" s="14" t="str" cm="1">
        <f t="array" ref="S143">INDEX('Report-ConceptMap-1'!$I$15:$N$271,Q143+1,R143)</f>
        <v>* group[=].element[=].target.code = #DiagnosticReport.result</v>
      </c>
    </row>
    <row r="144" spans="16:19" x14ac:dyDescent="0.75">
      <c r="P144" s="9">
        <v>130</v>
      </c>
      <c r="Q144" s="9">
        <f t="shared" si="9"/>
        <v>21</v>
      </c>
      <c r="R144" s="9">
        <f t="shared" si="25"/>
        <v>4</v>
      </c>
      <c r="S144" s="14" t="str" cm="1">
        <f t="array" ref="S144">INDEX('Report-ConceptMap-1'!$I$15:$N$271,Q144+1,R144)</f>
        <v>* group[=].element[=].target.display = ##34###34#</v>
      </c>
    </row>
    <row r="145" spans="16:19" x14ac:dyDescent="0.75">
      <c r="P145" s="9">
        <v>131</v>
      </c>
      <c r="Q145" s="9">
        <f t="shared" si="9"/>
        <v>21</v>
      </c>
      <c r="R145" s="9">
        <f t="shared" si="25"/>
        <v>5</v>
      </c>
      <c r="S145" s="14" t="str" cm="1">
        <f t="array" ref="S145">INDEX('Report-ConceptMap-1'!$I$15:$N$271,Q145+1,R145)</f>
        <v>* group[=].element[=].target.equivalence = #relatedto</v>
      </c>
    </row>
    <row r="146" spans="16:19" x14ac:dyDescent="0.75">
      <c r="P146" s="9">
        <v>132</v>
      </c>
      <c r="Q146" s="9">
        <f t="shared" si="9"/>
        <v>21</v>
      </c>
      <c r="R146" s="9">
        <f t="shared" si="25"/>
        <v>6</v>
      </c>
      <c r="S146" s="14" t="str" cm="1">
        <f t="array" ref="S146">INDEX('Report-ConceptMap-1'!$I$15:$N$271,Q146+1,R146)</f>
        <v/>
      </c>
    </row>
    <row r="147" spans="16:19" x14ac:dyDescent="0.75">
      <c r="P147" s="9">
        <v>133</v>
      </c>
      <c r="Q147" s="9">
        <f t="shared" si="9"/>
        <v>22</v>
      </c>
      <c r="R147" s="9">
        <f t="shared" si="25"/>
        <v>1</v>
      </c>
      <c r="S147" s="14" t="str" cm="1">
        <f t="array" ref="S147">INDEX('Report-ConceptMap-1'!$I$15:$N$271,Q147+1,R147)</f>
        <v>* group[=].element[+].code = #LabReport.specimen</v>
      </c>
    </row>
    <row r="148" spans="16:19" x14ac:dyDescent="0.75">
      <c r="P148" s="9">
        <v>134</v>
      </c>
      <c r="Q148" s="9">
        <f t="shared" si="9"/>
        <v>22</v>
      </c>
      <c r="R148" s="9">
        <f t="shared" si="25"/>
        <v>2</v>
      </c>
      <c r="S148" s="14" t="str" cm="1">
        <f t="array" ref="S148">INDEX('Report-ConceptMap-1'!$I$15:$N$271,Q148+1,R148)</f>
        <v>* group[=].element[=].display = ##34#A.4 Specimen information##34#</v>
      </c>
    </row>
    <row r="149" spans="16:19" x14ac:dyDescent="0.75">
      <c r="P149" s="9">
        <v>135</v>
      </c>
      <c r="Q149" s="9">
        <f t="shared" si="9"/>
        <v>22</v>
      </c>
      <c r="R149" s="9">
        <f t="shared" si="25"/>
        <v>3</v>
      </c>
      <c r="S149" s="14" t="str" cm="1">
        <f t="array" ref="S149">INDEX('Report-ConceptMap-1'!$I$15:$N$271,Q149+1,R149)</f>
        <v>* group[=].element[=].target.code = #DiagnosticReport.result.specimen</v>
      </c>
    </row>
    <row r="150" spans="16:19" x14ac:dyDescent="0.75">
      <c r="P150" s="9">
        <v>136</v>
      </c>
      <c r="Q150" s="9">
        <f t="shared" si="9"/>
        <v>22</v>
      </c>
      <c r="R150" s="9">
        <f t="shared" si="25"/>
        <v>4</v>
      </c>
      <c r="S150" s="14" t="str" cm="1">
        <f t="array" ref="S150">INDEX('Report-ConceptMap-1'!$I$15:$N$271,Q150+1,R150)</f>
        <v>* group[=].element[=].target.display = ##34###34#</v>
      </c>
    </row>
    <row r="151" spans="16:19" x14ac:dyDescent="0.75">
      <c r="P151" s="9">
        <v>137</v>
      </c>
      <c r="Q151" s="9">
        <f t="shared" si="9"/>
        <v>22</v>
      </c>
      <c r="R151" s="9">
        <f t="shared" si="25"/>
        <v>5</v>
      </c>
      <c r="S151" s="14" t="str" cm="1">
        <f t="array" ref="S151">INDEX('Report-ConceptMap-1'!$I$15:$N$271,Q151+1,R151)</f>
        <v>* group[=].element[=].target.equivalence = #relatedto</v>
      </c>
    </row>
    <row r="152" spans="16:19" ht="29.5" x14ac:dyDescent="0.75">
      <c r="P152" s="9">
        <v>138</v>
      </c>
      <c r="Q152" s="9">
        <f t="shared" si="9"/>
        <v>22</v>
      </c>
      <c r="R152" s="9">
        <f t="shared" ref="R152:R191" si="26">IF(MOD(P152,$Q$8)=0,$Q$8,MOD(P152,$Q$8))</f>
        <v>6</v>
      </c>
      <c r="S152" s="14" t="str" cm="1">
        <f t="array" ref="S152">INDEX('Report-ConceptMap-1'!$I$15:$N$271,Q152+1,R152)</f>
        <v>* group[=].element[=].target.comment = ##34#result.resolve().ofType(Observation)##34#</v>
      </c>
    </row>
    <row r="153" spans="16:19" x14ac:dyDescent="0.75">
      <c r="P153" s="9">
        <v>139</v>
      </c>
      <c r="Q153" s="9">
        <f t="shared" si="9"/>
        <v>23</v>
      </c>
      <c r="R153" s="9">
        <f t="shared" si="26"/>
        <v>1</v>
      </c>
      <c r="S153" s="14" cm="1">
        <f t="array" ref="S153">INDEX('Report-ConceptMap-1'!$I$15:$N$271,Q153+1,R153)</f>
        <v>0</v>
      </c>
    </row>
    <row r="154" spans="16:19" x14ac:dyDescent="0.75">
      <c r="P154" s="9">
        <v>140</v>
      </c>
      <c r="Q154" s="9">
        <f t="shared" si="9"/>
        <v>23</v>
      </c>
      <c r="R154" s="9">
        <f t="shared" si="26"/>
        <v>2</v>
      </c>
      <c r="S154" s="14" cm="1">
        <f t="array" ref="S154">INDEX('Report-ConceptMap-1'!$I$15:$N$271,Q154+1,R154)</f>
        <v>0</v>
      </c>
    </row>
    <row r="155" spans="16:19" x14ac:dyDescent="0.75">
      <c r="P155" s="9">
        <v>141</v>
      </c>
      <c r="Q155" s="9">
        <f t="shared" si="9"/>
        <v>23</v>
      </c>
      <c r="R155" s="9">
        <f t="shared" si="26"/>
        <v>3</v>
      </c>
      <c r="S155" s="14" cm="1">
        <f t="array" ref="S155">INDEX('Report-ConceptMap-1'!$I$15:$N$271,Q155+1,R155)</f>
        <v>0</v>
      </c>
    </row>
    <row r="156" spans="16:19" x14ac:dyDescent="0.75">
      <c r="P156" s="9">
        <v>142</v>
      </c>
      <c r="Q156" s="9">
        <f t="shared" si="9"/>
        <v>23</v>
      </c>
      <c r="R156" s="9">
        <f t="shared" si="26"/>
        <v>4</v>
      </c>
      <c r="S156" s="14" cm="1">
        <f t="array" ref="S156">INDEX('Report-ConceptMap-1'!$I$15:$N$271,Q156+1,R156)</f>
        <v>0</v>
      </c>
    </row>
    <row r="157" spans="16:19" x14ac:dyDescent="0.75">
      <c r="P157" s="9">
        <v>143</v>
      </c>
      <c r="Q157" s="9">
        <f t="shared" si="9"/>
        <v>23</v>
      </c>
      <c r="R157" s="9">
        <f t="shared" si="26"/>
        <v>5</v>
      </c>
      <c r="S157" s="14" cm="1">
        <f t="array" ref="S157">INDEX('Report-ConceptMap-1'!$I$15:$N$271,Q157+1,R157)</f>
        <v>0</v>
      </c>
    </row>
    <row r="158" spans="16:19" x14ac:dyDescent="0.75">
      <c r="P158" s="9">
        <v>144</v>
      </c>
      <c r="Q158" s="9">
        <f t="shared" si="9"/>
        <v>23</v>
      </c>
      <c r="R158" s="9">
        <f t="shared" si="26"/>
        <v>6</v>
      </c>
      <c r="S158" s="14" cm="1">
        <f t="array" ref="S158">INDEX('Report-ConceptMap-1'!$I$15:$N$271,Q158+1,R158)</f>
        <v>0</v>
      </c>
    </row>
    <row r="159" spans="16:19" x14ac:dyDescent="0.75">
      <c r="P159" s="9">
        <v>145</v>
      </c>
      <c r="Q159" s="9">
        <f t="shared" si="9"/>
        <v>24</v>
      </c>
      <c r="R159" s="9">
        <f t="shared" si="26"/>
        <v>1</v>
      </c>
      <c r="S159" s="14" cm="1">
        <f t="array" ref="S159">INDEX('Report-ConceptMap-1'!$I$15:$N$271,Q159+1,R159)</f>
        <v>0</v>
      </c>
    </row>
    <row r="160" spans="16:19" x14ac:dyDescent="0.75">
      <c r="P160" s="9">
        <v>146</v>
      </c>
      <c r="Q160" s="9">
        <f t="shared" si="9"/>
        <v>24</v>
      </c>
      <c r="R160" s="9">
        <f t="shared" si="26"/>
        <v>2</v>
      </c>
      <c r="S160" s="14" cm="1">
        <f t="array" ref="S160">INDEX('Report-ConceptMap-1'!$I$15:$N$271,Q160+1,R160)</f>
        <v>0</v>
      </c>
    </row>
    <row r="161" spans="16:19" x14ac:dyDescent="0.75">
      <c r="P161" s="9">
        <v>147</v>
      </c>
      <c r="Q161" s="9">
        <f t="shared" si="9"/>
        <v>24</v>
      </c>
      <c r="R161" s="9">
        <f t="shared" si="26"/>
        <v>3</v>
      </c>
      <c r="S161" s="14" cm="1">
        <f t="array" ref="S161">INDEX('Report-ConceptMap-1'!$I$15:$N$271,Q161+1,R161)</f>
        <v>0</v>
      </c>
    </row>
    <row r="162" spans="16:19" x14ac:dyDescent="0.75">
      <c r="P162" s="9">
        <v>148</v>
      </c>
      <c r="Q162" s="9">
        <f t="shared" si="9"/>
        <v>24</v>
      </c>
      <c r="R162" s="9">
        <f t="shared" si="26"/>
        <v>4</v>
      </c>
      <c r="S162" s="14" cm="1">
        <f t="array" ref="S162">INDEX('Report-ConceptMap-1'!$I$15:$N$271,Q162+1,R162)</f>
        <v>0</v>
      </c>
    </row>
    <row r="163" spans="16:19" x14ac:dyDescent="0.75">
      <c r="P163" s="9">
        <v>149</v>
      </c>
      <c r="Q163" s="9">
        <f t="shared" si="9"/>
        <v>24</v>
      </c>
      <c r="R163" s="9">
        <f t="shared" si="26"/>
        <v>5</v>
      </c>
      <c r="S163" s="14" cm="1">
        <f t="array" ref="S163">INDEX('Report-ConceptMap-1'!$I$15:$N$271,Q163+1,R163)</f>
        <v>0</v>
      </c>
    </row>
    <row r="164" spans="16:19" x14ac:dyDescent="0.75">
      <c r="P164" s="9">
        <v>150</v>
      </c>
      <c r="Q164" s="9">
        <f t="shared" si="9"/>
        <v>24</v>
      </c>
      <c r="R164" s="9">
        <f t="shared" si="26"/>
        <v>6</v>
      </c>
      <c r="S164" s="14" cm="1">
        <f t="array" ref="S164">INDEX('Report-ConceptMap-1'!$I$15:$N$271,Q164+1,R164)</f>
        <v>0</v>
      </c>
    </row>
    <row r="165" spans="16:19" x14ac:dyDescent="0.75">
      <c r="P165" s="9">
        <v>151</v>
      </c>
      <c r="Q165" s="9">
        <f t="shared" si="9"/>
        <v>25</v>
      </c>
      <c r="R165" s="9">
        <f t="shared" si="26"/>
        <v>1</v>
      </c>
      <c r="S165" s="14" cm="1">
        <f t="array" ref="S165">INDEX('Report-ConceptMap-1'!$I$15:$N$271,Q165+1,R165)</f>
        <v>0</v>
      </c>
    </row>
    <row r="166" spans="16:19" x14ac:dyDescent="0.75">
      <c r="P166" s="9">
        <v>152</v>
      </c>
      <c r="Q166" s="9">
        <f t="shared" si="9"/>
        <v>25</v>
      </c>
      <c r="R166" s="9">
        <f t="shared" si="26"/>
        <v>2</v>
      </c>
      <c r="S166" s="14" cm="1">
        <f t="array" ref="S166">INDEX('Report-ConceptMap-1'!$I$15:$N$271,Q166+1,R166)</f>
        <v>0</v>
      </c>
    </row>
    <row r="167" spans="16:19" x14ac:dyDescent="0.75">
      <c r="P167" s="9">
        <v>153</v>
      </c>
      <c r="Q167" s="9">
        <f t="shared" si="9"/>
        <v>25</v>
      </c>
      <c r="R167" s="9">
        <f t="shared" si="26"/>
        <v>3</v>
      </c>
      <c r="S167" s="14" cm="1">
        <f t="array" ref="S167">INDEX('Report-ConceptMap-1'!$I$15:$N$271,Q167+1,R167)</f>
        <v>0</v>
      </c>
    </row>
    <row r="168" spans="16:19" x14ac:dyDescent="0.75">
      <c r="P168" s="9">
        <v>154</v>
      </c>
      <c r="Q168" s="9">
        <f t="shared" si="9"/>
        <v>25</v>
      </c>
      <c r="R168" s="9">
        <f t="shared" si="26"/>
        <v>4</v>
      </c>
      <c r="S168" s="14" cm="1">
        <f t="array" ref="S168">INDEX('Report-ConceptMap-1'!$I$15:$N$271,Q168+1,R168)</f>
        <v>0</v>
      </c>
    </row>
    <row r="169" spans="16:19" x14ac:dyDescent="0.75">
      <c r="P169" s="9">
        <v>155</v>
      </c>
      <c r="Q169" s="9">
        <f t="shared" si="9"/>
        <v>25</v>
      </c>
      <c r="R169" s="9">
        <f t="shared" si="26"/>
        <v>5</v>
      </c>
      <c r="S169" s="14" cm="1">
        <f t="array" ref="S169">INDEX('Report-ConceptMap-1'!$I$15:$N$271,Q169+1,R169)</f>
        <v>0</v>
      </c>
    </row>
    <row r="170" spans="16:19" x14ac:dyDescent="0.75">
      <c r="P170" s="9">
        <v>156</v>
      </c>
      <c r="Q170" s="9">
        <f t="shared" si="9"/>
        <v>25</v>
      </c>
      <c r="R170" s="9">
        <f t="shared" si="26"/>
        <v>6</v>
      </c>
      <c r="S170" s="14" cm="1">
        <f t="array" ref="S170">INDEX('Report-ConceptMap-1'!$I$15:$N$271,Q170+1,R170)</f>
        <v>0</v>
      </c>
    </row>
    <row r="171" spans="16:19" x14ac:dyDescent="0.75">
      <c r="P171" s="9">
        <v>157</v>
      </c>
      <c r="Q171" s="9">
        <f t="shared" si="9"/>
        <v>26</v>
      </c>
      <c r="R171" s="9">
        <f t="shared" si="26"/>
        <v>1</v>
      </c>
      <c r="S171" s="14" cm="1">
        <f t="array" ref="S171">INDEX('Report-ConceptMap-1'!$I$15:$N$271,Q171+1,R171)</f>
        <v>0</v>
      </c>
    </row>
    <row r="172" spans="16:19" x14ac:dyDescent="0.75">
      <c r="P172" s="9">
        <v>158</v>
      </c>
      <c r="Q172" s="9">
        <f t="shared" si="9"/>
        <v>26</v>
      </c>
      <c r="R172" s="9">
        <f t="shared" si="26"/>
        <v>2</v>
      </c>
      <c r="S172" s="14" cm="1">
        <f t="array" ref="S172">INDEX('Report-ConceptMap-1'!$I$15:$N$271,Q172+1,R172)</f>
        <v>0</v>
      </c>
    </row>
    <row r="173" spans="16:19" x14ac:dyDescent="0.75">
      <c r="P173" s="9">
        <v>159</v>
      </c>
      <c r="Q173" s="9">
        <f t="shared" si="9"/>
        <v>26</v>
      </c>
      <c r="R173" s="9">
        <f t="shared" si="26"/>
        <v>3</v>
      </c>
      <c r="S173" s="14" cm="1">
        <f t="array" ref="S173">INDEX('Report-ConceptMap-1'!$I$15:$N$271,Q173+1,R173)</f>
        <v>0</v>
      </c>
    </row>
    <row r="174" spans="16:19" x14ac:dyDescent="0.75">
      <c r="P174" s="9">
        <v>160</v>
      </c>
      <c r="Q174" s="9">
        <f t="shared" si="9"/>
        <v>26</v>
      </c>
      <c r="R174" s="9">
        <f t="shared" si="26"/>
        <v>4</v>
      </c>
      <c r="S174" s="14" cm="1">
        <f t="array" ref="S174">INDEX('Report-ConceptMap-1'!$I$15:$N$271,Q174+1,R174)</f>
        <v>0</v>
      </c>
    </row>
    <row r="175" spans="16:19" x14ac:dyDescent="0.75">
      <c r="P175" s="9">
        <v>161</v>
      </c>
      <c r="Q175" s="9">
        <f t="shared" si="9"/>
        <v>26</v>
      </c>
      <c r="R175" s="9">
        <f t="shared" si="26"/>
        <v>5</v>
      </c>
      <c r="S175" s="14" cm="1">
        <f t="array" ref="S175">INDEX('Report-ConceptMap-1'!$I$15:$N$271,Q175+1,R175)</f>
        <v>0</v>
      </c>
    </row>
    <row r="176" spans="16:19" x14ac:dyDescent="0.75">
      <c r="P176" s="9">
        <v>162</v>
      </c>
      <c r="Q176" s="9">
        <f t="shared" si="9"/>
        <v>26</v>
      </c>
      <c r="R176" s="9">
        <f t="shared" si="26"/>
        <v>6</v>
      </c>
      <c r="S176" s="14" cm="1">
        <f t="array" ref="S176">INDEX('Report-ConceptMap-1'!$I$15:$N$271,Q176+1,R176)</f>
        <v>0</v>
      </c>
    </row>
    <row r="177" spans="16:19" x14ac:dyDescent="0.75">
      <c r="P177" s="9">
        <v>163</v>
      </c>
      <c r="Q177" s="9">
        <f t="shared" si="9"/>
        <v>27</v>
      </c>
      <c r="R177" s="9">
        <f t="shared" si="26"/>
        <v>1</v>
      </c>
      <c r="S177" s="14" cm="1">
        <f t="array" ref="S177">INDEX('Report-ConceptMap-1'!$I$15:$N$271,Q177+1,R177)</f>
        <v>0</v>
      </c>
    </row>
    <row r="178" spans="16:19" x14ac:dyDescent="0.75">
      <c r="P178" s="9">
        <v>164</v>
      </c>
      <c r="Q178" s="9">
        <f t="shared" si="9"/>
        <v>27</v>
      </c>
      <c r="R178" s="9">
        <f t="shared" si="26"/>
        <v>2</v>
      </c>
      <c r="S178" s="14" cm="1">
        <f t="array" ref="S178">INDEX('Report-ConceptMap-1'!$I$15:$N$271,Q178+1,R178)</f>
        <v>0</v>
      </c>
    </row>
    <row r="179" spans="16:19" x14ac:dyDescent="0.75">
      <c r="P179" s="9">
        <v>165</v>
      </c>
      <c r="Q179" s="9">
        <f t="shared" si="9"/>
        <v>27</v>
      </c>
      <c r="R179" s="9">
        <f t="shared" si="26"/>
        <v>3</v>
      </c>
      <c r="S179" s="14" cm="1">
        <f t="array" ref="S179">INDEX('Report-ConceptMap-1'!$I$15:$N$271,Q179+1,R179)</f>
        <v>0</v>
      </c>
    </row>
    <row r="180" spans="16:19" x14ac:dyDescent="0.75">
      <c r="P180" s="9">
        <v>166</v>
      </c>
      <c r="Q180" s="9">
        <f t="shared" si="9"/>
        <v>27</v>
      </c>
      <c r="R180" s="9">
        <f t="shared" si="26"/>
        <v>4</v>
      </c>
      <c r="S180" s="14" cm="1">
        <f t="array" ref="S180">INDEX('Report-ConceptMap-1'!$I$15:$N$271,Q180+1,R180)</f>
        <v>0</v>
      </c>
    </row>
    <row r="181" spans="16:19" x14ac:dyDescent="0.75">
      <c r="P181" s="9">
        <v>167</v>
      </c>
      <c r="Q181" s="9">
        <f t="shared" si="9"/>
        <v>27</v>
      </c>
      <c r="R181" s="9">
        <f t="shared" si="26"/>
        <v>5</v>
      </c>
      <c r="S181" s="14" cm="1">
        <f t="array" ref="S181">INDEX('Report-ConceptMap-1'!$I$15:$N$271,Q181+1,R181)</f>
        <v>0</v>
      </c>
    </row>
    <row r="182" spans="16:19" x14ac:dyDescent="0.75">
      <c r="P182" s="9">
        <v>168</v>
      </c>
      <c r="Q182" s="9">
        <f t="shared" si="9"/>
        <v>27</v>
      </c>
      <c r="R182" s="9">
        <f t="shared" si="26"/>
        <v>6</v>
      </c>
      <c r="S182" s="14" cm="1">
        <f t="array" ref="S182">INDEX('Report-ConceptMap-1'!$I$15:$N$271,Q182+1,R182)</f>
        <v>0</v>
      </c>
    </row>
    <row r="183" spans="16:19" x14ac:dyDescent="0.75">
      <c r="P183" s="9">
        <v>169</v>
      </c>
      <c r="Q183" s="9">
        <f t="shared" si="9"/>
        <v>28</v>
      </c>
      <c r="R183" s="9">
        <f t="shared" si="26"/>
        <v>1</v>
      </c>
      <c r="S183" s="14" cm="1">
        <f t="array" ref="S183">INDEX('Report-ConceptMap-1'!$I$15:$N$271,Q183+1,R183)</f>
        <v>0</v>
      </c>
    </row>
    <row r="184" spans="16:19" x14ac:dyDescent="0.75">
      <c r="P184" s="9">
        <v>170</v>
      </c>
      <c r="Q184" s="9">
        <f t="shared" si="9"/>
        <v>28</v>
      </c>
      <c r="R184" s="9">
        <f t="shared" si="26"/>
        <v>2</v>
      </c>
      <c r="S184" s="14" cm="1">
        <f t="array" ref="S184">INDEX('Report-ConceptMap-1'!$I$15:$N$271,Q184+1,R184)</f>
        <v>0</v>
      </c>
    </row>
    <row r="185" spans="16:19" x14ac:dyDescent="0.75">
      <c r="P185" s="9">
        <v>171</v>
      </c>
      <c r="Q185" s="9">
        <f t="shared" si="9"/>
        <v>28</v>
      </c>
      <c r="R185" s="9">
        <f t="shared" si="26"/>
        <v>3</v>
      </c>
      <c r="S185" s="14" cm="1">
        <f t="array" ref="S185">INDEX('Report-ConceptMap-1'!$I$15:$N$271,Q185+1,R185)</f>
        <v>0</v>
      </c>
    </row>
    <row r="186" spans="16:19" x14ac:dyDescent="0.75">
      <c r="P186" s="9">
        <v>172</v>
      </c>
      <c r="Q186" s="9">
        <f t="shared" si="9"/>
        <v>28</v>
      </c>
      <c r="R186" s="9">
        <f t="shared" si="26"/>
        <v>4</v>
      </c>
      <c r="S186" s="14" cm="1">
        <f t="array" ref="S186">INDEX('Report-ConceptMap-1'!$I$15:$N$271,Q186+1,R186)</f>
        <v>0</v>
      </c>
    </row>
    <row r="187" spans="16:19" x14ac:dyDescent="0.75">
      <c r="P187" s="9">
        <v>173</v>
      </c>
      <c r="Q187" s="9">
        <f t="shared" si="9"/>
        <v>28</v>
      </c>
      <c r="R187" s="9">
        <f t="shared" si="26"/>
        <v>5</v>
      </c>
      <c r="S187" s="14" cm="1">
        <f t="array" ref="S187">INDEX('Report-ConceptMap-1'!$I$15:$N$271,Q187+1,R187)</f>
        <v>0</v>
      </c>
    </row>
    <row r="188" spans="16:19" x14ac:dyDescent="0.75">
      <c r="P188" s="9">
        <v>174</v>
      </c>
      <c r="Q188" s="9">
        <f t="shared" si="9"/>
        <v>28</v>
      </c>
      <c r="R188" s="9">
        <f t="shared" si="26"/>
        <v>6</v>
      </c>
      <c r="S188" s="14" cm="1">
        <f t="array" ref="S188">INDEX('Report-ConceptMap-1'!$I$15:$N$271,Q188+1,R188)</f>
        <v>0</v>
      </c>
    </row>
    <row r="189" spans="16:19" x14ac:dyDescent="0.75">
      <c r="P189" s="9">
        <v>175</v>
      </c>
      <c r="Q189" s="9">
        <f t="shared" si="9"/>
        <v>29</v>
      </c>
      <c r="R189" s="9">
        <f t="shared" si="26"/>
        <v>1</v>
      </c>
      <c r="S189" s="14" cm="1">
        <f t="array" ref="S189">INDEX('Report-ConceptMap-1'!$I$15:$N$271,Q189+1,R189)</f>
        <v>0</v>
      </c>
    </row>
    <row r="190" spans="16:19" x14ac:dyDescent="0.75">
      <c r="P190" s="9">
        <v>176</v>
      </c>
      <c r="Q190" s="9">
        <f t="shared" si="9"/>
        <v>29</v>
      </c>
      <c r="R190" s="9">
        <f t="shared" si="26"/>
        <v>2</v>
      </c>
      <c r="S190" s="14" cm="1">
        <f t="array" ref="S190">INDEX('Report-ConceptMap-1'!$I$15:$N$271,Q190+1,R190)</f>
        <v>0</v>
      </c>
    </row>
    <row r="191" spans="16:19" x14ac:dyDescent="0.75">
      <c r="P191" s="9">
        <v>177</v>
      </c>
      <c r="Q191" s="9">
        <f t="shared" si="9"/>
        <v>29</v>
      </c>
      <c r="R191" s="9">
        <f t="shared" si="26"/>
        <v>3</v>
      </c>
      <c r="S191" s="14"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8"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801</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763</v>
      </c>
      <c r="E17" s="9"/>
      <c r="F17" s="75" t="s">
        <v>619</v>
      </c>
      <c r="G17" s="14" t="s">
        <v>649</v>
      </c>
      <c r="H17" s="76"/>
      <c r="I17" s="14" t="str">
        <f t="shared" ref="I17:I37" si="8">"* group[=].element[+].code = #"&amp;$B$14&amp;"."&amp;B17</f>
        <v>* group[=].element[+].code = #LabReport.header.payer</v>
      </c>
      <c r="J17" s="14" t="str">
        <f t="shared" ref="J17:J37" si="9">"* group[=].element[=].display = ##34#"&amp;C17&amp;"##34#"</f>
        <v>* group[=].element[=].display = ##34#A.1.3 Health insurance and payment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73.75" x14ac:dyDescent="0.75">
      <c r="A18" s="23"/>
      <c r="B18" s="9" t="str">
        <f>Report!B11</f>
        <v>header.informationRecipient</v>
      </c>
      <c r="C18" s="9" t="str">
        <f>Report!C11</f>
        <v>A.1.4 Information recipient</v>
      </c>
      <c r="D18" s="14" t="s">
        <v>764</v>
      </c>
      <c r="E18" s="9"/>
      <c r="F18" s="75" t="s">
        <v>618</v>
      </c>
      <c r="G18" s="75"/>
      <c r="H18" s="76"/>
      <c r="I18" s="14" t="str">
        <f t="shared" si="8"/>
        <v>* group[=].element[+].code = #LabReport.header.informationRecipient</v>
      </c>
      <c r="J18" s="14" t="str">
        <f t="shared" si="9"/>
        <v>* group[=].element[=].display = ##34#A.1.4 Information recipient##34#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765</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766</v>
      </c>
      <c r="E20" s="9"/>
      <c r="F20" s="75" t="s">
        <v>618</v>
      </c>
      <c r="G20" s="82" t="s">
        <v>956</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766</v>
      </c>
      <c r="E21" s="9"/>
      <c r="F21" s="75" t="s">
        <v>618</v>
      </c>
      <c r="G21" s="82" t="s">
        <v>957</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834</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723</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858</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883</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836</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835</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837</v>
      </c>
      <c r="E32" s="14"/>
      <c r="F32" s="75" t="s">
        <v>618</v>
      </c>
      <c r="G32" s="75" t="s">
        <v>839</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763</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767</v>
      </c>
      <c r="E34" s="14"/>
      <c r="F34" s="75" t="s">
        <v>619</v>
      </c>
      <c r="G34" s="75" t="s">
        <v>654</v>
      </c>
      <c r="H34" s="76"/>
      <c r="I34" s="14" t="str">
        <f t="shared" si="8"/>
        <v>* group[=].element[+].code = #LabReport.specimen</v>
      </c>
      <c r="J34" s="14" t="str">
        <f t="shared" si="9"/>
        <v>* group[=].element[=].display = ##34#A.4 Specimen information##34#</v>
      </c>
      <c r="K34" s="14" t="str">
        <f t="shared" si="10"/>
        <v>* group[=].element[=].target.code = #Composition.section:lab-no-subsections.entry.specimen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755</v>
      </c>
      <c r="E35" s="14"/>
      <c r="F35" s="75" t="s">
        <v>619</v>
      </c>
      <c r="G35" s="75" t="s">
        <v>654</v>
      </c>
      <c r="H35" s="76"/>
      <c r="I35" s="14" t="str">
        <f t="shared" si="8"/>
        <v>* group[=].element[+].code = #LabReport.result</v>
      </c>
      <c r="J35" s="14" t="str">
        <f t="shared" si="9"/>
        <v>* group[=].element[=].display = ##34#A.5 Results data elements##34#</v>
      </c>
      <c r="K35" s="14" t="str">
        <f t="shared" si="10"/>
        <v>* group[=].element[=].target.code = #Composition.section:lab-no-subsections.entry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INDEX('Report-ConceptMap-2'!$I$15:$N$272,Q35+1,R35)</f>
        <v>* group[=].element[=].target.code = #Composition.extension:information-recipient</v>
      </c>
    </row>
    <row r="36" spans="1:19" ht="73.75" x14ac:dyDescent="0.75">
      <c r="B36" s="9" t="s">
        <v>331</v>
      </c>
      <c r="C36" s="9" t="s">
        <v>169</v>
      </c>
      <c r="D36" s="14" t="s">
        <v>768</v>
      </c>
      <c r="E36" s="14"/>
      <c r="F36" s="75" t="s">
        <v>619</v>
      </c>
      <c r="G36" s="75" t="s">
        <v>655</v>
      </c>
      <c r="H36" s="76"/>
      <c r="I36" s="14" t="str">
        <f t="shared" si="8"/>
        <v>* group[=].element[+].code = #LabReport.specimen</v>
      </c>
      <c r="J36" s="14" t="str">
        <f t="shared" si="9"/>
        <v>* group[=].element[=].display = ##34#A.4 Specimen information##34#</v>
      </c>
      <c r="K36" s="14" t="str">
        <f t="shared" si="10"/>
        <v>* group[=].element[=].target.code = #Composition.section:lab-subsections.section.entry.specimen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INDEX('Report-ConceptMap-2'!$I$15:$N$272,Q36+1,R36)</f>
        <v>* group[=].element[=].target.display = ##34###34#</v>
      </c>
    </row>
    <row r="37" spans="1:19" ht="59" x14ac:dyDescent="0.75">
      <c r="B37" s="9" t="s">
        <v>332</v>
      </c>
      <c r="C37" s="9" t="s">
        <v>198</v>
      </c>
      <c r="D37" s="14" t="s">
        <v>756</v>
      </c>
      <c r="E37" s="14"/>
      <c r="F37" s="75" t="s">
        <v>619</v>
      </c>
      <c r="G37" s="75" t="s">
        <v>655</v>
      </c>
      <c r="H37" s="76"/>
      <c r="I37" s="14" t="str">
        <f t="shared" si="8"/>
        <v>* group[=].element[+].code = #LabReport.result</v>
      </c>
      <c r="J37" s="14" t="str">
        <f t="shared" si="9"/>
        <v>* group[=].element[=].display = ##34#A.5 Results data elements##34#</v>
      </c>
      <c r="K37" s="14" t="str">
        <f t="shared" si="10"/>
        <v>* group[=].element[=].target.code = #Composition.section:lab-subsections.section.entry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INDEX('Report-ConceptMap-2'!$I$15:$N$272,Q37+1,R37)</f>
        <v>* group[=].element[=].target.equivalence = #equivalent</v>
      </c>
    </row>
    <row r="38" spans="1:19" x14ac:dyDescent="0.75">
      <c r="B38" s="9"/>
      <c r="C38" s="9"/>
      <c r="D38" s="14"/>
      <c r="E38" s="14"/>
      <c r="F38" s="75"/>
      <c r="G38" s="75"/>
      <c r="H38" s="76"/>
      <c r="K38" s="76"/>
      <c r="L38" s="76"/>
      <c r="M38" s="74"/>
      <c r="N38" s="74"/>
      <c r="P38" s="9">
        <v>24</v>
      </c>
      <c r="Q38" s="9">
        <f t="shared" si="6"/>
        <v>3</v>
      </c>
      <c r="R38" s="9">
        <f t="shared" si="7"/>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7"/>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7"/>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7"/>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7"/>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7"/>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7"/>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7"/>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7"/>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7"/>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7"/>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7"/>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7"/>
        <v>6</v>
      </c>
      <c r="S50" s="14" t="str" cm="1">
        <f t="array" ref="S50">INDEX('Report-ConceptMap-2'!$I$15:$N$272,Q50+1,R50)</f>
        <v>* group[=].element[=].target.comment = ##34#The person authenticated the content and accepted legal responsibility for its content.
attester.where(mode='legal')##34#</v>
      </c>
    </row>
    <row r="51" spans="1:19" x14ac:dyDescent="0.75">
      <c r="D51"/>
      <c r="E51"/>
      <c r="J51" s="76"/>
      <c r="K51" s="76"/>
      <c r="L51" s="76"/>
      <c r="M51" s="76"/>
      <c r="N51" s="76"/>
      <c r="P51" s="9">
        <v>37</v>
      </c>
      <c r="Q51" s="9">
        <f t="shared" si="6"/>
        <v>6</v>
      </c>
      <c r="R51" s="9">
        <f t="shared" si="7"/>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7"/>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7"/>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7"/>
        <v>4</v>
      </c>
      <c r="S54" s="14" t="str" cm="1">
        <f t="array" ref="S54">INDEX('Report-ConceptMap-2'!$I$15:$N$272,Q54+1,R54)</f>
        <v>* group[=].element[=].target.display = ##34###34#</v>
      </c>
    </row>
    <row r="55" spans="1:19" x14ac:dyDescent="0.75">
      <c r="D55"/>
      <c r="E55"/>
      <c r="P55" s="9">
        <v>41</v>
      </c>
      <c r="Q55" s="9">
        <f t="shared" si="6"/>
        <v>6</v>
      </c>
      <c r="R55" s="9">
        <f t="shared" si="7"/>
        <v>5</v>
      </c>
      <c r="S55" s="14" t="str" cm="1">
        <f t="array" ref="S55">INDEX('Report-ConceptMap-2'!$I$15:$N$272,Q55+1,R55)</f>
        <v>* group[=].element[=].target.equivalence = #equivalent</v>
      </c>
    </row>
    <row r="56" spans="1:19" ht="44.25" x14ac:dyDescent="0.75">
      <c r="D56"/>
      <c r="E56"/>
      <c r="P56" s="9">
        <v>42</v>
      </c>
      <c r="Q56" s="9">
        <f t="shared" si="6"/>
        <v>6</v>
      </c>
      <c r="R56" s="9">
        <f t="shared" si="7"/>
        <v>6</v>
      </c>
      <c r="S56" s="14" t="str" cm="1">
        <f t="array" ref="S56">INDEX('Report-ConceptMap-2'!$I$15:$N$272,Q56+1,R56)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INDEX('Report-ConceptMap-2'!$I$15:$N$272,Q57+1,R57)</f>
        <v>* group[=].element[+].code = #LabReport.header.metadata</v>
      </c>
    </row>
    <row r="58" spans="1:19" x14ac:dyDescent="0.75">
      <c r="P58" s="9">
        <v>44</v>
      </c>
      <c r="Q58" s="9">
        <f t="shared" si="6"/>
        <v>7</v>
      </c>
      <c r="R58" s="9">
        <f t="shared" si="7"/>
        <v>2</v>
      </c>
      <c r="S58" s="14" t="str" cm="1">
        <f t="array" ref="S58">INDEX('Report-ConceptMap-2'!$I$15:$N$272,Q58+1,R58)</f>
        <v>* group[=].element[=].display = ##34#A.1.8 Laboratory report metadata##34#</v>
      </c>
    </row>
    <row r="59" spans="1:19" x14ac:dyDescent="0.75">
      <c r="P59" s="9">
        <v>45</v>
      </c>
      <c r="Q59" s="9">
        <f t="shared" si="6"/>
        <v>7</v>
      </c>
      <c r="R59" s="9">
        <f t="shared" si="7"/>
        <v>3</v>
      </c>
      <c r="S59" s="14" t="str" cm="1">
        <f t="array" ref="S59">INDEX('Report-ConceptMap-2'!$I$15:$N$272,Q59+1,R59)</f>
        <v>* group[=].element[=].target.code = #Composition</v>
      </c>
    </row>
    <row r="60" spans="1:19" x14ac:dyDescent="0.75">
      <c r="P60" s="9">
        <v>46</v>
      </c>
      <c r="Q60" s="9">
        <f t="shared" si="6"/>
        <v>7</v>
      </c>
      <c r="R60" s="9">
        <f t="shared" si="7"/>
        <v>4</v>
      </c>
      <c r="S60" s="14" t="str" cm="1">
        <f t="array" ref="S60">INDEX('Report-ConceptMap-2'!$I$15:$N$272,Q60+1,R60)</f>
        <v>* group[=].element[=].target.display = ##34###34#</v>
      </c>
    </row>
    <row r="61" spans="1:19" x14ac:dyDescent="0.75">
      <c r="P61" s="9">
        <v>47</v>
      </c>
      <c r="Q61" s="9">
        <f t="shared" si="6"/>
        <v>7</v>
      </c>
      <c r="R61" s="9">
        <f t="shared" si="7"/>
        <v>5</v>
      </c>
      <c r="S61" s="14" t="str" cm="1">
        <f t="array" ref="S61">INDEX('Report-ConceptMap-2'!$I$15:$N$272,Q61+1,R61)</f>
        <v>* group[=].element[=].target.equivalence = #relatedto</v>
      </c>
    </row>
    <row r="62" spans="1:19" x14ac:dyDescent="0.75">
      <c r="P62" s="9">
        <v>48</v>
      </c>
      <c r="Q62" s="9">
        <f t="shared" si="6"/>
        <v>7</v>
      </c>
      <c r="R62" s="9">
        <f t="shared" si="7"/>
        <v>6</v>
      </c>
      <c r="S62" s="14" t="str" cm="1">
        <f t="array" ref="S62">INDEX('Report-ConceptMap-2'!$I$15:$N$272,Q62+1,R62)</f>
        <v/>
      </c>
    </row>
    <row r="63" spans="1:19" x14ac:dyDescent="0.75">
      <c r="P63" s="9">
        <v>49</v>
      </c>
      <c r="Q63" s="9">
        <f t="shared" si="6"/>
        <v>8</v>
      </c>
      <c r="R63" s="9">
        <f t="shared" si="7"/>
        <v>1</v>
      </c>
      <c r="S63" s="14" t="str" cm="1">
        <f t="array" ref="S63">INDEX('Report-ConceptMap-2'!$I$15:$N$272,Q63+1,R63)</f>
        <v>* group[=].element[+].code = #LabReport.header.metadata.documentId</v>
      </c>
    </row>
    <row r="64" spans="1:19" x14ac:dyDescent="0.75">
      <c r="P64" s="9">
        <v>50</v>
      </c>
      <c r="Q64" s="9">
        <f t="shared" si="6"/>
        <v>8</v>
      </c>
      <c r="R64" s="9">
        <f t="shared" si="7"/>
        <v>2</v>
      </c>
      <c r="S64" s="14" t="str" cm="1">
        <f t="array" ref="S64">INDEX('Report-ConceptMap-2'!$I$15:$N$272,Q64+1,R64)</f>
        <v>* group[=].element[=].display = ##34#A.1.8.0 Document Id##34#</v>
      </c>
    </row>
    <row r="65" spans="16:19" x14ac:dyDescent="0.75">
      <c r="P65" s="9">
        <v>51</v>
      </c>
      <c r="Q65" s="9">
        <f t="shared" si="6"/>
        <v>8</v>
      </c>
      <c r="R65" s="9">
        <f t="shared" si="7"/>
        <v>3</v>
      </c>
      <c r="S65" s="14" t="str" cm="1">
        <f t="array" ref="S65">INDEX('Report-ConceptMap-2'!$I$15:$N$272,Q65+1,R65)</f>
        <v>* group[=].element[=].target.code = #Composition.identifier</v>
      </c>
    </row>
    <row r="66" spans="16:19" x14ac:dyDescent="0.75">
      <c r="P66" s="9">
        <v>52</v>
      </c>
      <c r="Q66" s="9">
        <f t="shared" si="6"/>
        <v>8</v>
      </c>
      <c r="R66" s="9">
        <f t="shared" si="7"/>
        <v>4</v>
      </c>
      <c r="S66" s="14" t="str" cm="1">
        <f t="array" ref="S66">INDEX('Report-ConceptMap-2'!$I$15:$N$272,Q66+1,R66)</f>
        <v>* group[=].element[=].target.display = ##34###34#</v>
      </c>
    </row>
    <row r="67" spans="16:19" x14ac:dyDescent="0.75">
      <c r="P67" s="9">
        <v>53</v>
      </c>
      <c r="Q67" s="9">
        <f t="shared" si="6"/>
        <v>8</v>
      </c>
      <c r="R67" s="9">
        <f t="shared" si="7"/>
        <v>5</v>
      </c>
      <c r="S67" s="14" t="str" cm="1">
        <f t="array" ref="S67">INDEX('Report-ConceptMap-2'!$I$15:$N$272,Q67+1,R67)</f>
        <v>* group[=].element[=].target.equivalence = #equivalent</v>
      </c>
    </row>
    <row r="68" spans="16:19" ht="44.25" x14ac:dyDescent="0.75">
      <c r="P68" s="9">
        <v>54</v>
      </c>
      <c r="Q68" s="9">
        <f t="shared" si="6"/>
        <v>8</v>
      </c>
      <c r="R68" s="9">
        <f t="shared" si="7"/>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INDEX('Report-ConceptMap-2'!$I$15:$N$272,Q69+1,R69)</f>
        <v>* group[=].element[+].code = #LabReport.header.metadata.type</v>
      </c>
    </row>
    <row r="70" spans="16:19" x14ac:dyDescent="0.75">
      <c r="P70" s="9">
        <v>56</v>
      </c>
      <c r="Q70" s="9">
        <f t="shared" si="6"/>
        <v>9</v>
      </c>
      <c r="R70" s="9">
        <f t="shared" si="7"/>
        <v>2</v>
      </c>
      <c r="S70" s="14" t="str" cm="1">
        <f t="array" ref="S70">INDEX('Report-ConceptMap-2'!$I$15:$N$272,Q70+1,R70)</f>
        <v>* group[=].element[=].display = ##34#A.1.8.1 Document type##34#</v>
      </c>
    </row>
    <row r="71" spans="16:19" x14ac:dyDescent="0.75">
      <c r="P71" s="9">
        <v>57</v>
      </c>
      <c r="Q71" s="9">
        <f t="shared" si="6"/>
        <v>9</v>
      </c>
      <c r="R71" s="9">
        <f t="shared" si="7"/>
        <v>3</v>
      </c>
      <c r="S71" s="14" t="str" cm="1">
        <f t="array" ref="S71">INDEX('Report-ConceptMap-2'!$I$15:$N$272,Q71+1,R71)</f>
        <v>* group[=].element[=].target.code = #Composition.type</v>
      </c>
    </row>
    <row r="72" spans="16:19" x14ac:dyDescent="0.75">
      <c r="P72" s="9">
        <v>58</v>
      </c>
      <c r="Q72" s="9">
        <f t="shared" si="6"/>
        <v>9</v>
      </c>
      <c r="R72" s="9">
        <f t="shared" si="7"/>
        <v>4</v>
      </c>
      <c r="S72" s="14" t="str" cm="1">
        <f t="array" ref="S72">INDEX('Report-ConceptMap-2'!$I$15:$N$272,Q72+1,R72)</f>
        <v>* group[=].element[=].target.display = ##34###34#</v>
      </c>
    </row>
    <row r="73" spans="16:19" x14ac:dyDescent="0.75">
      <c r="P73" s="9">
        <v>59</v>
      </c>
      <c r="Q73" s="9">
        <f t="shared" si="6"/>
        <v>9</v>
      </c>
      <c r="R73" s="9">
        <f t="shared" si="7"/>
        <v>5</v>
      </c>
      <c r="S73" s="14" t="str" cm="1">
        <f t="array" ref="S73">INDEX('Report-ConceptMap-2'!$I$15:$N$272,Q73+1,R73)</f>
        <v>* group[=].element[=].target.equivalence = #equivalent</v>
      </c>
    </row>
    <row r="74" spans="16:19" x14ac:dyDescent="0.75">
      <c r="P74" s="9">
        <v>60</v>
      </c>
      <c r="Q74" s="9">
        <f t="shared" si="6"/>
        <v>9</v>
      </c>
      <c r="R74" s="9">
        <f t="shared" si="7"/>
        <v>6</v>
      </c>
      <c r="S74" s="14" t="str" cm="1">
        <f t="array" ref="S74">INDEX('Report-ConceptMap-2'!$I$15:$N$272,Q74+1,R74)</f>
        <v/>
      </c>
    </row>
    <row r="75" spans="16:19" x14ac:dyDescent="0.75">
      <c r="P75" s="9">
        <v>61</v>
      </c>
      <c r="Q75" s="9">
        <f t="shared" si="6"/>
        <v>10</v>
      </c>
      <c r="R75" s="9">
        <f t="shared" si="7"/>
        <v>1</v>
      </c>
      <c r="S75" s="14" t="str" cm="1">
        <f t="array" ref="S75">INDEX('Report-ConceptMap-2'!$I$15:$N$272,Q75+1,R75)</f>
        <v>* group[=].element[+].code = #LabReport.header.metadata.status</v>
      </c>
    </row>
    <row r="76" spans="16:19" x14ac:dyDescent="0.75">
      <c r="P76" s="9">
        <v>62</v>
      </c>
      <c r="Q76" s="9">
        <f t="shared" si="6"/>
        <v>10</v>
      </c>
      <c r="R76" s="9">
        <f t="shared" si="7"/>
        <v>2</v>
      </c>
      <c r="S76" s="14" t="str" cm="1">
        <f t="array" ref="S76">INDEX('Report-ConceptMap-2'!$I$15:$N$272,Q76+1,R76)</f>
        <v>* group[=].element[=].display = ##34#A.1.8.2 Document status##34#</v>
      </c>
    </row>
    <row r="77" spans="16:19" x14ac:dyDescent="0.75">
      <c r="P77" s="9">
        <v>63</v>
      </c>
      <c r="Q77" s="9">
        <f t="shared" si="6"/>
        <v>10</v>
      </c>
      <c r="R77" s="9">
        <f t="shared" si="7"/>
        <v>3</v>
      </c>
      <c r="S77" s="14" t="str" cm="1">
        <f t="array" ref="S77">INDEX('Report-ConceptMap-2'!$I$15:$N$272,Q77+1,R77)</f>
        <v>* group[=].element[=].target.code = #Composition.status</v>
      </c>
    </row>
    <row r="78" spans="16:19" x14ac:dyDescent="0.75">
      <c r="P78" s="9">
        <v>64</v>
      </c>
      <c r="Q78" s="9">
        <f t="shared" si="6"/>
        <v>10</v>
      </c>
      <c r="R78" s="9">
        <f t="shared" si="7"/>
        <v>4</v>
      </c>
      <c r="S78" s="14" t="str" cm="1">
        <f t="array" ref="S78">INDEX('Report-ConceptMap-2'!$I$15:$N$272,Q78+1,R78)</f>
        <v>* group[=].element[=].target.display = ##34###34#</v>
      </c>
    </row>
    <row r="79" spans="16:19" x14ac:dyDescent="0.75">
      <c r="P79" s="9">
        <v>65</v>
      </c>
      <c r="Q79" s="9">
        <f t="shared" si="6"/>
        <v>10</v>
      </c>
      <c r="R79" s="9">
        <f t="shared" si="7"/>
        <v>5</v>
      </c>
      <c r="S79" s="14" t="str" cm="1">
        <f t="array" ref="S79">INDEX('Report-ConceptMap-2'!$I$15:$N$272,Q79+1,R79)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INDEX('Report-ConceptMap-2'!$I$15:$N$272,Q81+1,R81)</f>
        <v>* group[=].element[+].code = #LabReport.header.metadata.dateTime</v>
      </c>
    </row>
    <row r="82" spans="16:19" x14ac:dyDescent="0.75">
      <c r="P82" s="9">
        <v>68</v>
      </c>
      <c r="Q82" s="9">
        <f t="shared" si="14"/>
        <v>11</v>
      </c>
      <c r="R82" s="9">
        <f t="shared" si="15"/>
        <v>2</v>
      </c>
      <c r="S82" s="14" t="str" cm="1">
        <f t="array" ref="S82">INDEX('Report-ConceptMap-2'!$I$15:$N$272,Q82+1,R82)</f>
        <v>* group[=].element[=].display = ##34#A.1.8.3 Report date and time##34#</v>
      </c>
    </row>
    <row r="83" spans="16:19" x14ac:dyDescent="0.75">
      <c r="P83" s="9">
        <v>69</v>
      </c>
      <c r="Q83" s="9">
        <f t="shared" si="14"/>
        <v>11</v>
      </c>
      <c r="R83" s="9">
        <f t="shared" si="15"/>
        <v>3</v>
      </c>
      <c r="S83" s="14" t="str" cm="1">
        <f t="array" ref="S83">INDEX('Report-ConceptMap-2'!$I$15:$N$272,Q83+1,R83)</f>
        <v>* group[=].element[=].target.code = #Composition.date</v>
      </c>
    </row>
    <row r="84" spans="16:19" x14ac:dyDescent="0.75">
      <c r="P84" s="9">
        <v>70</v>
      </c>
      <c r="Q84" s="9">
        <f t="shared" si="14"/>
        <v>11</v>
      </c>
      <c r="R84" s="9">
        <f t="shared" si="15"/>
        <v>4</v>
      </c>
      <c r="S84" s="14" t="str" cm="1">
        <f t="array" ref="S84">INDEX('Report-ConceptMap-2'!$I$15:$N$272,Q84+1,R84)</f>
        <v>* group[=].element[=].target.display = ##34###34#</v>
      </c>
    </row>
    <row r="85" spans="16:19" x14ac:dyDescent="0.75">
      <c r="P85" s="9">
        <v>71</v>
      </c>
      <c r="Q85" s="9">
        <f t="shared" si="14"/>
        <v>11</v>
      </c>
      <c r="R85" s="9">
        <f t="shared" si="15"/>
        <v>5</v>
      </c>
      <c r="S85" s="14" t="str" cm="1">
        <f t="array" ref="S85">INDEX('Report-ConceptMap-2'!$I$15:$N$272,Q85+1,R85)</f>
        <v>* group[=].element[=].target.equivalence = #equivalent</v>
      </c>
    </row>
    <row r="86" spans="16:19" x14ac:dyDescent="0.75">
      <c r="P86" s="9">
        <v>72</v>
      </c>
      <c r="Q86" s="9">
        <f t="shared" si="14"/>
        <v>11</v>
      </c>
      <c r="R86" s="9">
        <f t="shared" si="15"/>
        <v>6</v>
      </c>
      <c r="S86" s="14" t="str" cm="1">
        <f t="array" ref="S86">INDEX('Report-ConceptMap-2'!$I$15:$N$272,Q86+1,R86)</f>
        <v/>
      </c>
    </row>
    <row r="87" spans="16:19" x14ac:dyDescent="0.75">
      <c r="P87" s="9">
        <v>73</v>
      </c>
      <c r="Q87" s="9">
        <f t="shared" si="14"/>
        <v>12</v>
      </c>
      <c r="R87" s="9">
        <f t="shared" si="15"/>
        <v>1</v>
      </c>
      <c r="S87" s="14" t="str" cm="1">
        <f t="array" ref="S87">INDEX('Report-ConceptMap-2'!$I$15:$N$272,Q87+1,R87)</f>
        <v>* group[=].element[+].code = #LabReport.header.metadata.title</v>
      </c>
    </row>
    <row r="88" spans="16:19" x14ac:dyDescent="0.75">
      <c r="P88" s="9">
        <v>74</v>
      </c>
      <c r="Q88" s="9">
        <f t="shared" si="14"/>
        <v>12</v>
      </c>
      <c r="R88" s="9">
        <f t="shared" si="15"/>
        <v>2</v>
      </c>
      <c r="S88" s="14" t="str" cm="1">
        <f t="array" ref="S88">INDEX('Report-ConceptMap-2'!$I$15:$N$272,Q88+1,R88)</f>
        <v>* group[=].element[=].display = ##34#A.1.8.4 Document title##34#</v>
      </c>
    </row>
    <row r="89" spans="16:19" x14ac:dyDescent="0.75">
      <c r="P89" s="9">
        <v>75</v>
      </c>
      <c r="Q89" s="9">
        <f t="shared" si="14"/>
        <v>12</v>
      </c>
      <c r="R89" s="9">
        <f t="shared" si="15"/>
        <v>3</v>
      </c>
      <c r="S89" s="14" t="str" cm="1">
        <f t="array" ref="S89">INDEX('Report-ConceptMap-2'!$I$15:$N$272,Q89+1,R89)</f>
        <v>* group[=].element[=].target.code = #Composition.title</v>
      </c>
    </row>
    <row r="90" spans="16:19" x14ac:dyDescent="0.75">
      <c r="P90" s="9">
        <v>76</v>
      </c>
      <c r="Q90" s="9">
        <f t="shared" si="14"/>
        <v>12</v>
      </c>
      <c r="R90" s="9">
        <f t="shared" si="15"/>
        <v>4</v>
      </c>
      <c r="S90" s="14" t="str" cm="1">
        <f t="array" ref="S90">INDEX('Report-ConceptMap-2'!$I$15:$N$272,Q90+1,R90)</f>
        <v>* group[=].element[=].target.display = ##34###34#</v>
      </c>
    </row>
    <row r="91" spans="16:19" x14ac:dyDescent="0.75">
      <c r="P91" s="9">
        <v>77</v>
      </c>
      <c r="Q91" s="9">
        <f t="shared" si="14"/>
        <v>12</v>
      </c>
      <c r="R91" s="9">
        <f t="shared" si="15"/>
        <v>5</v>
      </c>
      <c r="S91" s="14" t="str" cm="1">
        <f t="array" ref="S91">INDEX('Report-ConceptMap-2'!$I$15:$N$272,Q91+1,R91)</f>
        <v>* group[=].element[=].target.equivalence = #equivalent</v>
      </c>
    </row>
    <row r="92" spans="16:19" x14ac:dyDescent="0.75">
      <c r="P92" s="9">
        <v>78</v>
      </c>
      <c r="Q92" s="9">
        <f t="shared" si="14"/>
        <v>12</v>
      </c>
      <c r="R92" s="9">
        <f t="shared" si="15"/>
        <v>6</v>
      </c>
      <c r="S92" s="14" t="str" cm="1">
        <f t="array" ref="S92">INDEX('Report-ConceptMap-2'!$I$15:$N$272,Q92+1,R92)</f>
        <v/>
      </c>
    </row>
    <row r="93" spans="16:19" x14ac:dyDescent="0.75">
      <c r="P93" s="9">
        <v>79</v>
      </c>
      <c r="Q93" s="9">
        <f t="shared" si="14"/>
        <v>13</v>
      </c>
      <c r="R93" s="9">
        <f t="shared" si="15"/>
        <v>1</v>
      </c>
      <c r="S93" s="14" t="str" cm="1">
        <f t="array" ref="S93">INDEX('Report-ConceptMap-2'!$I$15:$N$272,Q93+1,R93)</f>
        <v>* group[=].element[+].code = #LabReport.header.metadata.studyType</v>
      </c>
    </row>
    <row r="94" spans="16:19" x14ac:dyDescent="0.75">
      <c r="P94" s="9">
        <v>80</v>
      </c>
      <c r="Q94" s="9">
        <f t="shared" si="14"/>
        <v>13</v>
      </c>
      <c r="R94" s="9">
        <f t="shared" si="15"/>
        <v>2</v>
      </c>
      <c r="S94" s="14" t="str" cm="1">
        <f t="array" ref="S94">INDEX('Report-ConceptMap-2'!$I$15:$N$272,Q94+1,R94)</f>
        <v>* group[=].element[=].display = ##34#A.1.8.5 Study type##34#</v>
      </c>
    </row>
    <row r="95" spans="16:19" x14ac:dyDescent="0.75">
      <c r="P95" s="9">
        <v>81</v>
      </c>
      <c r="Q95" s="9">
        <f t="shared" si="14"/>
        <v>13</v>
      </c>
      <c r="R95" s="9">
        <f t="shared" si="15"/>
        <v>3</v>
      </c>
      <c r="S95" s="14" t="str" cm="1">
        <f t="array" ref="S95">INDEX('Report-ConceptMap-2'!$I$15:$N$272,Q95+1,R95)</f>
        <v>* group[=].element[=].target.code = #Composition.category</v>
      </c>
    </row>
    <row r="96" spans="16:19" x14ac:dyDescent="0.75">
      <c r="P96" s="9">
        <v>82</v>
      </c>
      <c r="Q96" s="9">
        <f t="shared" si="14"/>
        <v>13</v>
      </c>
      <c r="R96" s="9">
        <f t="shared" si="15"/>
        <v>4</v>
      </c>
      <c r="S96" s="14" t="str" cm="1">
        <f t="array" ref="S96">INDEX('Report-ConceptMap-2'!$I$15:$N$272,Q96+1,R96)</f>
        <v>* group[=].element[=].target.display = ##34###34#</v>
      </c>
    </row>
    <row r="97" spans="16:19" x14ac:dyDescent="0.75">
      <c r="P97" s="9">
        <v>83</v>
      </c>
      <c r="Q97" s="9">
        <f t="shared" si="14"/>
        <v>13</v>
      </c>
      <c r="R97" s="9">
        <f t="shared" si="15"/>
        <v>5</v>
      </c>
      <c r="S97" s="14" t="str" cm="1">
        <f t="array" ref="S97">INDEX('Report-ConceptMap-2'!$I$15:$N$272,Q97+1,R97)</f>
        <v>* group[=].element[=].target.equivalence = #relatedto</v>
      </c>
    </row>
    <row r="98" spans="16:19" x14ac:dyDescent="0.75">
      <c r="P98" s="9">
        <v>84</v>
      </c>
      <c r="Q98" s="9">
        <f t="shared" si="14"/>
        <v>13</v>
      </c>
      <c r="R98" s="9">
        <f t="shared" si="15"/>
        <v>6</v>
      </c>
      <c r="S98" s="14" t="str" cm="1">
        <f t="array" ref="S98">INDEX('Report-ConceptMap-2'!$I$15:$N$272,Q98+1,R98)</f>
        <v/>
      </c>
    </row>
    <row r="99" spans="16:19" x14ac:dyDescent="0.75">
      <c r="P99" s="9">
        <v>85</v>
      </c>
      <c r="Q99" s="9">
        <f t="shared" si="14"/>
        <v>14</v>
      </c>
      <c r="R99" s="9">
        <f t="shared" si="15"/>
        <v>1</v>
      </c>
      <c r="S99" s="14" t="str" cm="1">
        <f t="array" ref="S99">INDEX('Report-ConceptMap-2'!$I$15:$N$272,Q99+1,R99)</f>
        <v>* group[=].element[+].code = #LabReport.header.metadata.custodian</v>
      </c>
    </row>
    <row r="100" spans="16:19" x14ac:dyDescent="0.75">
      <c r="P100" s="9">
        <v>86</v>
      </c>
      <c r="Q100" s="9">
        <f t="shared" si="14"/>
        <v>14</v>
      </c>
      <c r="R100" s="9">
        <f t="shared" si="15"/>
        <v>2</v>
      </c>
      <c r="S100" s="14" t="str" cm="1">
        <f t="array" ref="S100">INDEX('Report-ConceptMap-2'!$I$15:$N$272,Q100+1,R100)</f>
        <v>* group[=].element[=].display = ##34#A.1.8.6 Report custodian##34#</v>
      </c>
    </row>
    <row r="101" spans="16:19" x14ac:dyDescent="0.75">
      <c r="P101" s="9">
        <v>87</v>
      </c>
      <c r="Q101" s="9">
        <f t="shared" si="14"/>
        <v>14</v>
      </c>
      <c r="R101" s="9">
        <f t="shared" si="15"/>
        <v>3</v>
      </c>
      <c r="S101" s="14" t="str" cm="1">
        <f t="array" ref="S101">INDEX('Report-ConceptMap-2'!$I$15:$N$272,Q101+1,R101)</f>
        <v>* group[=].element[=].target.code = #Composition.custodian</v>
      </c>
    </row>
    <row r="102" spans="16:19" x14ac:dyDescent="0.75">
      <c r="P102" s="9">
        <v>88</v>
      </c>
      <c r="Q102" s="9">
        <f t="shared" si="14"/>
        <v>14</v>
      </c>
      <c r="R102" s="9">
        <f t="shared" si="15"/>
        <v>4</v>
      </c>
      <c r="S102" s="14" t="str" cm="1">
        <f t="array" ref="S102">INDEX('Report-ConceptMap-2'!$I$15:$N$272,Q102+1,R102)</f>
        <v>* group[=].element[=].target.display = ##34###34#</v>
      </c>
    </row>
    <row r="103" spans="16:19" x14ac:dyDescent="0.75">
      <c r="P103" s="9">
        <v>89</v>
      </c>
      <c r="Q103" s="9">
        <f t="shared" si="14"/>
        <v>14</v>
      </c>
      <c r="R103" s="9">
        <f t="shared" si="15"/>
        <v>5</v>
      </c>
      <c r="S103" s="14" t="str" cm="1">
        <f t="array" ref="S103">INDEX('Report-ConceptMap-2'!$I$15:$N$272,Q103+1,R103)</f>
        <v>* group[=].element[=].target.equivalence = #equivalent</v>
      </c>
    </row>
    <row r="104" spans="16:19" x14ac:dyDescent="0.75">
      <c r="P104" s="9">
        <v>90</v>
      </c>
      <c r="Q104" s="9">
        <f t="shared" si="14"/>
        <v>14</v>
      </c>
      <c r="R104" s="9">
        <f t="shared" si="15"/>
        <v>6</v>
      </c>
      <c r="S104" s="14" t="str" cm="1">
        <f t="array" ref="S104">INDEX('Report-ConceptMap-2'!$I$15:$N$272,Q104+1,R104)</f>
        <v/>
      </c>
    </row>
    <row r="105" spans="16:19" x14ac:dyDescent="0.75">
      <c r="P105" s="9">
        <v>91</v>
      </c>
      <c r="Q105" s="9">
        <f t="shared" si="14"/>
        <v>15</v>
      </c>
      <c r="R105" s="9">
        <f t="shared" si="15"/>
        <v>1</v>
      </c>
      <c r="S105" s="14" t="str" cm="1">
        <f t="array" ref="S105">INDEX('Report-ConceptMap-2'!$I$15:$N$272,Q105+1,R105)</f>
        <v>* group[=].element[+].code = #LabReport.header.metadata.confidentiality</v>
      </c>
    </row>
    <row r="106" spans="16:19" x14ac:dyDescent="0.75">
      <c r="P106" s="9">
        <v>92</v>
      </c>
      <c r="Q106" s="9">
        <f t="shared" si="14"/>
        <v>15</v>
      </c>
      <c r="R106" s="9">
        <f t="shared" si="15"/>
        <v>2</v>
      </c>
      <c r="S106" s="14" t="str" cm="1">
        <f t="array" ref="S106">INDEX('Report-ConceptMap-2'!$I$15:$N$272,Q106+1,R106)</f>
        <v>* group[=].element[=].display = ##34#A.1.8.7 Confidentiality##34#</v>
      </c>
    </row>
    <row r="107" spans="16:19" x14ac:dyDescent="0.75">
      <c r="P107" s="9">
        <v>93</v>
      </c>
      <c r="Q107" s="9">
        <f t="shared" si="14"/>
        <v>15</v>
      </c>
      <c r="R107" s="9">
        <f t="shared" si="15"/>
        <v>3</v>
      </c>
      <c r="S107" s="14" t="str" cm="1">
        <f t="array" ref="S107">INDEX('Report-ConceptMap-2'!$I$15:$N$272,Q107+1,R107)</f>
        <v>* group[=].element[=].target.code = #Composition.confidentiality</v>
      </c>
    </row>
    <row r="108" spans="16:19" x14ac:dyDescent="0.75">
      <c r="P108" s="9">
        <v>94</v>
      </c>
      <c r="Q108" s="9">
        <f t="shared" si="14"/>
        <v>15</v>
      </c>
      <c r="R108" s="9">
        <f t="shared" si="15"/>
        <v>4</v>
      </c>
      <c r="S108" s="14" t="str" cm="1">
        <f t="array" ref="S108">INDEX('Report-ConceptMap-2'!$I$15:$N$272,Q108+1,R108)</f>
        <v>* group[=].element[=].target.display = ##34###34#</v>
      </c>
    </row>
    <row r="109" spans="16:19" x14ac:dyDescent="0.75">
      <c r="P109" s="9">
        <v>95</v>
      </c>
      <c r="Q109" s="9">
        <f t="shared" si="14"/>
        <v>15</v>
      </c>
      <c r="R109" s="9">
        <f t="shared" si="15"/>
        <v>5</v>
      </c>
      <c r="S109" s="14" t="str" cm="1">
        <f t="array" ref="S109">INDEX('Report-ConceptMap-2'!$I$15:$N$272,Q109+1,R109)</f>
        <v>* group[=].element[=].target.equivalence = #equivalent</v>
      </c>
    </row>
    <row r="110" spans="16:19" x14ac:dyDescent="0.75">
      <c r="P110" s="9">
        <v>96</v>
      </c>
      <c r="Q110" s="9">
        <f t="shared" si="14"/>
        <v>15</v>
      </c>
      <c r="R110" s="9">
        <f t="shared" si="15"/>
        <v>6</v>
      </c>
      <c r="S110" s="14" t="str" cm="1">
        <f t="array" ref="S110">INDEX('Report-ConceptMap-2'!$I$15:$N$272,Q110+1,R110)</f>
        <v/>
      </c>
    </row>
    <row r="111" spans="16:19" x14ac:dyDescent="0.75">
      <c r="P111" s="9">
        <v>97</v>
      </c>
      <c r="Q111" s="9">
        <f t="shared" si="14"/>
        <v>16</v>
      </c>
      <c r="R111" s="9">
        <f t="shared" si="15"/>
        <v>1</v>
      </c>
      <c r="S111" s="14" t="str" cm="1">
        <f t="array" ref="S111">INDEX('Report-ConceptMap-2'!$I$15:$N$272,Q111+1,R111)</f>
        <v>* group[=].element[+].code = #LabReport.header.metadata.language</v>
      </c>
    </row>
    <row r="112" spans="16:19" x14ac:dyDescent="0.75">
      <c r="P112" s="9">
        <v>98</v>
      </c>
      <c r="Q112" s="9">
        <f t="shared" si="14"/>
        <v>16</v>
      </c>
      <c r="R112" s="9">
        <f t="shared" si="15"/>
        <v>2</v>
      </c>
      <c r="S112" s="14" t="str" cm="1">
        <f t="array" ref="S112">INDEX('Report-ConceptMap-2'!$I$15:$N$272,Q112+1,R112)</f>
        <v>* group[=].element[=].display = ##34#A.1.8.8 Language##34#</v>
      </c>
    </row>
    <row r="113" spans="16:19" x14ac:dyDescent="0.75">
      <c r="P113" s="9">
        <v>99</v>
      </c>
      <c r="Q113" s="9">
        <f t="shared" si="14"/>
        <v>16</v>
      </c>
      <c r="R113" s="9">
        <f t="shared" si="15"/>
        <v>3</v>
      </c>
      <c r="S113" s="14" t="str" cm="1">
        <f t="array" ref="S113">INDEX('Report-ConceptMap-2'!$I$15:$N$272,Q113+1,R113)</f>
        <v>* group[=].element[=].target.code = #Composition.language</v>
      </c>
    </row>
    <row r="114" spans="16:19" x14ac:dyDescent="0.75">
      <c r="P114" s="9">
        <v>100</v>
      </c>
      <c r="Q114" s="9">
        <f t="shared" si="14"/>
        <v>16</v>
      </c>
      <c r="R114" s="9">
        <f t="shared" si="15"/>
        <v>4</v>
      </c>
      <c r="S114" s="14" t="str" cm="1">
        <f t="array" ref="S114">INDEX('Report-ConceptMap-2'!$I$15:$N$272,Q114+1,R114)</f>
        <v>* group[=].element[=].target.display = ##34###34#</v>
      </c>
    </row>
    <row r="115" spans="16:19" x14ac:dyDescent="0.75">
      <c r="P115" s="9">
        <v>101</v>
      </c>
      <c r="Q115" s="9">
        <f t="shared" si="14"/>
        <v>16</v>
      </c>
      <c r="R115" s="9">
        <f t="shared" si="15"/>
        <v>5</v>
      </c>
      <c r="S115" s="14" t="str" cm="1">
        <f t="array" ref="S115">INDEX('Report-ConceptMap-2'!$I$15:$N$272,Q115+1,R115)</f>
        <v>* group[=].element[=].target.equivalence = #equivalent</v>
      </c>
    </row>
    <row r="116" spans="16:19" x14ac:dyDescent="0.75">
      <c r="P116" s="9">
        <v>102</v>
      </c>
      <c r="Q116" s="9">
        <f t="shared" si="14"/>
        <v>16</v>
      </c>
      <c r="R116" s="9">
        <f t="shared" si="15"/>
        <v>6</v>
      </c>
      <c r="S116" s="14" t="str" cm="1">
        <f t="array" ref="S116">INDEX('Report-ConceptMap-2'!$I$15:$N$272,Q116+1,R116)</f>
        <v/>
      </c>
    </row>
    <row r="117" spans="16:19" x14ac:dyDescent="0.75">
      <c r="P117" s="9">
        <v>103</v>
      </c>
      <c r="Q117" s="9">
        <f t="shared" si="14"/>
        <v>17</v>
      </c>
      <c r="R117" s="9">
        <f t="shared" si="15"/>
        <v>1</v>
      </c>
      <c r="S117" s="14" t="str" cm="1">
        <f t="array" ref="S117">INDEX('Report-ConceptMap-2'!$I$15:$N$272,Q117+1,R117)</f>
        <v>* group[=].element[+].code = #LabReport.header.metadata.version</v>
      </c>
    </row>
    <row r="118" spans="16:19" x14ac:dyDescent="0.75">
      <c r="P118" s="9">
        <v>104</v>
      </c>
      <c r="Q118" s="9">
        <f t="shared" si="14"/>
        <v>17</v>
      </c>
      <c r="R118" s="9">
        <f t="shared" si="15"/>
        <v>2</v>
      </c>
      <c r="S118" s="14" t="str" cm="1">
        <f t="array" ref="S118">INDEX('Report-ConceptMap-2'!$I$15:$N$272,Q118+1,R118)</f>
        <v>* group[=].element[=].display = ##34#A.1.8.9 Version##34#</v>
      </c>
    </row>
    <row r="119" spans="16:19" x14ac:dyDescent="0.75">
      <c r="P119" s="9">
        <v>105</v>
      </c>
      <c r="Q119" s="9">
        <f t="shared" si="14"/>
        <v>17</v>
      </c>
      <c r="R119" s="9">
        <f t="shared" si="15"/>
        <v>3</v>
      </c>
      <c r="S119" s="14" t="str" cm="1">
        <f t="array" ref="S119">INDEX('Report-ConceptMap-2'!$I$15:$N$272,Q119+1,R119)</f>
        <v>* group[=].element[=].target.code = #Composition.extension:versionNumber</v>
      </c>
    </row>
    <row r="120" spans="16:19" x14ac:dyDescent="0.75">
      <c r="P120" s="9">
        <v>106</v>
      </c>
      <c r="Q120" s="9">
        <f t="shared" si="14"/>
        <v>17</v>
      </c>
      <c r="R120" s="9">
        <f t="shared" si="15"/>
        <v>4</v>
      </c>
      <c r="S120" s="14" t="str" cm="1">
        <f t="array" ref="S120">INDEX('Report-ConceptMap-2'!$I$15:$N$272,Q120+1,R120)</f>
        <v>* group[=].element[=].target.display = ##34###34#</v>
      </c>
    </row>
    <row r="121" spans="16:19" x14ac:dyDescent="0.75">
      <c r="P121" s="9">
        <v>107</v>
      </c>
      <c r="Q121" s="9">
        <f t="shared" si="14"/>
        <v>17</v>
      </c>
      <c r="R121" s="9">
        <f t="shared" si="15"/>
        <v>5</v>
      </c>
      <c r="S121" s="14" t="str" cm="1">
        <f t="array" ref="S121">INDEX('Report-ConceptMap-2'!$I$15:$N$272,Q121+1,R121)</f>
        <v>* group[=].element[=].target.equivalence = #equivalent</v>
      </c>
    </row>
    <row r="122" spans="16:19" ht="29.5" x14ac:dyDescent="0.75">
      <c r="P122" s="9">
        <v>108</v>
      </c>
      <c r="Q122" s="9">
        <f t="shared" si="14"/>
        <v>17</v>
      </c>
      <c r="R122" s="9">
        <f t="shared" si="15"/>
        <v>6</v>
      </c>
      <c r="S122" s="14" t="str" cm="1">
        <f t="array" ref="S122">INDEX('Report-ConceptMap-2'!$I$15:$N$272,Q122+1,R122)</f>
        <v>* group[=].element[=].target.comment = ##34#if it refers to the business report version##34#</v>
      </c>
    </row>
    <row r="123" spans="16:19" x14ac:dyDescent="0.75">
      <c r="P123" s="9">
        <v>109</v>
      </c>
      <c r="Q123" s="9">
        <f t="shared" si="14"/>
        <v>18</v>
      </c>
      <c r="R123" s="9">
        <f t="shared" si="15"/>
        <v>1</v>
      </c>
      <c r="S123" s="14" t="str" cm="1">
        <f t="array" ref="S123">INDEX('Report-ConceptMap-2'!$I$15:$N$272,Q123+1,R123)</f>
        <v>* group[=].element[+].code = #LabReport.order</v>
      </c>
    </row>
    <row r="124" spans="16:19" x14ac:dyDescent="0.75">
      <c r="P124" s="9">
        <v>110</v>
      </c>
      <c r="Q124" s="9">
        <f t="shared" si="14"/>
        <v>18</v>
      </c>
      <c r="R124" s="9">
        <f t="shared" si="15"/>
        <v>2</v>
      </c>
      <c r="S124" s="14" t="str" cm="1">
        <f t="array" ref="S124">INDEX('Report-ConceptMap-2'!$I$15:$N$272,Q124+1,R124)</f>
        <v>* group[=].element[=].display = ##34#A.2-A.3 Order##34#</v>
      </c>
    </row>
    <row r="125" spans="16:19" ht="29.5" x14ac:dyDescent="0.75">
      <c r="P125" s="9">
        <v>111</v>
      </c>
      <c r="Q125" s="9">
        <f t="shared" si="14"/>
        <v>18</v>
      </c>
      <c r="R125" s="9">
        <f t="shared" si="15"/>
        <v>3</v>
      </c>
      <c r="S125" s="14" t="str" cm="1">
        <f t="array" ref="S125">INDEX('Report-ConceptMap-2'!$I$15:$N$272,Q125+1,R125)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INDEX('Report-ConceptMap-2'!$I$15:$N$272,Q126+1,R126)</f>
        <v>* group[=].element[=].target.display = ##34###34#</v>
      </c>
    </row>
    <row r="127" spans="16:19" x14ac:dyDescent="0.75">
      <c r="P127" s="9">
        <v>113</v>
      </c>
      <c r="Q127" s="9">
        <f t="shared" si="14"/>
        <v>18</v>
      </c>
      <c r="R127" s="9">
        <f t="shared" si="15"/>
        <v>5</v>
      </c>
      <c r="S127" s="14" t="str" cm="1">
        <f t="array" ref="S127">INDEX('Report-ConceptMap-2'!$I$15:$N$272,Q127+1,R127)</f>
        <v>* group[=].element[=].target.equivalence = #relatedto</v>
      </c>
    </row>
    <row r="128" spans="16:19" ht="44.25" x14ac:dyDescent="0.75">
      <c r="P128" s="9">
        <v>114</v>
      </c>
      <c r="Q128" s="9">
        <f t="shared" si="14"/>
        <v>18</v>
      </c>
      <c r="R128" s="9">
        <f t="shared" si="15"/>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str" cm="1">
        <f t="array" ref="S129">INDEX('Report-ConceptMap-2'!$I$15:$N$272,Q129+1,R129)</f>
        <v>* group[=].element[+].code = #LabReport.specimen</v>
      </c>
    </row>
    <row r="130" spans="16:19" x14ac:dyDescent="0.75">
      <c r="P130" s="9">
        <v>116</v>
      </c>
      <c r="Q130" s="9">
        <f t="shared" si="14"/>
        <v>19</v>
      </c>
      <c r="R130" s="9">
        <f t="shared" si="15"/>
        <v>2</v>
      </c>
      <c r="S130" s="14" t="str" cm="1">
        <f t="array" ref="S130">INDEX('Report-ConceptMap-2'!$I$15:$N$272,Q130+1,R130)</f>
        <v>* group[=].element[=].display = ##34#A.4 Specimen information##34#</v>
      </c>
    </row>
    <row r="131" spans="16:19" ht="29.5" x14ac:dyDescent="0.75">
      <c r="P131" s="9">
        <v>117</v>
      </c>
      <c r="Q131" s="9">
        <f t="shared" si="14"/>
        <v>19</v>
      </c>
      <c r="R131" s="9">
        <f t="shared" si="15"/>
        <v>3</v>
      </c>
      <c r="S131" s="14" t="str" cm="1">
        <f t="array" ref="S131">INDEX('Report-ConceptMap-2'!$I$15:$N$272,Q131+1,R131)</f>
        <v>* group[=].element[=].target.code = #Composition.section:lab-no-subsections.entry.specimen</v>
      </c>
    </row>
    <row r="132" spans="16:19" x14ac:dyDescent="0.75">
      <c r="P132" s="9">
        <v>118</v>
      </c>
      <c r="Q132" s="9">
        <f t="shared" si="14"/>
        <v>19</v>
      </c>
      <c r="R132" s="9">
        <f t="shared" si="15"/>
        <v>4</v>
      </c>
      <c r="S132" s="14" t="str" cm="1">
        <f t="array" ref="S132">INDEX('Report-ConceptMap-2'!$I$15:$N$272,Q132+1,R132)</f>
        <v>* group[=].element[=].target.display = ##34###34#</v>
      </c>
    </row>
    <row r="133" spans="16:19" x14ac:dyDescent="0.75">
      <c r="P133" s="9">
        <v>119</v>
      </c>
      <c r="Q133" s="9">
        <f t="shared" si="14"/>
        <v>19</v>
      </c>
      <c r="R133" s="9">
        <f t="shared" si="15"/>
        <v>5</v>
      </c>
      <c r="S133" s="14" t="str" cm="1">
        <f t="array" ref="S133">INDEX('Report-ConceptMap-2'!$I$15:$N$272,Q133+1,R133)</f>
        <v>* group[=].element[=].target.equivalence = #relatedto</v>
      </c>
    </row>
    <row r="134" spans="16:19" x14ac:dyDescent="0.75">
      <c r="P134" s="9">
        <v>120</v>
      </c>
      <c r="Q134" s="9">
        <f t="shared" si="14"/>
        <v>19</v>
      </c>
      <c r="R134" s="9">
        <f t="shared" si="15"/>
        <v>6</v>
      </c>
      <c r="S134" s="14" t="str" cm="1">
        <f t="array" ref="S134">INDEX('Report-ConceptMap-2'!$I$15:$N$272,Q134+1,R134)</f>
        <v>* group[=].element[=].target.comment = ##34#If no sub sections##34#</v>
      </c>
    </row>
    <row r="135" spans="16:19" x14ac:dyDescent="0.75">
      <c r="P135" s="9">
        <v>121</v>
      </c>
      <c r="Q135" s="9">
        <f t="shared" si="14"/>
        <v>20</v>
      </c>
      <c r="R135" s="9">
        <f t="shared" si="15"/>
        <v>1</v>
      </c>
      <c r="S135" s="14" t="str" cm="1">
        <f t="array" ref="S135">INDEX('Report-ConceptMap-2'!$I$15:$N$272,Q135+1,R135)</f>
        <v>* group[=].element[+].code = #LabReport.result</v>
      </c>
    </row>
    <row r="136" spans="16:19" x14ac:dyDescent="0.75">
      <c r="P136" s="9">
        <v>122</v>
      </c>
      <c r="Q136" s="9">
        <f t="shared" si="14"/>
        <v>20</v>
      </c>
      <c r="R136" s="9">
        <f t="shared" si="15"/>
        <v>2</v>
      </c>
      <c r="S136" s="14" t="str" cm="1">
        <f t="array" ref="S136">INDEX('Report-ConceptMap-2'!$I$15:$N$272,Q136+1,R136)</f>
        <v>* group[=].element[=].display = ##34#A.5 Results data elements##34#</v>
      </c>
    </row>
    <row r="137" spans="16:19" x14ac:dyDescent="0.75">
      <c r="P137" s="9">
        <v>123</v>
      </c>
      <c r="Q137" s="9">
        <f t="shared" si="14"/>
        <v>20</v>
      </c>
      <c r="R137" s="9">
        <f t="shared" si="15"/>
        <v>3</v>
      </c>
      <c r="S137" s="14" t="str" cm="1">
        <f t="array" ref="S137">INDEX('Report-ConceptMap-2'!$I$15:$N$272,Q137+1,R137)</f>
        <v>* group[=].element[=].target.code = #Composition.section:lab-no-subsections.entry</v>
      </c>
    </row>
    <row r="138" spans="16:19" x14ac:dyDescent="0.75">
      <c r="P138" s="9">
        <v>124</v>
      </c>
      <c r="Q138" s="9">
        <f t="shared" si="14"/>
        <v>20</v>
      </c>
      <c r="R138" s="9">
        <f t="shared" si="15"/>
        <v>4</v>
      </c>
      <c r="S138" s="14" t="str" cm="1">
        <f t="array" ref="S138">INDEX('Report-ConceptMap-2'!$I$15:$N$272,Q138+1,R138)</f>
        <v>* group[=].element[=].target.display = ##34###34#</v>
      </c>
    </row>
    <row r="139" spans="16:19" x14ac:dyDescent="0.75">
      <c r="P139" s="9">
        <v>125</v>
      </c>
      <c r="Q139" s="9">
        <f t="shared" si="14"/>
        <v>20</v>
      </c>
      <c r="R139" s="9">
        <f t="shared" si="15"/>
        <v>5</v>
      </c>
      <c r="S139" s="14" t="str" cm="1">
        <f t="array" ref="S139">INDEX('Report-ConceptMap-2'!$I$15:$N$272,Q139+1,R139)</f>
        <v>* group[=].element[=].target.equivalence = #relatedto</v>
      </c>
    </row>
    <row r="140" spans="16:19" x14ac:dyDescent="0.75">
      <c r="P140" s="9">
        <v>126</v>
      </c>
      <c r="Q140" s="9">
        <f t="shared" si="14"/>
        <v>20</v>
      </c>
      <c r="R140" s="9">
        <f t="shared" si="15"/>
        <v>6</v>
      </c>
      <c r="S140" s="14" t="str" cm="1">
        <f t="array" ref="S140">INDEX('Report-ConceptMap-2'!$I$15:$N$272,Q140+1,R140)</f>
        <v>* group[=].element[=].target.comment = ##34#If no sub sections##34#</v>
      </c>
    </row>
    <row r="141" spans="16:19" x14ac:dyDescent="0.75">
      <c r="P141" s="9">
        <v>127</v>
      </c>
      <c r="Q141" s="9">
        <f t="shared" si="14"/>
        <v>21</v>
      </c>
      <c r="R141" s="9">
        <f t="shared" si="15"/>
        <v>1</v>
      </c>
      <c r="S141" s="14" t="str" cm="1">
        <f t="array" ref="S141">INDEX('Report-ConceptMap-2'!$I$15:$N$272,Q141+1,R141)</f>
        <v>* group[=].element[+].code = #LabReport.specimen</v>
      </c>
    </row>
    <row r="142" spans="16:19" x14ac:dyDescent="0.75">
      <c r="P142" s="9">
        <v>128</v>
      </c>
      <c r="Q142" s="9">
        <f t="shared" si="14"/>
        <v>21</v>
      </c>
      <c r="R142" s="9">
        <f t="shared" si="15"/>
        <v>2</v>
      </c>
      <c r="S142" s="14" t="str" cm="1">
        <f t="array" ref="S142">INDEX('Report-ConceptMap-2'!$I$15:$N$272,Q142+1,R142)</f>
        <v>* group[=].element[=].display = ##34#A.4 Specimen information##34#</v>
      </c>
    </row>
    <row r="143" spans="16:19" ht="29.5" x14ac:dyDescent="0.75">
      <c r="P143" s="9">
        <v>129</v>
      </c>
      <c r="Q143" s="9">
        <f t="shared" si="14"/>
        <v>21</v>
      </c>
      <c r="R143" s="9">
        <f t="shared" si="15"/>
        <v>3</v>
      </c>
      <c r="S143" s="14" t="str" cm="1">
        <f t="array" ref="S143">INDEX('Report-ConceptMap-2'!$I$15:$N$272,Q143+1,R143)</f>
        <v>* group[=].element[=].target.code = #Composition.section:lab-subsections.section.entry.specimen</v>
      </c>
    </row>
    <row r="144" spans="16:19" x14ac:dyDescent="0.75">
      <c r="P144" s="9">
        <v>130</v>
      </c>
      <c r="Q144" s="9">
        <f t="shared" ref="Q144:Q192" si="16">IF(MOD(P144,$Q$8)=0,P144/$Q$8-1,INT(P144/$Q$8))</f>
        <v>21</v>
      </c>
      <c r="R144" s="9">
        <f t="shared" ref="R144:R192" si="17">IF(MOD(P144,$Q$8)=0,$Q$8,MOD(P144,$Q$8))</f>
        <v>4</v>
      </c>
      <c r="S144" s="14" t="str" cm="1">
        <f t="array" ref="S144">INDEX('Report-ConceptMap-2'!$I$15:$N$272,Q144+1,R144)</f>
        <v>* group[=].element[=].target.display = ##34###34#</v>
      </c>
    </row>
    <row r="145" spans="16:19" x14ac:dyDescent="0.75">
      <c r="P145" s="9">
        <v>131</v>
      </c>
      <c r="Q145" s="9">
        <f t="shared" si="16"/>
        <v>21</v>
      </c>
      <c r="R145" s="9">
        <f t="shared" si="17"/>
        <v>5</v>
      </c>
      <c r="S145" s="14" t="str" cm="1">
        <f t="array" ref="S145">INDEX('Report-ConceptMap-2'!$I$15:$N$272,Q145+1,R145)</f>
        <v>* group[=].element[=].target.equivalence = #relatedto</v>
      </c>
    </row>
    <row r="146" spans="16:19" x14ac:dyDescent="0.75">
      <c r="P146" s="9">
        <v>132</v>
      </c>
      <c r="Q146" s="9">
        <f t="shared" si="16"/>
        <v>21</v>
      </c>
      <c r="R146" s="9">
        <f t="shared" si="17"/>
        <v>6</v>
      </c>
      <c r="S146" s="14" t="str" cm="1">
        <f t="array" ref="S146">INDEX('Report-ConceptMap-2'!$I$15:$N$272,Q146+1,R146)</f>
        <v>* group[=].element[=].target.comment = ##34#If sub sections##34#</v>
      </c>
    </row>
    <row r="147" spans="16:19" x14ac:dyDescent="0.75">
      <c r="P147" s="9">
        <v>133</v>
      </c>
      <c r="Q147" s="9">
        <f t="shared" si="16"/>
        <v>22</v>
      </c>
      <c r="R147" s="9">
        <f t="shared" si="17"/>
        <v>1</v>
      </c>
      <c r="S147" s="14" t="str" cm="1">
        <f t="array" ref="S147">INDEX('Report-ConceptMap-2'!$I$15:$N$272,Q147+1,R147)</f>
        <v>* group[=].element[+].code = #LabReport.result</v>
      </c>
    </row>
    <row r="148" spans="16:19" x14ac:dyDescent="0.75">
      <c r="P148" s="9">
        <v>134</v>
      </c>
      <c r="Q148" s="9">
        <f t="shared" si="16"/>
        <v>22</v>
      </c>
      <c r="R148" s="9">
        <f t="shared" si="17"/>
        <v>2</v>
      </c>
      <c r="S148" s="14" t="str" cm="1">
        <f t="array" ref="S148">INDEX('Report-ConceptMap-2'!$I$15:$N$272,Q148+1,R148)</f>
        <v>* group[=].element[=].display = ##34#A.5 Results data elements##34#</v>
      </c>
    </row>
    <row r="149" spans="16:19" ht="29.5" x14ac:dyDescent="0.75">
      <c r="P149" s="9">
        <v>135</v>
      </c>
      <c r="Q149" s="9">
        <f t="shared" si="16"/>
        <v>22</v>
      </c>
      <c r="R149" s="9">
        <f t="shared" si="17"/>
        <v>3</v>
      </c>
      <c r="S149" s="14" t="str" cm="1">
        <f t="array" ref="S149">INDEX('Report-ConceptMap-2'!$I$15:$N$272,Q149+1,R149)</f>
        <v>* group[=].element[=].target.code = #Composition.section:lab-subsections.section.entry</v>
      </c>
    </row>
    <row r="150" spans="16:19" x14ac:dyDescent="0.75">
      <c r="P150" s="9">
        <v>136</v>
      </c>
      <c r="Q150" s="9">
        <f t="shared" si="16"/>
        <v>22</v>
      </c>
      <c r="R150" s="9">
        <f t="shared" si="17"/>
        <v>4</v>
      </c>
      <c r="S150" s="14" t="str" cm="1">
        <f t="array" ref="S150">INDEX('Report-ConceptMap-2'!$I$15:$N$272,Q150+1,R150)</f>
        <v>* group[=].element[=].target.display = ##34###34#</v>
      </c>
    </row>
    <row r="151" spans="16:19" x14ac:dyDescent="0.75">
      <c r="P151" s="9">
        <v>137</v>
      </c>
      <c r="Q151" s="9">
        <f t="shared" si="16"/>
        <v>22</v>
      </c>
      <c r="R151" s="9">
        <f t="shared" si="17"/>
        <v>5</v>
      </c>
      <c r="S151" s="14" t="str" cm="1">
        <f t="array" ref="S151">INDEX('Report-ConceptMap-2'!$I$15:$N$272,Q151+1,R151)</f>
        <v>* group[=].element[=].target.equivalence = #relatedto</v>
      </c>
    </row>
    <row r="152" spans="16:19" x14ac:dyDescent="0.75">
      <c r="P152" s="9">
        <v>138</v>
      </c>
      <c r="Q152" s="9">
        <f t="shared" si="16"/>
        <v>22</v>
      </c>
      <c r="R152" s="9">
        <f t="shared" si="17"/>
        <v>6</v>
      </c>
      <c r="S152" s="14" t="str" cm="1">
        <f t="array" ref="S152">INDEX('Report-ConceptMap-2'!$I$15:$N$272,Q152+1,R152)</f>
        <v>* group[=].element[=].target.comment = ##34#If sub sections##34#</v>
      </c>
    </row>
    <row r="153" spans="16:19" x14ac:dyDescent="0.75">
      <c r="P153" s="9">
        <v>139</v>
      </c>
      <c r="Q153" s="9">
        <f t="shared" si="16"/>
        <v>23</v>
      </c>
      <c r="R153" s="9">
        <f t="shared" si="17"/>
        <v>1</v>
      </c>
      <c r="S153" s="14" cm="1">
        <f t="array" ref="S153">INDEX('Report-ConceptMap-2'!$I$15:$N$272,Q153+1,R153)</f>
        <v>0</v>
      </c>
    </row>
    <row r="154" spans="16:19" x14ac:dyDescent="0.75">
      <c r="P154" s="9">
        <v>140</v>
      </c>
      <c r="Q154" s="9">
        <f t="shared" si="16"/>
        <v>23</v>
      </c>
      <c r="R154" s="9">
        <f t="shared" si="17"/>
        <v>2</v>
      </c>
      <c r="S154" s="14" cm="1">
        <f t="array" ref="S154">INDEX('Report-ConceptMap-2'!$I$15:$N$272,Q154+1,R154)</f>
        <v>0</v>
      </c>
    </row>
    <row r="155" spans="16:19" x14ac:dyDescent="0.75">
      <c r="P155" s="9">
        <v>141</v>
      </c>
      <c r="Q155" s="9">
        <f t="shared" si="16"/>
        <v>23</v>
      </c>
      <c r="R155" s="9">
        <f t="shared" si="17"/>
        <v>3</v>
      </c>
      <c r="S155" s="14" cm="1">
        <f t="array" ref="S155">INDEX('Report-ConceptMap-2'!$I$15:$N$272,Q155+1,R155)</f>
        <v>0</v>
      </c>
    </row>
    <row r="156" spans="16:19" x14ac:dyDescent="0.75">
      <c r="P156" s="9">
        <v>142</v>
      </c>
      <c r="Q156" s="9">
        <f t="shared" si="16"/>
        <v>23</v>
      </c>
      <c r="R156" s="9">
        <f t="shared" si="17"/>
        <v>4</v>
      </c>
      <c r="S156" s="14" cm="1">
        <f t="array" ref="S156">INDEX('Report-ConceptMap-2'!$I$15:$N$272,Q156+1,R156)</f>
        <v>0</v>
      </c>
    </row>
    <row r="157" spans="16:19" x14ac:dyDescent="0.75">
      <c r="P157" s="9">
        <v>143</v>
      </c>
      <c r="Q157" s="9">
        <f t="shared" si="16"/>
        <v>23</v>
      </c>
      <c r="R157" s="9">
        <f t="shared" si="17"/>
        <v>5</v>
      </c>
      <c r="S157" s="14" cm="1">
        <f t="array" ref="S157">INDEX('Report-ConceptMap-2'!$I$15:$N$272,Q157+1,R157)</f>
        <v>0</v>
      </c>
    </row>
    <row r="158" spans="16:19" x14ac:dyDescent="0.75">
      <c r="P158" s="9">
        <v>144</v>
      </c>
      <c r="Q158" s="9">
        <f t="shared" si="16"/>
        <v>23</v>
      </c>
      <c r="R158" s="9">
        <f t="shared" si="17"/>
        <v>6</v>
      </c>
      <c r="S158" s="14" cm="1">
        <f t="array" ref="S158">INDEX('Report-ConceptMap-2'!$I$15:$N$272,Q158+1,R158)</f>
        <v>0</v>
      </c>
    </row>
    <row r="159" spans="16:19" x14ac:dyDescent="0.75">
      <c r="P159" s="9">
        <v>145</v>
      </c>
      <c r="Q159" s="9">
        <f t="shared" si="16"/>
        <v>24</v>
      </c>
      <c r="R159" s="9">
        <f t="shared" si="17"/>
        <v>1</v>
      </c>
      <c r="S159" s="14" cm="1">
        <f t="array" ref="S159">INDEX('Report-ConceptMap-2'!$I$15:$N$272,Q159+1,R159)</f>
        <v>0</v>
      </c>
    </row>
    <row r="160" spans="16:19" x14ac:dyDescent="0.75">
      <c r="P160" s="9">
        <v>146</v>
      </c>
      <c r="Q160" s="9">
        <f t="shared" si="16"/>
        <v>24</v>
      </c>
      <c r="R160" s="9">
        <f t="shared" si="17"/>
        <v>2</v>
      </c>
      <c r="S160" s="14" cm="1">
        <f t="array" ref="S160">INDEX('Report-ConceptMap-2'!$I$15:$N$272,Q160+1,R160)</f>
        <v>0</v>
      </c>
    </row>
    <row r="161" spans="16:19" x14ac:dyDescent="0.75">
      <c r="P161" s="9">
        <v>147</v>
      </c>
      <c r="Q161" s="9">
        <f t="shared" si="16"/>
        <v>24</v>
      </c>
      <c r="R161" s="9">
        <f t="shared" si="17"/>
        <v>3</v>
      </c>
      <c r="S161" s="14" cm="1">
        <f t="array" ref="S161">INDEX('Report-ConceptMap-2'!$I$15:$N$272,Q161+1,R161)</f>
        <v>0</v>
      </c>
    </row>
    <row r="162" spans="16:19" x14ac:dyDescent="0.75">
      <c r="P162" s="9">
        <v>148</v>
      </c>
      <c r="Q162" s="9">
        <f t="shared" si="16"/>
        <v>24</v>
      </c>
      <c r="R162" s="9">
        <f t="shared" si="17"/>
        <v>4</v>
      </c>
      <c r="S162" s="14" cm="1">
        <f t="array" ref="S162">INDEX('Report-ConceptMap-2'!$I$15:$N$272,Q162+1,R162)</f>
        <v>0</v>
      </c>
    </row>
    <row r="163" spans="16:19" x14ac:dyDescent="0.75">
      <c r="P163" s="9">
        <v>149</v>
      </c>
      <c r="Q163" s="9">
        <f t="shared" si="16"/>
        <v>24</v>
      </c>
      <c r="R163" s="9">
        <f t="shared" si="17"/>
        <v>5</v>
      </c>
      <c r="S163" s="14" cm="1">
        <f t="array" ref="S163">INDEX('Report-ConceptMap-2'!$I$15:$N$272,Q163+1,R163)</f>
        <v>0</v>
      </c>
    </row>
    <row r="164" spans="16:19" x14ac:dyDescent="0.75">
      <c r="P164" s="9">
        <v>150</v>
      </c>
      <c r="Q164" s="9">
        <f t="shared" si="16"/>
        <v>24</v>
      </c>
      <c r="R164" s="9">
        <f t="shared" si="17"/>
        <v>6</v>
      </c>
      <c r="S164" s="14" cm="1">
        <f t="array" ref="S164">INDEX('Report-ConceptMap-2'!$I$15:$N$272,Q164+1,R164)</f>
        <v>0</v>
      </c>
    </row>
    <row r="165" spans="16:19" x14ac:dyDescent="0.75">
      <c r="P165" s="9">
        <v>151</v>
      </c>
      <c r="Q165" s="9">
        <f t="shared" si="16"/>
        <v>25</v>
      </c>
      <c r="R165" s="9">
        <f t="shared" si="17"/>
        <v>1</v>
      </c>
      <c r="S165" s="14" cm="1">
        <f t="array" ref="S165">INDEX('Report-ConceptMap-2'!$I$15:$N$272,Q165+1,R165)</f>
        <v>0</v>
      </c>
    </row>
    <row r="166" spans="16:19" x14ac:dyDescent="0.75">
      <c r="P166" s="9">
        <v>152</v>
      </c>
      <c r="Q166" s="9">
        <f t="shared" si="16"/>
        <v>25</v>
      </c>
      <c r="R166" s="9">
        <f t="shared" si="17"/>
        <v>2</v>
      </c>
      <c r="S166" s="14" cm="1">
        <f t="array" ref="S166">INDEX('Report-ConceptMap-2'!$I$15:$N$272,Q166+1,R166)</f>
        <v>0</v>
      </c>
    </row>
    <row r="167" spans="16:19" x14ac:dyDescent="0.75">
      <c r="P167" s="9">
        <v>153</v>
      </c>
      <c r="Q167" s="9">
        <f t="shared" si="16"/>
        <v>25</v>
      </c>
      <c r="R167" s="9">
        <f t="shared" si="17"/>
        <v>3</v>
      </c>
      <c r="S167" s="14" cm="1">
        <f t="array" ref="S167">INDEX('Report-ConceptMap-2'!$I$15:$N$272,Q167+1,R167)</f>
        <v>0</v>
      </c>
    </row>
    <row r="168" spans="16:19" x14ac:dyDescent="0.75">
      <c r="P168" s="9">
        <v>154</v>
      </c>
      <c r="Q168" s="9">
        <f t="shared" si="16"/>
        <v>25</v>
      </c>
      <c r="R168" s="9">
        <f t="shared" si="17"/>
        <v>4</v>
      </c>
      <c r="S168" s="14" cm="1">
        <f t="array" ref="S168">INDEX('Report-ConceptMap-2'!$I$15:$N$272,Q168+1,R168)</f>
        <v>0</v>
      </c>
    </row>
    <row r="169" spans="16:19" x14ac:dyDescent="0.75">
      <c r="P169" s="9">
        <v>155</v>
      </c>
      <c r="Q169" s="9">
        <f t="shared" si="16"/>
        <v>25</v>
      </c>
      <c r="R169" s="9">
        <f t="shared" si="17"/>
        <v>5</v>
      </c>
      <c r="S169" s="14" cm="1">
        <f t="array" ref="S169">INDEX('Report-ConceptMap-2'!$I$15:$N$272,Q169+1,R169)</f>
        <v>0</v>
      </c>
    </row>
    <row r="170" spans="16:19" x14ac:dyDescent="0.75">
      <c r="P170" s="9">
        <v>156</v>
      </c>
      <c r="Q170" s="9">
        <f t="shared" si="16"/>
        <v>25</v>
      </c>
      <c r="R170" s="9">
        <f t="shared" si="17"/>
        <v>6</v>
      </c>
      <c r="S170" s="14" cm="1">
        <f t="array" ref="S170">INDEX('Report-ConceptMap-2'!$I$15:$N$272,Q170+1,R170)</f>
        <v>0</v>
      </c>
    </row>
    <row r="171" spans="16:19" x14ac:dyDescent="0.75">
      <c r="P171" s="9">
        <v>157</v>
      </c>
      <c r="Q171" s="9">
        <f t="shared" si="16"/>
        <v>26</v>
      </c>
      <c r="R171" s="9">
        <f t="shared" si="17"/>
        <v>1</v>
      </c>
      <c r="S171" s="14" cm="1">
        <f t="array" ref="S171">INDEX('Report-ConceptMap-2'!$I$15:$N$272,Q171+1,R171)</f>
        <v>0</v>
      </c>
    </row>
    <row r="172" spans="16:19" x14ac:dyDescent="0.75">
      <c r="P172" s="9">
        <v>158</v>
      </c>
      <c r="Q172" s="9">
        <f t="shared" si="16"/>
        <v>26</v>
      </c>
      <c r="R172" s="9">
        <f t="shared" si="17"/>
        <v>2</v>
      </c>
      <c r="S172" s="14" cm="1">
        <f t="array" ref="S172">INDEX('Report-ConceptMap-2'!$I$15:$N$272,Q172+1,R172)</f>
        <v>0</v>
      </c>
    </row>
    <row r="173" spans="16:19" x14ac:dyDescent="0.75">
      <c r="P173" s="9">
        <v>159</v>
      </c>
      <c r="Q173" s="9">
        <f t="shared" si="16"/>
        <v>26</v>
      </c>
      <c r="R173" s="9">
        <f t="shared" si="17"/>
        <v>3</v>
      </c>
      <c r="S173" s="14" cm="1">
        <f t="array" ref="S173">INDEX('Report-ConceptMap-2'!$I$15:$N$272,Q173+1,R173)</f>
        <v>0</v>
      </c>
    </row>
    <row r="174" spans="16:19" x14ac:dyDescent="0.75">
      <c r="P174" s="9">
        <v>160</v>
      </c>
      <c r="Q174" s="9">
        <f t="shared" si="16"/>
        <v>26</v>
      </c>
      <c r="R174" s="9">
        <f t="shared" si="17"/>
        <v>4</v>
      </c>
      <c r="S174" s="14" cm="1">
        <f t="array" ref="S174">INDEX('Report-ConceptMap-2'!$I$15:$N$272,Q174+1,R174)</f>
        <v>0</v>
      </c>
    </row>
    <row r="175" spans="16:19" x14ac:dyDescent="0.75">
      <c r="P175" s="9">
        <v>161</v>
      </c>
      <c r="Q175" s="9">
        <f t="shared" si="16"/>
        <v>26</v>
      </c>
      <c r="R175" s="9">
        <f t="shared" si="17"/>
        <v>5</v>
      </c>
      <c r="S175" s="14" cm="1">
        <f t="array" ref="S175">INDEX('Report-ConceptMap-2'!$I$15:$N$272,Q175+1,R175)</f>
        <v>0</v>
      </c>
    </row>
    <row r="176" spans="16:19" x14ac:dyDescent="0.75">
      <c r="P176" s="9">
        <v>162</v>
      </c>
      <c r="Q176" s="9">
        <f t="shared" si="16"/>
        <v>26</v>
      </c>
      <c r="R176" s="9">
        <f t="shared" si="17"/>
        <v>6</v>
      </c>
      <c r="S176" s="14" cm="1">
        <f t="array" ref="S176">INDEX('Report-ConceptMap-2'!$I$15:$N$272,Q176+1,R176)</f>
        <v>0</v>
      </c>
    </row>
    <row r="177" spans="16:19" x14ac:dyDescent="0.75">
      <c r="P177" s="9">
        <v>163</v>
      </c>
      <c r="Q177" s="9">
        <f t="shared" si="16"/>
        <v>27</v>
      </c>
      <c r="R177" s="9">
        <f t="shared" si="17"/>
        <v>1</v>
      </c>
      <c r="S177" s="14" cm="1">
        <f t="array" ref="S177">INDEX('Report-ConceptMap-2'!$I$15:$N$272,Q177+1,R177)</f>
        <v>0</v>
      </c>
    </row>
    <row r="178" spans="16:19" x14ac:dyDescent="0.75">
      <c r="P178" s="9">
        <v>164</v>
      </c>
      <c r="Q178" s="9">
        <f t="shared" si="16"/>
        <v>27</v>
      </c>
      <c r="R178" s="9">
        <f t="shared" si="17"/>
        <v>2</v>
      </c>
      <c r="S178" s="14" cm="1">
        <f t="array" ref="S178">INDEX('Report-ConceptMap-2'!$I$15:$N$272,Q178+1,R178)</f>
        <v>0</v>
      </c>
    </row>
    <row r="179" spans="16:19" x14ac:dyDescent="0.75">
      <c r="P179" s="9">
        <v>165</v>
      </c>
      <c r="Q179" s="9">
        <f t="shared" si="16"/>
        <v>27</v>
      </c>
      <c r="R179" s="9">
        <f t="shared" si="17"/>
        <v>3</v>
      </c>
      <c r="S179" s="14" cm="1">
        <f t="array" ref="S179">INDEX('Report-ConceptMap-2'!$I$15:$N$272,Q179+1,R179)</f>
        <v>0</v>
      </c>
    </row>
    <row r="180" spans="16:19" x14ac:dyDescent="0.75">
      <c r="P180" s="9">
        <v>166</v>
      </c>
      <c r="Q180" s="9">
        <f t="shared" si="16"/>
        <v>27</v>
      </c>
      <c r="R180" s="9">
        <f t="shared" si="17"/>
        <v>4</v>
      </c>
      <c r="S180" s="14" cm="1">
        <f t="array" ref="S180">INDEX('Report-ConceptMap-2'!$I$15:$N$272,Q180+1,R180)</f>
        <v>0</v>
      </c>
    </row>
    <row r="181" spans="16:19" x14ac:dyDescent="0.75">
      <c r="P181" s="9">
        <v>167</v>
      </c>
      <c r="Q181" s="9">
        <f t="shared" si="16"/>
        <v>27</v>
      </c>
      <c r="R181" s="9">
        <f t="shared" si="17"/>
        <v>5</v>
      </c>
      <c r="S181" s="14" cm="1">
        <f t="array" ref="S181">INDEX('Report-ConceptMap-2'!$I$15:$N$272,Q181+1,R181)</f>
        <v>0</v>
      </c>
    </row>
    <row r="182" spans="16:19" x14ac:dyDescent="0.75">
      <c r="P182" s="9">
        <v>168</v>
      </c>
      <c r="Q182" s="9">
        <f t="shared" si="16"/>
        <v>27</v>
      </c>
      <c r="R182" s="9">
        <f t="shared" si="17"/>
        <v>6</v>
      </c>
      <c r="S182" s="14" cm="1">
        <f t="array" ref="S182">INDEX('Report-ConceptMap-2'!$I$15:$N$272,Q182+1,R182)</f>
        <v>0</v>
      </c>
    </row>
    <row r="183" spans="16:19" x14ac:dyDescent="0.75">
      <c r="P183" s="9">
        <v>169</v>
      </c>
      <c r="Q183" s="9">
        <f t="shared" si="16"/>
        <v>28</v>
      </c>
      <c r="R183" s="9">
        <f t="shared" si="17"/>
        <v>1</v>
      </c>
      <c r="S183" s="14" cm="1">
        <f t="array" ref="S183">INDEX('Report-ConceptMap-2'!$I$15:$N$272,Q183+1,R183)</f>
        <v>0</v>
      </c>
    </row>
    <row r="184" spans="16:19" x14ac:dyDescent="0.75">
      <c r="P184" s="9">
        <v>170</v>
      </c>
      <c r="Q184" s="9">
        <f t="shared" si="16"/>
        <v>28</v>
      </c>
      <c r="R184" s="9">
        <f t="shared" si="17"/>
        <v>2</v>
      </c>
      <c r="S184" s="14" cm="1">
        <f t="array" ref="S184">INDEX('Report-ConceptMap-2'!$I$15:$N$272,Q184+1,R184)</f>
        <v>0</v>
      </c>
    </row>
    <row r="185" spans="16:19" x14ac:dyDescent="0.75">
      <c r="P185" s="9">
        <v>171</v>
      </c>
      <c r="Q185" s="9">
        <f t="shared" si="16"/>
        <v>28</v>
      </c>
      <c r="R185" s="9">
        <f t="shared" si="17"/>
        <v>3</v>
      </c>
      <c r="S185" s="14" cm="1">
        <f t="array" ref="S185">INDEX('Report-ConceptMap-2'!$I$15:$N$272,Q185+1,R185)</f>
        <v>0</v>
      </c>
    </row>
    <row r="186" spans="16:19" x14ac:dyDescent="0.75">
      <c r="P186" s="9">
        <v>172</v>
      </c>
      <c r="Q186" s="9">
        <f t="shared" si="16"/>
        <v>28</v>
      </c>
      <c r="R186" s="9">
        <f t="shared" si="17"/>
        <v>4</v>
      </c>
      <c r="S186" s="14" cm="1">
        <f t="array" ref="S186">INDEX('Report-ConceptMap-2'!$I$15:$N$272,Q186+1,R186)</f>
        <v>0</v>
      </c>
    </row>
    <row r="187" spans="16:19" x14ac:dyDescent="0.75">
      <c r="P187" s="9">
        <v>173</v>
      </c>
      <c r="Q187" s="9">
        <f t="shared" si="16"/>
        <v>28</v>
      </c>
      <c r="R187" s="9">
        <f t="shared" si="17"/>
        <v>5</v>
      </c>
      <c r="S187" s="14" cm="1">
        <f t="array" ref="S187">INDEX('Report-ConceptMap-2'!$I$15:$N$272,Q187+1,R187)</f>
        <v>0</v>
      </c>
    </row>
    <row r="188" spans="16:19" x14ac:dyDescent="0.75">
      <c r="P188" s="9">
        <v>174</v>
      </c>
      <c r="Q188" s="9">
        <f t="shared" si="16"/>
        <v>28</v>
      </c>
      <c r="R188" s="9">
        <f t="shared" si="17"/>
        <v>6</v>
      </c>
      <c r="S188" s="14" cm="1">
        <f t="array" ref="S188">INDEX('Report-ConceptMap-2'!$I$15:$N$272,Q188+1,R188)</f>
        <v>0</v>
      </c>
    </row>
    <row r="189" spans="16:19" x14ac:dyDescent="0.75">
      <c r="P189" s="9">
        <v>175</v>
      </c>
      <c r="Q189" s="9">
        <f t="shared" si="16"/>
        <v>29</v>
      </c>
      <c r="R189" s="9">
        <f t="shared" si="17"/>
        <v>1</v>
      </c>
      <c r="S189" s="14" cm="1">
        <f t="array" ref="S189">INDEX('Report-ConceptMap-2'!$I$15:$N$272,Q189+1,R189)</f>
        <v>0</v>
      </c>
    </row>
    <row r="190" spans="16:19" x14ac:dyDescent="0.75">
      <c r="P190" s="9">
        <v>176</v>
      </c>
      <c r="Q190" s="9">
        <f t="shared" si="16"/>
        <v>29</v>
      </c>
      <c r="R190" s="9">
        <f t="shared" si="17"/>
        <v>2</v>
      </c>
      <c r="S190" s="14" cm="1">
        <f t="array" ref="S190">INDEX('Report-ConceptMap-2'!$I$15:$N$272,Q190+1,R190)</f>
        <v>0</v>
      </c>
    </row>
    <row r="191" spans="16:19" x14ac:dyDescent="0.75">
      <c r="P191" s="9">
        <v>177</v>
      </c>
      <c r="Q191" s="9">
        <f t="shared" si="16"/>
        <v>29</v>
      </c>
      <c r="R191" s="9">
        <f t="shared" si="17"/>
        <v>3</v>
      </c>
      <c r="S191" s="14" cm="1">
        <f t="array" ref="S191">INDEX('Report-ConceptMap-2'!$I$15:$N$272,Q191+1,R191)</f>
        <v>0</v>
      </c>
    </row>
    <row r="192" spans="16:19" x14ac:dyDescent="0.75">
      <c r="P192" s="9">
        <v>178</v>
      </c>
      <c r="Q192" s="9">
        <f t="shared" si="16"/>
        <v>29</v>
      </c>
      <c r="R192" s="9">
        <f t="shared" si="17"/>
        <v>4</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#LabReport.header.metadata.documentId</v>
      </c>
    </row>
    <row r="75" spans="2:4" x14ac:dyDescent="0.75">
      <c r="B75" s="14" t="str">
        <f>IF('Report-ConceptMap-1'!S70=0,"//---END",'Report-ConceptMap-1'!S70)</f>
        <v>* group[=].element[=].display = ##34#A.1.8.0 Document Id##34#</v>
      </c>
    </row>
    <row r="76" spans="2:4" x14ac:dyDescent="0.75">
      <c r="B76" s="14" t="str">
        <f>IF('Report-ConceptMap-1'!S71=0,"//---END",'Report-ConceptMap-1'!S71)</f>
        <v>* group[=].element[=].target.code = #DiagnosticReport.identifier</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#relatedto</v>
      </c>
    </row>
    <row r="79" spans="2:4" ht="29.5" x14ac:dyDescent="0.75">
      <c r="B79" s="14" t="str">
        <f>IF('Report-ConceptMap-1'!S74=0,"//---END",'Report-ConceptMap-1'!S74)</f>
        <v>* group[=].element[=].target.comment = ##34#If it is the identifier of the report indipendently by its version. Otherwise you should refer to the Bundle.indentifier##34#</v>
      </c>
    </row>
    <row r="80" spans="2:4" x14ac:dyDescent="0.75">
      <c r="B80" s="14" t="str">
        <f>IF('Report-ConceptMap-1'!S75=0,"//---END",'Report-ConceptMap-1'!S75)</f>
        <v>* group[=].element[+].code = #LabReport.header.metadata.type</v>
      </c>
    </row>
    <row r="81" spans="2:2" x14ac:dyDescent="0.75">
      <c r="B81" s="14" t="str">
        <f>IF('Report-ConceptMap-1'!S76=0,"//---END",'Report-ConceptMap-1'!S76)</f>
        <v>* group[=].element[=].display = ##34#A.1.8.1 Document type##34#</v>
      </c>
    </row>
    <row r="82" spans="2:2" x14ac:dyDescent="0.75">
      <c r="B82" s="14" t="str">
        <f>IF('Report-ConceptMap-1'!S77=0,"//---END",'Report-ConceptMap-1'!S77)</f>
        <v>* group[=].element[=].target.code = #DiagnosticReport.code</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#equivalent</v>
      </c>
    </row>
    <row r="85" spans="2:2" x14ac:dyDescent="0.75">
      <c r="B85" s="14" t="str">
        <f>IF('Report-ConceptMap-1'!S80=0,"//---END",'Report-ConceptMap-1'!S80)</f>
        <v/>
      </c>
    </row>
    <row r="86" spans="2:2" x14ac:dyDescent="0.75">
      <c r="B86" s="14" t="str">
        <f>IF('Report-ConceptMap-1'!S81=0,"//---END",'Report-ConceptMap-1'!S81)</f>
        <v>* group[=].element[+].code = #LabReport.header.metadata.status</v>
      </c>
    </row>
    <row r="87" spans="2:2" x14ac:dyDescent="0.75">
      <c r="B87" s="14" t="str">
        <f>IF('Report-ConceptMap-1'!S82=0,"//---END",'Report-ConceptMap-1'!S82)</f>
        <v>* group[=].element[=].display = ##34#A.1.8.2 Document status##34#</v>
      </c>
    </row>
    <row r="88" spans="2:2" x14ac:dyDescent="0.75">
      <c r="B88" s="14" t="str">
        <f>IF('Report-ConceptMap-1'!S83=0,"//---END",'Report-ConceptMap-1'!S83)</f>
        <v>* group[=].element[=].target.code = #DiagnosticReport.status</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#relatedto</v>
      </c>
    </row>
    <row r="91" spans="2:2" x14ac:dyDescent="0.75">
      <c r="B91" s="14" t="str">
        <f>IF('Report-ConceptMap-1'!S86=0,"//---END",'Report-ConceptMap-1'!S86)</f>
        <v>* group[=].element[=].target.comment = ##34#For FHIR R4 the more granular status is recorded in the DiagnosticReport.status##34#</v>
      </c>
    </row>
    <row r="92" spans="2:2" x14ac:dyDescent="0.75">
      <c r="B92" s="14" t="str">
        <f>IF('Report-ConceptMap-1'!S87=0,"//---END",'Report-ConceptMap-1'!S87)</f>
        <v>* group[=].element[+].code = #LabReport.header.metadata.dateTime</v>
      </c>
    </row>
    <row r="93" spans="2:2" x14ac:dyDescent="0.75">
      <c r="B93" s="14" t="str">
        <f>IF('Report-ConceptMap-1'!S88=0,"//---END",'Report-ConceptMap-1'!S88)</f>
        <v>* group[=].element[=].display = ##34#A.1.8.3 Report date and time##34#</v>
      </c>
    </row>
    <row r="94" spans="2:2" x14ac:dyDescent="0.75">
      <c r="B94" s="14" t="str">
        <f>IF('Report-ConceptMap-1'!S89=0,"//---END",'Report-ConceptMap-1'!S89)</f>
        <v>* group[=].element[=].target.code = #DiagnosticReport.effectiveDateTime</v>
      </c>
    </row>
    <row r="95" spans="2:2" x14ac:dyDescent="0.75">
      <c r="B95" s="14" t="str">
        <f>IF('Report-ConceptMap-1'!S90=0,"//---END",'Report-ConceptMap-1'!S90)</f>
        <v>* group[=].element[=].target.display = ##34###34#</v>
      </c>
    </row>
    <row r="96" spans="2:2" x14ac:dyDescent="0.75">
      <c r="B96" s="14" t="str">
        <f>IF('Report-ConceptMap-1'!S91=0,"//---END",'Report-ConceptMap-1'!S91)</f>
        <v>* group[=].element[=].target.equivalence = #equivalent</v>
      </c>
    </row>
    <row r="97" spans="2:2" x14ac:dyDescent="0.75">
      <c r="B97" s="14" t="str">
        <f>IF('Report-ConceptMap-1'!S92=0,"//---END",'Report-ConceptMap-1'!S92)</f>
        <v/>
      </c>
    </row>
    <row r="98" spans="2:2" x14ac:dyDescent="0.75">
      <c r="B98" s="14" t="str">
        <f>IF('Report-ConceptMap-1'!S93=0,"//---END",'Report-ConceptMap-1'!S93)</f>
        <v>* group[=].element[+].code = #LabReport.header.metadata.title</v>
      </c>
    </row>
    <row r="99" spans="2:2" x14ac:dyDescent="0.75">
      <c r="B99" s="14" t="str">
        <f>IF('Report-ConceptMap-1'!S94=0,"//---END",'Report-ConceptMap-1'!S94)</f>
        <v>* group[=].element[=].display = ##34#A.1.8.4 Document title##34#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#LabReport.header.metadata.studyType</v>
      </c>
    </row>
    <row r="105" spans="2:2" x14ac:dyDescent="0.75">
      <c r="B105" s="14" t="str">
        <f>IF('Report-ConceptMap-1'!S100=0,"//---END",'Report-ConceptMap-1'!S100)</f>
        <v>* group[=].element[=].display = ##34#A.1.8.5 Study type##34#</v>
      </c>
    </row>
    <row r="106" spans="2:2" x14ac:dyDescent="0.75">
      <c r="B106" s="14" t="str">
        <f>IF('Report-ConceptMap-1'!S101=0,"//---END",'Report-ConceptMap-1'!S101)</f>
        <v>* group[=].element[=].target.code = #DiagnosticReport.category</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#LabReport.header.metadata.custodian</v>
      </c>
    </row>
    <row r="111" spans="2:2" x14ac:dyDescent="0.75">
      <c r="B111" s="14" t="str">
        <f>IF('Report-ConceptMap-1'!S106=0,"//---END",'Report-ConceptMap-1'!S106)</f>
        <v>* group[=].element[=].display = ##34#A.1.8.6 Report custodian##34#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#LabReport.header.metadata.confidentiality</v>
      </c>
    </row>
    <row r="117" spans="2:2" x14ac:dyDescent="0.75">
      <c r="B117" s="14" t="str">
        <f>IF('Report-ConceptMap-1'!S112=0,"//---END",'Report-ConceptMap-1'!S112)</f>
        <v>* group[=].element[=].display = ##34#A.1.8.7 Confidentiality##34#</v>
      </c>
    </row>
    <row r="118" spans="2:2" x14ac:dyDescent="0.75">
      <c r="B118" s="14" t="str">
        <f>IF('Report-ConceptMap-1'!S113=0,"//---END",'Report-ConceptMap-1'!S113)</f>
        <v>//-- unmatched</v>
      </c>
    </row>
    <row r="119" spans="2:2" x14ac:dyDescent="0.75">
      <c r="B119" s="14" t="str">
        <f>IF('Report-ConceptMap-1'!S114=0,"//---END",'Report-ConceptMap-1'!S114)</f>
        <v>//-- unmatched</v>
      </c>
    </row>
    <row r="120" spans="2:2" x14ac:dyDescent="0.75">
      <c r="B120" s="14" t="str">
        <f>IF('Report-ConceptMap-1'!S115=0,"//---END",'Report-ConceptMap-1'!S115)</f>
        <v>* group[=].element[=].target.equivalence = #unmatched</v>
      </c>
    </row>
    <row r="121" spans="2:2" x14ac:dyDescent="0.75">
      <c r="B121" s="14" t="str">
        <f>IF('Report-ConceptMap-1'!S116=0,"//---END",'Report-ConceptMap-1'!S116)</f>
        <v>* group[=].element[=].target.comment = ##34#Mapped in the Composition resource##34#</v>
      </c>
    </row>
    <row r="122" spans="2:2" x14ac:dyDescent="0.75">
      <c r="B122" s="14" t="str">
        <f>IF('Report-ConceptMap-1'!S117=0,"//---END",'Report-ConceptMap-1'!S117)</f>
        <v>* group[=].element[+].code = #LabReport.header.metadata.language</v>
      </c>
    </row>
    <row r="123" spans="2:2" x14ac:dyDescent="0.75">
      <c r="B123" s="14" t="str">
        <f>IF('Report-ConceptMap-1'!S118=0,"//---END",'Report-ConceptMap-1'!S118)</f>
        <v>* group[=].element[=].display = ##34#A.1.8.8 Language##34#</v>
      </c>
    </row>
    <row r="124" spans="2:2" x14ac:dyDescent="0.75">
      <c r="B124" s="14" t="str">
        <f>IF('Report-ConceptMap-1'!S119=0,"//---END",'Report-ConceptMap-1'!S119)</f>
        <v>* group[=].element[=].target.code = #DiagnosticReport.language</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#equivalent</v>
      </c>
    </row>
    <row r="127" spans="2:2" x14ac:dyDescent="0.75">
      <c r="B127" s="14" t="str">
        <f>IF('Report-ConceptMap-1'!S122=0,"//---END",'Report-ConceptMap-1'!S122)</f>
        <v/>
      </c>
    </row>
    <row r="128" spans="2:2" x14ac:dyDescent="0.75">
      <c r="B128" s="14" t="str">
        <f>IF('Report-ConceptMap-1'!S123=0,"//---END",'Report-ConceptMap-1'!S123)</f>
        <v>* group[=].element[+].code = #LabReport.header.metadata.version</v>
      </c>
    </row>
    <row r="129" spans="2:2" x14ac:dyDescent="0.75">
      <c r="B129" s="14" t="str">
        <f>IF('Report-ConceptMap-1'!S124=0,"//---END",'Report-ConceptMap-1'!S124)</f>
        <v>* group[=].element[=].display = ##34#A.1.8.9 Version##34#</v>
      </c>
    </row>
    <row r="130" spans="2:2" x14ac:dyDescent="0.75">
      <c r="B130" s="14" t="str">
        <f>IF('Report-ConceptMap-1'!S125=0,"//---END",'Report-ConceptMap-1'!S125)</f>
        <v>//-- unmatched</v>
      </c>
    </row>
    <row r="131" spans="2:2" x14ac:dyDescent="0.75">
      <c r="B131" s="14" t="str">
        <f>IF('Report-ConceptMap-1'!S126=0,"//---END",'Report-ConceptMap-1'!S126)</f>
        <v>//-- unmatched</v>
      </c>
    </row>
    <row r="132" spans="2:2" x14ac:dyDescent="0.75">
      <c r="B132" s="14" t="str">
        <f>IF('Report-ConceptMap-1'!S127=0,"//---END",'Report-ConceptMap-1'!S127)</f>
        <v>* group[=].element[=].target.equivalence = #unmatched</v>
      </c>
    </row>
    <row r="133" spans="2:2" x14ac:dyDescent="0.75">
      <c r="B133" s="14" t="str">
        <f>IF('Report-ConceptMap-1'!S128=0,"//---END",'Report-ConceptMap-1'!S128)</f>
        <v>* group[=].element[=].target.comment = ##34#Mapped in the Composition resource if it refers to the business report version##34#</v>
      </c>
    </row>
    <row r="134" spans="2:2" x14ac:dyDescent="0.75">
      <c r="B134" s="14" t="str">
        <f>IF('Report-ConceptMap-1'!S129=0,"//---END",'Report-ConceptMap-1'!S129)</f>
        <v>* group[=].element[+].code = #LabReport.order</v>
      </c>
    </row>
    <row r="135" spans="2:2" x14ac:dyDescent="0.75">
      <c r="B135" s="14" t="str">
        <f>IF('Report-ConceptMap-1'!S130=0,"//---END",'Report-ConceptMap-1'!S130)</f>
        <v>* group[=].element[=].display = ##34#A.2-A.3 Order##34#</v>
      </c>
    </row>
    <row r="136" spans="2:2" x14ac:dyDescent="0.75">
      <c r="B136" s="14" t="str">
        <f>IF('Report-ConceptMap-1'!S131=0,"//---END",'Report-ConceptMap-1'!S131)</f>
        <v>* group[=].element[=].target.code = #DiagnosticReport.basedOn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group[=].element[=].target.comment = ##34#basedOn.resolve().ofType(ServiceRequest)##34#</v>
      </c>
    </row>
    <row r="140" spans="2:2" x14ac:dyDescent="0.75">
      <c r="B140" s="14" t="str">
        <f>IF('Report-ConceptMap-1'!S135=0,"//---END",'Report-ConceptMap-1'!S135)</f>
        <v>* group[=].element[+].code = #LabReport.specimen</v>
      </c>
    </row>
    <row r="141" spans="2:2" x14ac:dyDescent="0.75">
      <c r="B141" s="14" t="str">
        <f>IF('Report-ConceptMap-1'!S136=0,"//---END",'Report-ConceptMap-1'!S136)</f>
        <v>* group[=].element[=].display = ##34#A.4 Specimen information##34#</v>
      </c>
    </row>
    <row r="142" spans="2:2" x14ac:dyDescent="0.75">
      <c r="B142" s="14" t="str">
        <f>IF('Report-ConceptMap-1'!S137=0,"//---END",'Report-ConceptMap-1'!S137)</f>
        <v>* group[=].element[=].target.code = #DiagnosticReport.specimen</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#LabReport.result</v>
      </c>
    </row>
    <row r="147" spans="2:2" x14ac:dyDescent="0.75">
      <c r="B147" s="14" t="str">
        <f>IF('Report-ConceptMap-1'!S142=0,"//---END",'Report-ConceptMap-1'!S142)</f>
        <v>* group[=].element[=].display = ##34#A.5 Results data elements##34#</v>
      </c>
    </row>
    <row r="148" spans="2:2" x14ac:dyDescent="0.75">
      <c r="B148" s="14" t="str">
        <f>IF('Report-ConceptMap-1'!S143=0,"//---END",'Report-ConceptMap-1'!S143)</f>
        <v>* group[=].element[=].target.code = #DiagnosticReport.result</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c>
    </row>
    <row r="152" spans="2:2" x14ac:dyDescent="0.75">
      <c r="B152" s="14" t="str">
        <f>IF('Report-ConceptMap-1'!S147=0,"//---END",'Report-ConceptMap-1'!S147)</f>
        <v>* group[=].element[+].code = #LabReport.specimen</v>
      </c>
    </row>
    <row r="153" spans="2:2" x14ac:dyDescent="0.75">
      <c r="B153" s="14" t="str">
        <f>IF('Report-ConceptMap-1'!S148=0,"//---END",'Report-ConceptMap-1'!S148)</f>
        <v>* group[=].element[=].display = ##34#A.4 Specimen information##34#</v>
      </c>
    </row>
    <row r="154" spans="2:2" x14ac:dyDescent="0.75">
      <c r="B154" s="14" t="str">
        <f>IF('Report-ConceptMap-1'!S149=0,"//---END",'Report-ConceptMap-1'!S149)</f>
        <v>* group[=].element[=].target.code = #DiagnosticReport.result.specimen</v>
      </c>
    </row>
    <row r="155" spans="2:2" x14ac:dyDescent="0.75">
      <c r="B155" s="14" t="str">
        <f>IF('Report-ConceptMap-1'!S150=0,"//---END",'Report-ConceptMap-1'!S150)</f>
        <v>* group[=].element[=].target.display = ##34###34#</v>
      </c>
    </row>
    <row r="156" spans="2:2" x14ac:dyDescent="0.75">
      <c r="B156" s="14" t="str">
        <f>IF('Report-ConceptMap-1'!S151=0,"//---END",'Report-ConceptMap-1'!S151)</f>
        <v>* group[=].element[=].target.equivalence = #relatedto</v>
      </c>
    </row>
    <row r="157" spans="2:2" x14ac:dyDescent="0.75">
      <c r="B157" s="14" t="str">
        <f>IF('Report-ConceptMap-1'!S152=0,"//---END",'Report-ConceptMap-1'!S152)</f>
        <v>* group[=].element[=].target.comment = ##34#result.resolve().ofType(Observation)##34#</v>
      </c>
    </row>
    <row r="158" spans="2:2" x14ac:dyDescent="0.75">
      <c r="B158" s="14" t="str">
        <f>IF('Report-ConceptMap-1'!S153=0,"//---END",'Report-ConceptMap-1'!S153)</f>
        <v>//---END</v>
      </c>
    </row>
    <row r="159" spans="2:2" x14ac:dyDescent="0.75">
      <c r="B159" s="14" t="str">
        <f>IF('Report-ConceptMap-1'!S154=0,"//---END",'Report-ConceptMap-1'!S154)</f>
        <v>//---END</v>
      </c>
    </row>
    <row r="160" spans="2:2" x14ac:dyDescent="0.75">
      <c r="B160" s="14" t="str">
        <f>IF('Report-ConceptMap-1'!S155=0,"//---END",'Report-ConceptMap-1'!S155)</f>
        <v>//---END</v>
      </c>
    </row>
    <row r="161" spans="2:2" x14ac:dyDescent="0.75">
      <c r="B161" s="14" t="str">
        <f>IF('Report-ConceptMap-1'!S156=0,"//---END",'Report-ConceptMap-1'!S156)</f>
        <v>//---END</v>
      </c>
    </row>
    <row r="162" spans="2:2" x14ac:dyDescent="0.75">
      <c r="B162" s="14" t="str">
        <f>IF('Report-ConceptMap-1'!S157=0,"//---END",'Report-ConceptMap-1'!S157)</f>
        <v>//---END</v>
      </c>
    </row>
    <row r="163" spans="2:2" x14ac:dyDescent="0.75">
      <c r="B163" s="14" t="str">
        <f>IF('Report-ConceptMap-1'!S158=0,"//---END",'Report-ConceptMap-1'!S158)</f>
        <v>//---END</v>
      </c>
    </row>
    <row r="164" spans="2:2" x14ac:dyDescent="0.75">
      <c r="B164" s="14" t="str">
        <f>IF('Report-ConceptMap-1'!S159=0,"//---END",'Report-ConceptMap-1'!S159)</f>
        <v>//---END</v>
      </c>
    </row>
    <row r="165" spans="2:2" x14ac:dyDescent="0.75">
      <c r="B165" s="14" t="str">
        <f>IF('Report-ConceptMap-1'!S160=0,"//---END",'Report-ConceptMap-1'!S160)</f>
        <v>//---END</v>
      </c>
    </row>
    <row r="166" spans="2:2" x14ac:dyDescent="0.75">
      <c r="B166" s="14" t="str">
        <f>IF('Report-ConceptMap-1'!S161=0,"//---END",'Report-ConceptMap-1'!S161)</f>
        <v>//---END</v>
      </c>
    </row>
    <row r="167" spans="2:2" x14ac:dyDescent="0.75">
      <c r="B167" s="14" t="str">
        <f>IF('Report-ConceptMap-1'!S162=0,"//---END",'Report-ConceptMap-1'!S162)</f>
        <v>//---END</v>
      </c>
    </row>
    <row r="170" spans="2:2" x14ac:dyDescent="0.75">
      <c r="B170" s="77"/>
    </row>
    <row r="171" spans="2:2" x14ac:dyDescent="0.75">
      <c r="B171" s="79" t="str">
        <f>"* group[+].source = ##34#"&amp;'Report-ConceptMap-2'!E6&amp;"##34#"</f>
        <v>* group[+].source = ##34#http://hl7.eu/fhir/laboratory/StructureDefinition/LabReport##34#</v>
      </c>
    </row>
    <row r="172" spans="2:2" x14ac:dyDescent="0.75">
      <c r="B172" s="79" t="str">
        <f>"* group[=].target = ##34#"&amp;'Report-ConceptMap-2'!E7&amp;"##34#"</f>
        <v>* group[=].target = ##34#http://hl7.eu/fhir/laboratory/StructureDefinition/Composition-eu-lab##34#</v>
      </c>
    </row>
    <row r="173" spans="2:2" x14ac:dyDescent="0.75">
      <c r="B173" s="81"/>
    </row>
    <row r="175" spans="2:2" x14ac:dyDescent="0.75">
      <c r="B175" s="14" t="str">
        <f>IF('Report-ConceptMap-2'!S15=0,"//---END",'Report-ConceptMap-2'!S15)</f>
        <v>* group[=].element[+].code = #LabReport.header</v>
      </c>
    </row>
    <row r="176" spans="2:2" x14ac:dyDescent="0.75">
      <c r="B176" s="14" t="str">
        <f>IF('Report-ConceptMap-2'!S16=0,"//---END",'Report-ConceptMap-2'!S16)</f>
        <v>* group[=].element[=].display = ##34#A.1 Report header data elements##34#</v>
      </c>
    </row>
    <row r="177" spans="2:2" x14ac:dyDescent="0.75">
      <c r="B177" s="14" t="str">
        <f>IF('Report-ConceptMap-2'!S17=0,"//---END",'Report-ConceptMap-2'!S17)</f>
        <v>* group[=].element[=].target.code = #Composition</v>
      </c>
    </row>
    <row r="178" spans="2:2" x14ac:dyDescent="0.75">
      <c r="B178" s="14" t="str">
        <f>IF('Report-ConceptMap-2'!S18=0,"//---END",'Report-ConceptMap-2'!S18)</f>
        <v>* group[=].element[=].target.display = ##34###34#</v>
      </c>
    </row>
    <row r="179" spans="2:2" x14ac:dyDescent="0.75">
      <c r="B179" s="14" t="str">
        <f>IF('Report-ConceptMap-2'!S19=0,"//---END",'Report-ConceptMap-2'!S19)</f>
        <v>* group[=].element[=].target.equivalence = #relatedto</v>
      </c>
    </row>
    <row r="180" spans="2:2" x14ac:dyDescent="0.75">
      <c r="B180" s="14" t="str">
        <f>IF('Report-ConceptMap-2'!S20=0,"//---END",'Report-ConceptMap-2'!S20)</f>
        <v/>
      </c>
    </row>
    <row r="181" spans="2:2" x14ac:dyDescent="0.75">
      <c r="B181" s="14" t="str">
        <f>IF('Report-ConceptMap-2'!S21=0,"//---END",'Report-ConceptMap-2'!S21)</f>
        <v>* group[=].element[+].code = #LabReport.header.subject</v>
      </c>
    </row>
    <row r="182" spans="2:2" x14ac:dyDescent="0.75">
      <c r="B182" s="14" t="str">
        <f>IF('Report-ConceptMap-2'!S22=0,"//---END",'Report-ConceptMap-2'!S22)</f>
        <v>* group[=].element[=].display = ##34#A.1.1 - A1.2 Patient/subject##34#</v>
      </c>
    </row>
    <row r="183" spans="2:2" x14ac:dyDescent="0.75">
      <c r="B183" s="14" t="str">
        <f>IF('Report-ConceptMap-2'!S23=0,"//---END",'Report-ConceptMap-2'!S23)</f>
        <v>* group[=].element[=].target.code = #Composition.subject</v>
      </c>
    </row>
    <row r="184" spans="2:2" x14ac:dyDescent="0.75">
      <c r="B184" s="14" t="str">
        <f>IF('Report-ConceptMap-2'!S24=0,"//---END",'Report-ConceptMap-2'!S24)</f>
        <v>* group[=].element[=].target.display = ##34###34#</v>
      </c>
    </row>
    <row r="185" spans="2:2" x14ac:dyDescent="0.75">
      <c r="B185" s="14" t="str">
        <f>IF('Report-ConceptMap-2'!S25=0,"//---END",'Report-ConceptMap-2'!S25)</f>
        <v>* group[=].element[=].target.equivalence = #relatedto</v>
      </c>
    </row>
    <row r="186" spans="2:2" x14ac:dyDescent="0.75">
      <c r="B186" s="14" t="str">
        <f>IF('Report-ConceptMap-2'!S26=0,"//---END",'Report-ConceptMap-2'!S26)</f>
        <v/>
      </c>
    </row>
    <row r="187" spans="2:2" x14ac:dyDescent="0.75">
      <c r="B187" s="14" t="str">
        <f>IF('Report-ConceptMap-2'!S27=0,"//---END",'Report-ConceptMap-2'!S27)</f>
        <v>* group[=].element[+].code = #LabReport.header.payer</v>
      </c>
    </row>
    <row r="188" spans="2:2" x14ac:dyDescent="0.75">
      <c r="B188" s="14" t="str">
        <f>IF('Report-ConceptMap-2'!S28=0,"//---END",'Report-ConceptMap-2'!S28)</f>
        <v>* group[=].element[=].display = ##34#A.1.3 Health insurance and payment information##34#</v>
      </c>
    </row>
    <row r="189" spans="2:2" x14ac:dyDescent="0.75">
      <c r="B189" s="14" t="str">
        <f>IF('Report-ConceptMap-2'!S29=0,"//---END",'Report-ConceptMap-2'!S29)</f>
        <v>* group[=].element[=].target.code = #Composition.extension:basedOn-order-or-requisition.insurance</v>
      </c>
    </row>
    <row r="190" spans="2:2" x14ac:dyDescent="0.75">
      <c r="B190" s="14" t="str">
        <f>IF('Report-ConceptMap-2'!S30=0,"//---END",'Report-ConceptMap-2'!S30)</f>
        <v>* group[=].element[=].target.display = ##34###34#</v>
      </c>
    </row>
    <row r="191" spans="2:2" x14ac:dyDescent="0.75">
      <c r="B191" s="14" t="str">
        <f>IF('Report-ConceptMap-2'!S31=0,"//---END",'Report-ConceptMap-2'!S31)</f>
        <v>* group[=].element[=].target.equivalence = #relatedto</v>
      </c>
    </row>
    <row r="192" spans="2:2" ht="29.5" x14ac:dyDescent="0.75">
      <c r="B192" s="14"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4" t="str">
        <f>IF('Report-ConceptMap-2'!S33=0,"//---END",'Report-ConceptMap-2'!S33)</f>
        <v>* group[=].element[+].code = #LabReport.header.informationRecipient</v>
      </c>
    </row>
    <row r="194" spans="2:2" x14ac:dyDescent="0.75">
      <c r="B194" s="14" t="str">
        <f>IF('Report-ConceptMap-2'!S34=0,"//---END",'Report-ConceptMap-2'!S34)</f>
        <v>* group[=].element[=].display = ##34#A.1.4 Information recipient##34#</v>
      </c>
    </row>
    <row r="195" spans="2:2" x14ac:dyDescent="0.75">
      <c r="B195" s="14" t="str">
        <f>IF('Report-ConceptMap-2'!S35=0,"//---END",'Report-ConceptMap-2'!S35)</f>
        <v>* group[=].element[=].target.code = #Composition.extension:information-recipient</v>
      </c>
    </row>
    <row r="196" spans="2:2" x14ac:dyDescent="0.75">
      <c r="B196" s="14" t="str">
        <f>IF('Report-ConceptMap-2'!S36=0,"//---END",'Report-ConceptMap-2'!S36)</f>
        <v>* group[=].element[=].target.display = ##34###34#</v>
      </c>
    </row>
    <row r="197" spans="2:2" x14ac:dyDescent="0.75">
      <c r="B197" s="14" t="str">
        <f>IF('Report-ConceptMap-2'!S37=0,"//---END",'Report-ConceptMap-2'!S37)</f>
        <v>* group[=].element[=].target.equivalence = #equivalent</v>
      </c>
    </row>
    <row r="198" spans="2:2" x14ac:dyDescent="0.75">
      <c r="B198" s="14" t="str">
        <f>IF('Report-ConceptMap-2'!S38=0,"//---END",'Report-ConceptMap-2'!S38)</f>
        <v/>
      </c>
    </row>
    <row r="199" spans="2:2" x14ac:dyDescent="0.75">
      <c r="B199" s="14" t="str">
        <f>IF('Report-ConceptMap-2'!S39=0,"//---END",'Report-ConceptMap-2'!S39)</f>
        <v>* group[=].element[+].code = #LabReport.header.author</v>
      </c>
    </row>
    <row r="200" spans="2:2" x14ac:dyDescent="0.75">
      <c r="B200" s="14" t="str">
        <f>IF('Report-ConceptMap-2'!S40=0,"//---END",'Report-ConceptMap-2'!S40)</f>
        <v>* group[=].element[=].display = ##34#A.1.5 Author##34#</v>
      </c>
    </row>
    <row r="201" spans="2:2" x14ac:dyDescent="0.75">
      <c r="B201" s="14" t="str">
        <f>IF('Report-ConceptMap-2'!S41=0,"//---END",'Report-ConceptMap-2'!S41)</f>
        <v>* group[=].element[=].target.code = #Composition.author</v>
      </c>
    </row>
    <row r="202" spans="2:2" x14ac:dyDescent="0.75">
      <c r="B202" s="14" t="str">
        <f>IF('Report-ConceptMap-2'!S42=0,"//---END",'Report-ConceptMap-2'!S42)</f>
        <v>* group[=].element[=].target.display = ##34###34#</v>
      </c>
    </row>
    <row r="203" spans="2:2" x14ac:dyDescent="0.75">
      <c r="B203" s="14" t="str">
        <f>IF('Report-ConceptMap-2'!S43=0,"//---END",'Report-ConceptMap-2'!S43)</f>
        <v>* group[=].element[=].target.equivalence = #relatedto</v>
      </c>
    </row>
    <row r="204" spans="2:2" x14ac:dyDescent="0.75">
      <c r="B204" s="14" t="str">
        <f>IF('Report-ConceptMap-2'!S44=0,"//---END",'Report-ConceptMap-2'!S44)</f>
        <v/>
      </c>
    </row>
    <row r="205" spans="2:2" x14ac:dyDescent="0.75">
      <c r="B205" s="14" t="str">
        <f>IF('Report-ConceptMap-2'!S45=0,"//---END",'Report-ConceptMap-2'!S45)</f>
        <v>* group[=].element[+].code = #LabReport.header.legalAuthenticator</v>
      </c>
    </row>
    <row r="206" spans="2:2" x14ac:dyDescent="0.75">
      <c r="B206" s="14" t="str">
        <f>IF('Report-ConceptMap-2'!S46=0,"//---END",'Report-ConceptMap-2'!S46)</f>
        <v>* group[=].element[=].display = ##34#A.1.6 Legal authenticator##34#</v>
      </c>
    </row>
    <row r="207" spans="2:2" x14ac:dyDescent="0.75">
      <c r="B207" s="14" t="str">
        <f>IF('Report-ConceptMap-2'!S47=0,"//---END",'Report-ConceptMap-2'!S47)</f>
        <v>* group[=].element[=].target.code = #Composition.attester.party</v>
      </c>
    </row>
    <row r="208" spans="2:2" x14ac:dyDescent="0.75">
      <c r="B208" s="14" t="str">
        <f>IF('Report-ConceptMap-2'!S48=0,"//---END",'Report-ConceptMap-2'!S48)</f>
        <v>* group[=].element[=].target.display = ##34###34#</v>
      </c>
    </row>
    <row r="209" spans="2:2" x14ac:dyDescent="0.75">
      <c r="B209" s="14" t="str">
        <f>IF('Report-ConceptMap-2'!S49=0,"//---END",'Report-ConceptMap-2'!S49)</f>
        <v>* group[=].element[=].target.equivalence = #equivalent</v>
      </c>
    </row>
    <row r="210" spans="2:2" ht="29.5" x14ac:dyDescent="0.75">
      <c r="B210" s="14" t="str">
        <f>IF('Report-ConceptMap-2'!S50=0,"//---END",'Report-ConceptMap-2'!S50)</f>
        <v>* group[=].element[=].target.comment = ##34#The person authenticated the content and accepted legal responsibility for its content.
attester.where(mode='legal')##34#</v>
      </c>
    </row>
    <row r="211" spans="2:2" x14ac:dyDescent="0.75">
      <c r="B211" s="14" t="str">
        <f>IF('Report-ConceptMap-2'!S51=0,"//---END",'Report-ConceptMap-2'!S51)</f>
        <v>* group[=].element[+].code = #LabReport.header.validator</v>
      </c>
    </row>
    <row r="212" spans="2:2" x14ac:dyDescent="0.75">
      <c r="B212" s="14" t="str">
        <f>IF('Report-ConceptMap-2'!S52=0,"//---END",'Report-ConceptMap-2'!S52)</f>
        <v>* group[=].element[=].display = ##34#A.1.7 Result validator##34#</v>
      </c>
    </row>
    <row r="213" spans="2:2" x14ac:dyDescent="0.75">
      <c r="B213" s="14" t="str">
        <f>IF('Report-ConceptMap-2'!S53=0,"//---END",'Report-ConceptMap-2'!S53)</f>
        <v>* group[=].element[=].target.code = #Composition.attester.party</v>
      </c>
    </row>
    <row r="214" spans="2:2" x14ac:dyDescent="0.75">
      <c r="B214" s="14" t="str">
        <f>IF('Report-ConceptMap-2'!S54=0,"//---END",'Report-ConceptMap-2'!S54)</f>
        <v>* group[=].element[=].target.display = ##34###34#</v>
      </c>
    </row>
    <row r="215" spans="2:2" x14ac:dyDescent="0.75">
      <c r="B215" s="14" t="str">
        <f>IF('Report-ConceptMap-2'!S55=0,"//---END",'Report-ConceptMap-2'!S55)</f>
        <v>* group[=].element[=].target.equivalence = #equivalent</v>
      </c>
    </row>
    <row r="216" spans="2:2" ht="29.5" x14ac:dyDescent="0.75">
      <c r="B216" s="14" t="str">
        <f>IF('Report-ConceptMap-2'!S56=0,"//---END",'Report-ConceptMap-2'!S56)</f>
        <v>* group[=].element[=].target.comment = ##34#The person authenticated the content in their professional capacity.
attester.where(mode='professional')##34#</v>
      </c>
    </row>
    <row r="217" spans="2:2" x14ac:dyDescent="0.75">
      <c r="B217" s="14" t="str">
        <f>IF('Report-ConceptMap-2'!S57=0,"//---END",'Report-ConceptMap-2'!S57)</f>
        <v>* group[=].element[+].code = #LabReport.header.metadata</v>
      </c>
    </row>
    <row r="218" spans="2:2" x14ac:dyDescent="0.75">
      <c r="B218" s="14" t="str">
        <f>IF('Report-ConceptMap-2'!S58=0,"//---END",'Report-ConceptMap-2'!S58)</f>
        <v>* group[=].element[=].display = ##34#A.1.8 Laboratory report metadata##34#</v>
      </c>
    </row>
    <row r="219" spans="2:2" x14ac:dyDescent="0.75">
      <c r="B219" s="14" t="str">
        <f>IF('Report-ConceptMap-2'!S59=0,"//---END",'Report-ConceptMap-2'!S59)</f>
        <v>* group[=].element[=].target.code = #Composition</v>
      </c>
    </row>
    <row r="220" spans="2:2" x14ac:dyDescent="0.75">
      <c r="B220" s="14" t="str">
        <f>IF('Report-ConceptMap-2'!S60=0,"//---END",'Report-ConceptMap-2'!S60)</f>
        <v>* group[=].element[=].target.display = ##34###34#</v>
      </c>
    </row>
    <row r="221" spans="2:2" x14ac:dyDescent="0.75">
      <c r="B221" s="14" t="str">
        <f>IF('Report-ConceptMap-2'!S61=0,"//---END",'Report-ConceptMap-2'!S61)</f>
        <v>* group[=].element[=].target.equivalence = #relatedto</v>
      </c>
    </row>
    <row r="222" spans="2:2" x14ac:dyDescent="0.75">
      <c r="B222" s="14" t="str">
        <f>IF('Report-ConceptMap-2'!S62=0,"//---END",'Report-ConceptMap-2'!S62)</f>
        <v/>
      </c>
    </row>
    <row r="223" spans="2:2" x14ac:dyDescent="0.75">
      <c r="B223" s="14" t="str">
        <f>IF('Report-ConceptMap-2'!S63=0,"//---END",'Report-ConceptMap-2'!S63)</f>
        <v>* group[=].element[+].code = #LabReport.header.metadata.documentId</v>
      </c>
    </row>
    <row r="224" spans="2:2" x14ac:dyDescent="0.75">
      <c r="B224" s="14" t="str">
        <f>IF('Report-ConceptMap-2'!S64=0,"//---END",'Report-ConceptMap-2'!S64)</f>
        <v>* group[=].element[=].display = ##34#A.1.8.0 Document Id##34#</v>
      </c>
    </row>
    <row r="225" spans="2:2" x14ac:dyDescent="0.75">
      <c r="B225" s="14" t="str">
        <f>IF('Report-ConceptMap-2'!S65=0,"//---END",'Report-ConceptMap-2'!S65)</f>
        <v>* group[=].element[=].target.code = #Composition.identifier</v>
      </c>
    </row>
    <row r="226" spans="2:2" x14ac:dyDescent="0.75">
      <c r="B226" s="14" t="str">
        <f>IF('Report-ConceptMap-2'!S66=0,"//---END",'Report-ConceptMap-2'!S66)</f>
        <v>* group[=].element[=].target.display = ##34###34#</v>
      </c>
    </row>
    <row r="227" spans="2:2" x14ac:dyDescent="0.75">
      <c r="B227" s="14" t="str">
        <f>IF('Report-ConceptMap-2'!S67=0,"//---END",'Report-ConceptMap-2'!S67)</f>
        <v>* group[=].element[=].target.equivalence = #equivalent</v>
      </c>
    </row>
    <row r="228" spans="2:2" ht="29.5" x14ac:dyDescent="0.75">
      <c r="B228" s="14" t="str">
        <f>IF('Report-ConceptMap-2'!S68=0,"//---END",'Report-ConceptMap-2'!S68)</f>
        <v>* group[=].element[=].target.comment = ##34#If it is the identifier of the report indipendently by its version. Otherwise you should refer to the Bundle.indentifier##34#</v>
      </c>
    </row>
    <row r="229" spans="2:2" x14ac:dyDescent="0.75">
      <c r="B229" s="14" t="str">
        <f>IF('Report-ConceptMap-2'!S69=0,"//---END",'Report-ConceptMap-2'!S69)</f>
        <v>* group[=].element[+].code = #LabReport.header.metadata.type</v>
      </c>
    </row>
    <row r="230" spans="2:2" x14ac:dyDescent="0.75">
      <c r="B230" s="14" t="str">
        <f>IF('Report-ConceptMap-2'!S70=0,"//---END",'Report-ConceptMap-2'!S70)</f>
        <v>* group[=].element[=].display = ##34#A.1.8.1 Document type##34#</v>
      </c>
    </row>
    <row r="231" spans="2:2" x14ac:dyDescent="0.75">
      <c r="B231" s="14" t="str">
        <f>IF('Report-ConceptMap-2'!S71=0,"//---END",'Report-ConceptMap-2'!S71)</f>
        <v>* group[=].element[=].target.code = #Composition.type</v>
      </c>
    </row>
    <row r="232" spans="2:2" x14ac:dyDescent="0.75">
      <c r="B232" s="14" t="str">
        <f>IF('Report-ConceptMap-2'!S72=0,"//---END",'Report-ConceptMap-2'!S72)</f>
        <v>* group[=].element[=].target.display = ##34###34#</v>
      </c>
    </row>
    <row r="233" spans="2:2" x14ac:dyDescent="0.75">
      <c r="B233" s="14" t="str">
        <f>IF('Report-ConceptMap-2'!S73=0,"//---END",'Report-ConceptMap-2'!S73)</f>
        <v>* group[=].element[=].target.equivalence = #equivalent</v>
      </c>
    </row>
    <row r="234" spans="2:2" x14ac:dyDescent="0.75">
      <c r="B234" s="14" t="str">
        <f>IF('Report-ConceptMap-2'!S74=0,"//---END",'Report-ConceptMap-2'!S74)</f>
        <v/>
      </c>
    </row>
    <row r="235" spans="2:2" x14ac:dyDescent="0.75">
      <c r="B235" s="14" t="str">
        <f>IF('Report-ConceptMap-2'!S75=0,"//---END",'Report-ConceptMap-2'!S75)</f>
        <v>* group[=].element[+].code = #LabReport.header.metadata.status</v>
      </c>
    </row>
    <row r="236" spans="2:2" x14ac:dyDescent="0.75">
      <c r="B236" s="14" t="str">
        <f>IF('Report-ConceptMap-2'!S76=0,"//---END",'Report-ConceptMap-2'!S76)</f>
        <v>* group[=].element[=].display = ##34#A.1.8.2 Document status##34#</v>
      </c>
    </row>
    <row r="237" spans="2:2" x14ac:dyDescent="0.75">
      <c r="B237" s="14" t="str">
        <f>IF('Report-ConceptMap-2'!S77=0,"//---END",'Report-ConceptMap-2'!S77)</f>
        <v>* group[=].element[=].target.code = #Composition.status</v>
      </c>
    </row>
    <row r="238" spans="2:2" x14ac:dyDescent="0.75">
      <c r="B238" s="14" t="str">
        <f>IF('Report-ConceptMap-2'!S78=0,"//---END",'Report-ConceptMap-2'!S78)</f>
        <v>* group[=].element[=].target.display = ##34###34#</v>
      </c>
    </row>
    <row r="239" spans="2:2" x14ac:dyDescent="0.75">
      <c r="B239" s="14" t="str">
        <f>IF('Report-ConceptMap-2'!S79=0,"//---END",'Report-ConceptMap-2'!S79)</f>
        <v>* group[=].element[=].target.equivalence = #relatedto</v>
      </c>
    </row>
    <row r="240" spans="2:2" ht="29.5" x14ac:dyDescent="0.75">
      <c r="B24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IF('Report-ConceptMap-2'!S81=0,"//---END",'Report-ConceptMap-2'!S81)</f>
        <v>* group[=].element[+].code = #LabReport.header.metadata.dateTime</v>
      </c>
    </row>
    <row r="242" spans="2:2" x14ac:dyDescent="0.75">
      <c r="B242" s="14" t="str">
        <f>IF('Report-ConceptMap-2'!S82=0,"//---END",'Report-ConceptMap-2'!S82)</f>
        <v>* group[=].element[=].display = ##34#A.1.8.3 Report date and time##34#</v>
      </c>
    </row>
    <row r="243" spans="2:2" x14ac:dyDescent="0.75">
      <c r="B243" s="14" t="str">
        <f>IF('Report-ConceptMap-2'!S83=0,"//---END",'Report-ConceptMap-2'!S83)</f>
        <v>* group[=].element[=].target.code = #Composition.date</v>
      </c>
    </row>
    <row r="244" spans="2:2" x14ac:dyDescent="0.75">
      <c r="B244" s="14" t="str">
        <f>IF('Report-ConceptMap-2'!S84=0,"//---END",'Report-ConceptMap-2'!S84)</f>
        <v>* group[=].element[=].target.display = ##34###34#</v>
      </c>
    </row>
    <row r="245" spans="2:2" x14ac:dyDescent="0.75">
      <c r="B245" s="14" t="str">
        <f>IF('Report-ConceptMap-2'!S85=0,"//---END",'Report-ConceptMap-2'!S85)</f>
        <v>* group[=].element[=].target.equivalence = #equivalent</v>
      </c>
    </row>
    <row r="246" spans="2:2" x14ac:dyDescent="0.75">
      <c r="B246" s="14" t="str">
        <f>IF('Report-ConceptMap-2'!S86=0,"//---END",'Report-ConceptMap-2'!S86)</f>
        <v/>
      </c>
    </row>
    <row r="247" spans="2:2" x14ac:dyDescent="0.75">
      <c r="B247" s="14" t="str">
        <f>IF('Report-ConceptMap-2'!S87=0,"//---END",'Report-ConceptMap-2'!S87)</f>
        <v>* group[=].element[+].code = #LabReport.header.metadata.title</v>
      </c>
    </row>
    <row r="248" spans="2:2" x14ac:dyDescent="0.75">
      <c r="B248" s="14" t="str">
        <f>IF('Report-ConceptMap-2'!S88=0,"//---END",'Report-ConceptMap-2'!S88)</f>
        <v>* group[=].element[=].display = ##34#A.1.8.4 Document title##34#</v>
      </c>
    </row>
    <row r="249" spans="2:2" x14ac:dyDescent="0.75">
      <c r="B249" s="14" t="str">
        <f>IF('Report-ConceptMap-2'!S89=0,"//---END",'Report-ConceptMap-2'!S89)</f>
        <v>* group[=].element[=].target.code = #Composition.title</v>
      </c>
    </row>
    <row r="250" spans="2:2" x14ac:dyDescent="0.75">
      <c r="B250" s="14" t="str">
        <f>IF('Report-ConceptMap-2'!S90=0,"//---END",'Report-ConceptMap-2'!S90)</f>
        <v>* group[=].element[=].target.display = ##34###34#</v>
      </c>
    </row>
    <row r="251" spans="2:2" x14ac:dyDescent="0.75">
      <c r="B251" s="14" t="str">
        <f>IF('Report-ConceptMap-2'!S91=0,"//---END",'Report-ConceptMap-2'!S91)</f>
        <v>* group[=].element[=].target.equivalence = #equivalent</v>
      </c>
    </row>
    <row r="252" spans="2:2" x14ac:dyDescent="0.75">
      <c r="B252" s="14" t="str">
        <f>IF('Report-ConceptMap-2'!S92=0,"//---END",'Report-ConceptMap-2'!S92)</f>
        <v/>
      </c>
    </row>
    <row r="253" spans="2:2" x14ac:dyDescent="0.75">
      <c r="B253" s="14" t="str">
        <f>IF('Report-ConceptMap-2'!S93=0,"//---END",'Report-ConceptMap-2'!S93)</f>
        <v>* group[=].element[+].code = #LabReport.header.metadata.studyType</v>
      </c>
    </row>
    <row r="254" spans="2:2" x14ac:dyDescent="0.75">
      <c r="B254" s="14" t="str">
        <f>IF('Report-ConceptMap-2'!S94=0,"//---END",'Report-ConceptMap-2'!S94)</f>
        <v>* group[=].element[=].display = ##34#A.1.8.5 Study type##34#</v>
      </c>
    </row>
    <row r="255" spans="2:2" x14ac:dyDescent="0.75">
      <c r="B255" s="14" t="str">
        <f>IF('Report-ConceptMap-2'!S95=0,"//---END",'Report-ConceptMap-2'!S95)</f>
        <v>* group[=].element[=].target.code = #Composition.category</v>
      </c>
    </row>
    <row r="256" spans="2:2" x14ac:dyDescent="0.75">
      <c r="B256" s="14" t="str">
        <f>IF('Report-ConceptMap-2'!S96=0,"//---END",'Report-ConceptMap-2'!S96)</f>
        <v>* group[=].element[=].target.display = ##34###34#</v>
      </c>
    </row>
    <row r="257" spans="2:2" x14ac:dyDescent="0.75">
      <c r="B257" s="14" t="str">
        <f>IF('Report-ConceptMap-2'!S97=0,"//---END",'Report-ConceptMap-2'!S97)</f>
        <v>* group[=].element[=].target.equivalence = #relatedto</v>
      </c>
    </row>
    <row r="258" spans="2:2" x14ac:dyDescent="0.75">
      <c r="B258" s="14" t="str">
        <f>IF('Report-ConceptMap-2'!S98=0,"//---END",'Report-ConceptMap-2'!S98)</f>
        <v/>
      </c>
    </row>
    <row r="259" spans="2:2" x14ac:dyDescent="0.75">
      <c r="B259" s="14" t="str">
        <f>IF('Report-ConceptMap-2'!S99=0,"//---END",'Report-ConceptMap-2'!S99)</f>
        <v>* group[=].element[+].code = #LabReport.header.metadata.custodian</v>
      </c>
    </row>
    <row r="260" spans="2:2" x14ac:dyDescent="0.75">
      <c r="B260" s="14" t="str">
        <f>IF('Report-ConceptMap-2'!S100=0,"//---END",'Report-ConceptMap-2'!S100)</f>
        <v>* group[=].element[=].display = ##34#A.1.8.6 Report custodian##34#</v>
      </c>
    </row>
    <row r="261" spans="2:2" x14ac:dyDescent="0.75">
      <c r="B261" s="14" t="str">
        <f>IF('Report-ConceptMap-2'!S101=0,"//---END",'Report-ConceptMap-2'!S101)</f>
        <v>* group[=].element[=].target.code = #Composition.custodian</v>
      </c>
    </row>
    <row r="262" spans="2:2" x14ac:dyDescent="0.75">
      <c r="B262" s="14" t="str">
        <f>IF('Report-ConceptMap-2'!S102=0,"//---END",'Report-ConceptMap-2'!S102)</f>
        <v>* group[=].element[=].target.display = ##34###34#</v>
      </c>
    </row>
    <row r="263" spans="2:2" x14ac:dyDescent="0.75">
      <c r="B263" s="14" t="str">
        <f>IF('Report-ConceptMap-2'!S103=0,"//---END",'Report-ConceptMap-2'!S103)</f>
        <v>* group[=].element[=].target.equivalence = #equivalent</v>
      </c>
    </row>
    <row r="264" spans="2:2" x14ac:dyDescent="0.75">
      <c r="B264" s="14" t="str">
        <f>IF('Report-ConceptMap-2'!S104=0,"//---END",'Report-ConceptMap-2'!S104)</f>
        <v/>
      </c>
    </row>
    <row r="265" spans="2:2" x14ac:dyDescent="0.75">
      <c r="B265" s="14" t="str">
        <f>IF('Report-ConceptMap-2'!S105=0,"//---END",'Report-ConceptMap-2'!S105)</f>
        <v>* group[=].element[+].code = #LabReport.header.metadata.confidentiality</v>
      </c>
    </row>
    <row r="266" spans="2:2" x14ac:dyDescent="0.75">
      <c r="B266" s="14" t="str">
        <f>IF('Report-ConceptMap-2'!S106=0,"//---END",'Report-ConceptMap-2'!S106)</f>
        <v>* group[=].element[=].display = ##34#A.1.8.7 Confidentiality##34#</v>
      </c>
    </row>
    <row r="267" spans="2:2" x14ac:dyDescent="0.75">
      <c r="B267" s="14" t="str">
        <f>IF('Report-ConceptMap-2'!S107=0,"//---END",'Report-ConceptMap-2'!S107)</f>
        <v>* group[=].element[=].target.code = #Composition.confidentiality</v>
      </c>
    </row>
    <row r="268" spans="2:2" x14ac:dyDescent="0.75">
      <c r="B268" s="14" t="str">
        <f>IF('Report-ConceptMap-2'!S108=0,"//---END",'Report-ConceptMap-2'!S108)</f>
        <v>* group[=].element[=].target.display = ##34###34#</v>
      </c>
    </row>
    <row r="269" spans="2:2" x14ac:dyDescent="0.75">
      <c r="B269" s="14" t="str">
        <f>IF('Report-ConceptMap-2'!S109=0,"//---END",'Report-ConceptMap-2'!S109)</f>
        <v>* group[=].element[=].target.equivalence = #equivalent</v>
      </c>
    </row>
    <row r="270" spans="2:2" x14ac:dyDescent="0.75">
      <c r="B270" s="14" t="str">
        <f>IF('Report-ConceptMap-2'!S110=0,"//---END",'Report-ConceptMap-2'!S110)</f>
        <v/>
      </c>
    </row>
    <row r="271" spans="2:2" x14ac:dyDescent="0.75">
      <c r="B271" s="14" t="str">
        <f>IF('Report-ConceptMap-2'!S111=0,"//---END",'Report-ConceptMap-2'!S111)</f>
        <v>* group[=].element[+].code = #LabReport.header.metadata.language</v>
      </c>
    </row>
    <row r="272" spans="2:2" x14ac:dyDescent="0.75">
      <c r="B272" s="14" t="str">
        <f>IF('Report-ConceptMap-2'!S112=0,"//---END",'Report-ConceptMap-2'!S112)</f>
        <v>* group[=].element[=].display = ##34#A.1.8.8 Language##34#</v>
      </c>
    </row>
    <row r="273" spans="2:2" x14ac:dyDescent="0.75">
      <c r="B273" s="14" t="str">
        <f>IF('Report-ConceptMap-2'!S113=0,"//---END",'Report-ConceptMap-2'!S113)</f>
        <v>* group[=].element[=].target.code = #Composition.language</v>
      </c>
    </row>
    <row r="274" spans="2:2" x14ac:dyDescent="0.75">
      <c r="B274" s="14" t="str">
        <f>IF('Report-ConceptMap-2'!S114=0,"//---END",'Report-ConceptMap-2'!S114)</f>
        <v>* group[=].element[=].target.display = ##34###34#</v>
      </c>
    </row>
    <row r="275" spans="2:2" x14ac:dyDescent="0.75">
      <c r="B275" s="14" t="str">
        <f>IF('Report-ConceptMap-2'!S115=0,"//---END",'Report-ConceptMap-2'!S115)</f>
        <v>* group[=].element[=].target.equivalence = #equivalent</v>
      </c>
    </row>
    <row r="276" spans="2:2" x14ac:dyDescent="0.75">
      <c r="B276" s="14" t="str">
        <f>IF('Report-ConceptMap-2'!S116=0,"//---END",'Report-ConceptMap-2'!S116)</f>
        <v/>
      </c>
    </row>
    <row r="277" spans="2:2" x14ac:dyDescent="0.75">
      <c r="B277" s="14" t="str">
        <f>IF('Report-ConceptMap-2'!S117=0,"//---END",'Report-ConceptMap-2'!S117)</f>
        <v>* group[=].element[+].code = #LabReport.header.metadata.version</v>
      </c>
    </row>
    <row r="278" spans="2:2" x14ac:dyDescent="0.75">
      <c r="B278" s="14" t="str">
        <f>IF('Report-ConceptMap-2'!S118=0,"//---END",'Report-ConceptMap-2'!S118)</f>
        <v>* group[=].element[=].display = ##34#A.1.8.9 Version##34#</v>
      </c>
    </row>
    <row r="279" spans="2:2" x14ac:dyDescent="0.75">
      <c r="B279" s="14" t="str">
        <f>IF('Report-ConceptMap-2'!S119=0,"//---END",'Report-ConceptMap-2'!S119)</f>
        <v>* group[=].element[=].target.code = #Composition.extension:versionNumber</v>
      </c>
    </row>
    <row r="280" spans="2:2" x14ac:dyDescent="0.75">
      <c r="B280" s="14" t="str">
        <f>IF('Report-ConceptMap-2'!S120=0,"//---END",'Report-ConceptMap-2'!S120)</f>
        <v>* group[=].element[=].target.display = ##34###34#</v>
      </c>
    </row>
    <row r="281" spans="2:2" x14ac:dyDescent="0.75">
      <c r="B281" s="14" t="str">
        <f>IF('Report-ConceptMap-2'!S121=0,"//---END",'Report-ConceptMap-2'!S121)</f>
        <v>* group[=].element[=].target.equivalence = #equivalent</v>
      </c>
    </row>
    <row r="282" spans="2:2" x14ac:dyDescent="0.75">
      <c r="B282" s="14" t="str">
        <f>IF('Report-ConceptMap-2'!S122=0,"//---END",'Report-ConceptMap-2'!S122)</f>
        <v>* group[=].element[=].target.comment = ##34#if it refers to the business report version##34#</v>
      </c>
    </row>
    <row r="283" spans="2:2" x14ac:dyDescent="0.75">
      <c r="B283" s="14" t="str">
        <f>IF('Report-ConceptMap-2'!S123=0,"//---END",'Report-ConceptMap-2'!S123)</f>
        <v>* group[=].element[+].code = #LabReport.order</v>
      </c>
    </row>
    <row r="284" spans="2:2" x14ac:dyDescent="0.75">
      <c r="B284" s="14" t="str">
        <f>IF('Report-ConceptMap-2'!S124=0,"//---END",'Report-ConceptMap-2'!S124)</f>
        <v>* group[=].element[=].display = ##34#A.2-A.3 Order##34#</v>
      </c>
    </row>
    <row r="285" spans="2:2" x14ac:dyDescent="0.75">
      <c r="B285" s="14" t="str">
        <f>IF('Report-ConceptMap-2'!S125=0,"//---END",'Report-ConceptMap-2'!S125)</f>
        <v>* group[=].element[=].target.code = #Composition.extension:basedOn-order-or-requisition.insurance</v>
      </c>
    </row>
    <row r="286" spans="2:2" x14ac:dyDescent="0.75">
      <c r="B286" s="14" t="str">
        <f>IF('Report-ConceptMap-2'!S126=0,"//---END",'Report-ConceptMap-2'!S126)</f>
        <v>* group[=].element[=].target.display = ##34###34#</v>
      </c>
    </row>
    <row r="287" spans="2:2" x14ac:dyDescent="0.75">
      <c r="B287" s="14" t="str">
        <f>IF('Report-ConceptMap-2'!S127=0,"//---END",'Report-ConceptMap-2'!S127)</f>
        <v>* group[=].element[=].target.equivalence = #relatedto</v>
      </c>
    </row>
    <row r="288" spans="2:2" ht="29.5" x14ac:dyDescent="0.75">
      <c r="B288" s="14" t="str">
        <f>IF('Report-ConceptMap-2'!S128=0,"//---END",'Report-ConceptMap-2'!S128)</f>
        <v>* group[=].element[=].target.comment = ##34#extension(http://hl7.eu/fhir/laboratory/StructureDefinition/composition-basedOn-order-or-requisition).resolve().ofType(ServiceRequest)##34#</v>
      </c>
    </row>
    <row r="289" spans="2:2" x14ac:dyDescent="0.75">
      <c r="B289" s="14" t="str">
        <f>IF('Report-ConceptMap-2'!S129=0,"//---END",'Report-ConceptMap-2'!S129)</f>
        <v>* group[=].element[+].code = #LabReport.specimen</v>
      </c>
    </row>
    <row r="290" spans="2:2" x14ac:dyDescent="0.75">
      <c r="B290" s="14" t="str">
        <f>IF('Report-ConceptMap-2'!S130=0,"//---END",'Report-ConceptMap-2'!S130)</f>
        <v>* group[=].element[=].display = ##34#A.4 Specimen information##34#</v>
      </c>
    </row>
    <row r="291" spans="2:2" x14ac:dyDescent="0.75">
      <c r="B291" s="14" t="str">
        <f>IF('Report-ConceptMap-2'!S131=0,"//---END",'Report-ConceptMap-2'!S131)</f>
        <v>* group[=].element[=].target.code = #Composition.section:lab-no-subsections.entry.specimen</v>
      </c>
    </row>
    <row r="292" spans="2:2" x14ac:dyDescent="0.75">
      <c r="B292" s="14" t="str">
        <f>IF('Report-ConceptMap-2'!S132=0,"//---END",'Report-ConceptMap-2'!S132)</f>
        <v>* group[=].element[=].target.display = ##34###34#</v>
      </c>
    </row>
    <row r="293" spans="2:2" x14ac:dyDescent="0.75">
      <c r="B293" s="14" t="str">
        <f>IF('Report-ConceptMap-2'!S133=0,"//---END",'Report-ConceptMap-2'!S133)</f>
        <v>* group[=].element[=].target.equivalence = #relatedto</v>
      </c>
    </row>
    <row r="294" spans="2:2" x14ac:dyDescent="0.75">
      <c r="B294" s="14" t="str">
        <f>IF('Report-ConceptMap-2'!S134=0,"//---END",'Report-ConceptMap-2'!S134)</f>
        <v>* group[=].element[=].target.comment = ##34#If no sub sections##34#</v>
      </c>
    </row>
    <row r="295" spans="2:2" x14ac:dyDescent="0.75">
      <c r="B295" s="14" t="str">
        <f>IF('Report-ConceptMap-2'!S135=0,"//---END",'Report-ConceptMap-2'!S135)</f>
        <v>* group[=].element[+].code = #LabReport.result</v>
      </c>
    </row>
    <row r="296" spans="2:2" x14ac:dyDescent="0.75">
      <c r="B296" s="14" t="str">
        <f>IF('Report-ConceptMap-2'!S136=0,"//---END",'Report-ConceptMap-2'!S136)</f>
        <v>* group[=].element[=].display = ##34#A.5 Results data elements##34#</v>
      </c>
    </row>
    <row r="297" spans="2:2" x14ac:dyDescent="0.75">
      <c r="B297" s="14" t="str">
        <f>IF('Report-ConceptMap-2'!S137=0,"//---END",'Report-ConceptMap-2'!S137)</f>
        <v>* group[=].element[=].target.code = #Composition.section:lab-no-subsections.entry</v>
      </c>
    </row>
    <row r="298" spans="2:2" x14ac:dyDescent="0.75">
      <c r="B298" s="14" t="str">
        <f>IF('Report-ConceptMap-2'!S138=0,"//---END",'Report-ConceptMap-2'!S138)</f>
        <v>* group[=].element[=].target.display = ##34###34#</v>
      </c>
    </row>
    <row r="299" spans="2:2" x14ac:dyDescent="0.75">
      <c r="B299" s="14" t="str">
        <f>IF('Report-ConceptMap-2'!S139=0,"//---END",'Report-ConceptMap-2'!S139)</f>
        <v>* group[=].element[=].target.equivalence = #relatedto</v>
      </c>
    </row>
    <row r="300" spans="2:2" x14ac:dyDescent="0.75">
      <c r="B300" s="14" t="str">
        <f>IF('Report-ConceptMap-2'!S140=0,"//---END",'Report-ConceptMap-2'!S140)</f>
        <v>* group[=].element[=].target.comment = ##34#If no sub sections##34#</v>
      </c>
    </row>
    <row r="301" spans="2:2" x14ac:dyDescent="0.75">
      <c r="B301" s="14" t="str">
        <f>IF('Report-ConceptMap-2'!S141=0,"//---END",'Report-ConceptMap-2'!S141)</f>
        <v>* group[=].element[+].code = #LabReport.specimen</v>
      </c>
    </row>
    <row r="302" spans="2:2" x14ac:dyDescent="0.75">
      <c r="B302" s="14" t="str">
        <f>IF('Report-ConceptMap-2'!S142=0,"//---END",'Report-ConceptMap-2'!S142)</f>
        <v>* group[=].element[=].display = ##34#A.4 Specimen information##34#</v>
      </c>
    </row>
    <row r="303" spans="2:2" x14ac:dyDescent="0.75">
      <c r="B303" s="14" t="str">
        <f>IF('Report-ConceptMap-2'!S143=0,"//---END",'Report-ConceptMap-2'!S143)</f>
        <v>* group[=].element[=].target.code = #Composition.section:lab-subsections.section.entry.specimen</v>
      </c>
    </row>
    <row r="304" spans="2:2" x14ac:dyDescent="0.75">
      <c r="B304" s="14" t="str">
        <f>IF('Report-ConceptMap-2'!S144=0,"//---END",'Report-ConceptMap-2'!S144)</f>
        <v>* group[=].element[=].target.display = ##34###34#</v>
      </c>
    </row>
    <row r="305" spans="2:2" x14ac:dyDescent="0.75">
      <c r="B305" s="14" t="str">
        <f>IF('Report-ConceptMap-2'!S145=0,"//---END",'Report-ConceptMap-2'!S145)</f>
        <v>* group[=].element[=].target.equivalence = #relatedto</v>
      </c>
    </row>
    <row r="306" spans="2:2" x14ac:dyDescent="0.75">
      <c r="B306" s="14" t="str">
        <f>IF('Report-ConceptMap-2'!S146=0,"//---END",'Report-ConceptMap-2'!S146)</f>
        <v>* group[=].element[=].target.comment = ##34#If sub sections##34#</v>
      </c>
    </row>
    <row r="307" spans="2:2" x14ac:dyDescent="0.75">
      <c r="B307" s="14" t="str">
        <f>IF('Report-ConceptMap-2'!S147=0,"//---END",'Report-ConceptMap-2'!S147)</f>
        <v>* group[=].element[+].code = #LabReport.result</v>
      </c>
    </row>
    <row r="308" spans="2:2" x14ac:dyDescent="0.75">
      <c r="B308" s="14" t="str">
        <f>IF('Report-ConceptMap-2'!S148=0,"//---END",'Report-ConceptMap-2'!S148)</f>
        <v>* group[=].element[=].display = ##34#A.5 Results data elements##34#</v>
      </c>
    </row>
    <row r="309" spans="2:2" x14ac:dyDescent="0.75">
      <c r="B309" s="14" t="str">
        <f>IF('Report-ConceptMap-2'!S149=0,"//---END",'Report-ConceptMap-2'!S149)</f>
        <v>* group[=].element[=].target.code = #Composition.section:lab-subsections.section.entry</v>
      </c>
    </row>
    <row r="310" spans="2:2" x14ac:dyDescent="0.75">
      <c r="B310" s="14" t="str">
        <f>IF('Report-ConceptMap-2'!S150=0,"//---END",'Report-ConceptMap-2'!S150)</f>
        <v>* group[=].element[=].target.display = ##34###34#</v>
      </c>
    </row>
    <row r="311" spans="2:2" x14ac:dyDescent="0.75">
      <c r="B311" s="14" t="str">
        <f>IF('Report-ConceptMap-2'!S151=0,"//---END",'Report-ConceptMap-2'!S151)</f>
        <v>* group[=].element[=].target.equivalence = #relatedto</v>
      </c>
    </row>
    <row r="312" spans="2:2" x14ac:dyDescent="0.75">
      <c r="B312" s="14" t="str">
        <f>IF('Report-ConceptMap-2'!S152=0,"//---END",'Report-ConceptMap-2'!S152)</f>
        <v>* group[=].element[=].target.comment = ##34#If sub sections##34#</v>
      </c>
    </row>
    <row r="313" spans="2:2" x14ac:dyDescent="0.75">
      <c r="B313" s="14" t="str">
        <f>IF('Report-ConceptMap-2'!S153=0,"//---END",'Report-ConceptMap-2'!S153)</f>
        <v>//---END</v>
      </c>
    </row>
    <row r="314" spans="2:2" x14ac:dyDescent="0.75">
      <c r="B314" s="14" t="str">
        <f>IF('Report-ConceptMap-2'!S154=0,"//---END",'Report-ConceptMap-2'!S154)</f>
        <v>//---END</v>
      </c>
    </row>
    <row r="315" spans="2:2" x14ac:dyDescent="0.75">
      <c r="B315" s="14" t="str">
        <f>IF('Report-ConceptMap-2'!S155=0,"//---END",'Report-ConceptMap-2'!S155)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866</v>
      </c>
      <c r="I6" s="26" t="str">
        <f>CONCATENATE("Title: ##34#",B6,"##34#")</f>
        <v>Title: ##34#A1.1, A1.2 - Subject of care##34#</v>
      </c>
    </row>
    <row r="7" spans="1:11" ht="15.5" thickBot="1" x14ac:dyDescent="0.9">
      <c r="A7" s="20" t="s">
        <v>5</v>
      </c>
      <c r="B7" s="21" t="s">
        <v>868</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7" t="s">
        <v>57</v>
      </c>
      <c r="D28" s="107" t="s">
        <v>58</v>
      </c>
      <c r="E28" s="40" t="s">
        <v>59</v>
      </c>
      <c r="F28" s="110"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8"/>
      <c r="D29" s="108"/>
      <c r="E29" s="41"/>
      <c r="F29" s="111"/>
      <c r="I29" s="1" t="str">
        <f t="shared" si="2"/>
        <v xml:space="preserve"> - Preferred system(s): </v>
      </c>
    </row>
    <row r="30" spans="2:9" ht="30.25" customHeight="1" thickBot="1" x14ac:dyDescent="0.9">
      <c r="B30" t="str">
        <f t="shared" si="1"/>
        <v xml:space="preserve"> </v>
      </c>
      <c r="C30" s="109"/>
      <c r="D30" s="109"/>
      <c r="E30" s="37" t="s">
        <v>61</v>
      </c>
      <c r="F30" s="112"/>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13" t="s">
        <v>318</v>
      </c>
      <c r="D31" s="114"/>
      <c r="E31" s="114"/>
      <c r="F31" s="115"/>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812</v>
      </c>
      <c r="D3" s="73" t="s">
        <v>644</v>
      </c>
      <c r="E3" s="122" t="s">
        <v>660</v>
      </c>
      <c r="F3" s="122"/>
      <c r="G3" s="122"/>
    </row>
    <row r="4" spans="1:19" x14ac:dyDescent="0.75">
      <c r="B4" s="73" t="s">
        <v>19</v>
      </c>
      <c r="C4" s="54" t="s">
        <v>811</v>
      </c>
      <c r="D4" s="73" t="s">
        <v>645</v>
      </c>
      <c r="E4" s="123" t="s">
        <v>661</v>
      </c>
      <c r="F4" s="122"/>
      <c r="G4" s="122"/>
    </row>
    <row r="5" spans="1:19" x14ac:dyDescent="0.75">
      <c r="B5" s="73" t="s">
        <v>13</v>
      </c>
      <c r="C5" s="10" t="s">
        <v>669</v>
      </c>
      <c r="D5" s="73"/>
      <c r="E5" s="10"/>
    </row>
    <row r="6" spans="1:19" x14ac:dyDescent="0.75">
      <c r="B6" s="73" t="s">
        <v>35</v>
      </c>
      <c r="C6" s="72" t="s">
        <v>634</v>
      </c>
      <c r="D6" s="73" t="s">
        <v>641</v>
      </c>
      <c r="E6" s="122" t="s">
        <v>660</v>
      </c>
      <c r="F6" s="122"/>
      <c r="G6" s="122"/>
    </row>
    <row r="7" spans="1:19" x14ac:dyDescent="0.75">
      <c r="B7" s="73" t="s">
        <v>18</v>
      </c>
      <c r="C7" s="80" t="s">
        <v>637</v>
      </c>
      <c r="D7" s="73" t="s">
        <v>642</v>
      </c>
      <c r="E7" s="123" t="s">
        <v>661</v>
      </c>
      <c r="F7" s="122"/>
      <c r="G7" s="122"/>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878</v>
      </c>
      <c r="I6" s="26" t="str">
        <f>CONCATENATE("Title: ##34#",B6,"##34#")</f>
        <v>Title: ##34#A.1.3 - Health insurance and payment information##34#</v>
      </c>
    </row>
    <row r="7" spans="1:11" ht="15.5" customHeight="1" thickBot="1" x14ac:dyDescent="0.9">
      <c r="A7" s="20" t="s">
        <v>5</v>
      </c>
      <c r="B7" s="21" t="s">
        <v>869</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13" t="s">
        <v>325</v>
      </c>
      <c r="D23" s="114"/>
      <c r="E23" s="114"/>
      <c r="F23" s="115"/>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860</v>
      </c>
      <c r="D4" s="73" t="s">
        <v>645</v>
      </c>
      <c r="E4" s="123" t="s">
        <v>801</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672</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769</v>
      </c>
      <c r="I14" s="14"/>
      <c r="J14" s="9"/>
      <c r="K14" s="9"/>
      <c r="L14" s="9"/>
      <c r="M14" s="71"/>
      <c r="N14" s="74"/>
    </row>
    <row r="15" spans="1:19" ht="73.75" x14ac:dyDescent="0.75">
      <c r="A15" s="23"/>
      <c r="B15" s="9" t="str">
        <f>'A1.3 Payer'!B8</f>
        <v>insurance</v>
      </c>
      <c r="C15" s="9" t="str">
        <f>'A1.3 Payer'!C8</f>
        <v>A.1.3.1 Health insurance information</v>
      </c>
      <c r="D15" s="14" t="s">
        <v>340</v>
      </c>
      <c r="E15" s="62"/>
      <c r="F15" s="75" t="s">
        <v>619</v>
      </c>
      <c r="G15" s="9" t="s">
        <v>938</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939</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939</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939</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A9" workbookViewId="0">
      <selection activeCell="G21" sqref="G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860</v>
      </c>
      <c r="D4" s="73" t="s">
        <v>645</v>
      </c>
      <c r="E4" s="123" t="s">
        <v>801</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940</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769</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770</v>
      </c>
      <c r="E16" s="9"/>
      <c r="F16" s="75" t="s">
        <v>618</v>
      </c>
      <c r="G16" s="9" t="s">
        <v>941</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771</v>
      </c>
      <c r="E17" s="9"/>
      <c r="F17" s="75" t="s">
        <v>618</v>
      </c>
      <c r="G17" s="9" t="s">
        <v>941</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772</v>
      </c>
      <c r="E18" s="9"/>
      <c r="F18" s="75" t="s">
        <v>618</v>
      </c>
      <c r="G18" s="75" t="s">
        <v>964</v>
      </c>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group[=].element[=].target.comment = ##34#If it refers to the owner of the policy##34#</v>
      </c>
      <c r="P18" s="9">
        <v>4</v>
      </c>
      <c r="Q18" s="9">
        <f t="shared" si="9"/>
        <v>0</v>
      </c>
      <c r="R18" s="9">
        <f t="shared" si="10"/>
        <v>4</v>
      </c>
      <c r="S18" s="14" t="str" cm="1">
        <f t="array" ref="S18">INDEX('Payer-ConceptMap-2'!$I$15:$N$270,Q18+1,R18)</f>
        <v>* group[=].element[=].target.display = ##34###34#</v>
      </c>
    </row>
    <row r="19" spans="1:19" ht="59" x14ac:dyDescent="0.75">
      <c r="A19" s="23"/>
      <c r="B19" s="9" t="str">
        <f>'A1.3 Payer'!$B$11</f>
        <v>insurance.subjectIdentifier</v>
      </c>
      <c r="C19" s="9" t="str">
        <f>'A1.3 Payer'!$C$11</f>
        <v>A.1.3.1.3 Health insurance number</v>
      </c>
      <c r="D19" s="9" t="s">
        <v>773</v>
      </c>
      <c r="E19" s="9"/>
      <c r="F19" s="75" t="s">
        <v>618</v>
      </c>
      <c r="G19" s="75" t="s">
        <v>965</v>
      </c>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group[=].element[=].target.comment = ##34#If it refers to the plan beneficiary##34#</v>
      </c>
      <c r="P19" s="9">
        <v>5</v>
      </c>
      <c r="Q19" s="9">
        <f t="shared" si="9"/>
        <v>0</v>
      </c>
      <c r="R19" s="9">
        <f t="shared" si="10"/>
        <v>5</v>
      </c>
      <c r="S19" s="14" t="str" cm="1">
        <f t="array" ref="S19">INDEX('Payer-ConceptMap-2'!$I$15:$N$270,Q19+1,R19)</f>
        <v>* group[=].element[=].target.equivalence = #relatedto</v>
      </c>
    </row>
    <row r="20" spans="1:19" ht="59" x14ac:dyDescent="0.75">
      <c r="A20" s="23"/>
      <c r="B20" s="9" t="str">
        <f>'A1.3 Payer'!$B$11</f>
        <v>insurance.subjectIdentifier</v>
      </c>
      <c r="C20" s="9" t="str">
        <f>'A1.3 Payer'!$C$11</f>
        <v>A.1.3.1.3 Health insurance number</v>
      </c>
      <c r="D20" s="9" t="s">
        <v>674</v>
      </c>
      <c r="E20" s="9"/>
      <c r="F20" s="75" t="s">
        <v>618</v>
      </c>
      <c r="G20" s="75" t="s">
        <v>967</v>
      </c>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group[=].element[=].target.comment = ##34#If it is the ID assigned to the subscriber##34#</v>
      </c>
      <c r="P20" s="9">
        <v>6</v>
      </c>
      <c r="Q20" s="9">
        <f t="shared" si="9"/>
        <v>0</v>
      </c>
      <c r="R20" s="9">
        <f t="shared" si="10"/>
        <v>6</v>
      </c>
      <c r="S20" s="14" t="str" cm="1">
        <f t="array" ref="S20">INDEX('Payer-ConceptMap-2'!$I$15:$N$270,Q20+1,R20)</f>
        <v/>
      </c>
    </row>
    <row r="21" spans="1:19" ht="88.5" x14ac:dyDescent="0.75">
      <c r="A21" s="23"/>
      <c r="B21" s="9" t="str">
        <f>'A1.3 Payer'!$B$11</f>
        <v>insurance.subjectIdentifier</v>
      </c>
      <c r="C21" s="9" t="str">
        <f>'A1.3 Payer'!$C$11</f>
        <v>A.1.3.1.3 Health insurance number</v>
      </c>
      <c r="D21" s="9" t="s">
        <v>774</v>
      </c>
      <c r="E21" s="9"/>
      <c r="F21" s="75" t="s">
        <v>618</v>
      </c>
      <c r="G21" s="82" t="s">
        <v>966</v>
      </c>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group[=].element[=].target.comment = ##34#If it refers to the subscriber to the policy and the Subscriber is of type Patient##34#</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ht="29.5"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group[=].element[=].target.comment = ##34#If it refers to the owner of the policy##34#</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ht="29.5"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group[=].element[=].target.comment = ##34#If it refers to the plan beneficiary##34#</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ht="29.5" x14ac:dyDescent="0.75">
      <c r="F50" s="76"/>
      <c r="G50" s="76"/>
      <c r="H50" s="76"/>
      <c r="J50" s="76"/>
      <c r="K50" s="76"/>
      <c r="L50" s="76"/>
      <c r="M50" s="76"/>
      <c r="N50" s="76"/>
      <c r="P50" s="9">
        <v>36</v>
      </c>
      <c r="Q50" s="9">
        <f t="shared" si="9"/>
        <v>5</v>
      </c>
      <c r="R50" s="9">
        <f t="shared" si="10"/>
        <v>6</v>
      </c>
      <c r="S50" s="14" t="str" cm="1">
        <f t="array" ref="S50">INDEX('Payer-ConceptMap-2'!$I$15:$N$270,Q50+1,R50)</f>
        <v>* group[=].element[=].target.comment = ##34#If it is the ID assigned to the subscriber##34#</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ht="29.5" x14ac:dyDescent="0.75">
      <c r="P56" s="9">
        <v>42</v>
      </c>
      <c r="Q56" s="9">
        <f t="shared" si="9"/>
        <v>6</v>
      </c>
      <c r="R56" s="9">
        <f t="shared" si="10"/>
        <v>6</v>
      </c>
      <c r="S56" s="14" t="str" cm="1">
        <f t="array" ref="S56">INDEX('Payer-ConceptMap-2'!$I$15:$N$270,Q56+1,R56)</f>
        <v>* group[=].element[=].target.comment = ##34#If it refers to the subscriber to the policy and the Subscriber is of type Patient##34#</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4" t="str">
        <f>'Payer-ConceptMap-1'!E3</f>
        <v>http://hl7.eu/fhir/laboratory/StructureDefinition/Payer</v>
      </c>
      <c r="F3" s="125"/>
      <c r="G3" s="125"/>
    </row>
    <row r="4" spans="1:19" x14ac:dyDescent="0.75">
      <c r="B4" s="73" t="s">
        <v>19</v>
      </c>
      <c r="C4" s="54" t="str">
        <f>'Payer-ConceptMap-1'!C4</f>
        <v>payer2FHIR-eu-lab</v>
      </c>
      <c r="D4" s="73" t="s">
        <v>645</v>
      </c>
      <c r="E4" s="123" t="str">
        <f>'Payer-ConceptMap-1'!E4</f>
        <v>http://hl7.eu/fhir/laboratory/StructureDefinition/Bundle-eu-lab</v>
      </c>
      <c r="F4" s="122"/>
      <c r="G4" s="122"/>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3" t="str">
        <f>E3</f>
        <v>http://hl7.eu/fhir/laboratory/StructureDefinition/Payer</v>
      </c>
      <c r="F6" s="122"/>
      <c r="G6" s="122"/>
    </row>
    <row r="7" spans="1:19" x14ac:dyDescent="0.75">
      <c r="B7" s="73" t="s">
        <v>18</v>
      </c>
      <c r="C7" s="80" t="str">
        <f>'Payer-ConceptMap-1'!C7</f>
        <v>http://hl7.eu/fhir/laboratory</v>
      </c>
      <c r="D7" s="73" t="s">
        <v>642</v>
      </c>
      <c r="E7" s="123" t="s">
        <v>661</v>
      </c>
      <c r="F7" s="122"/>
      <c r="G7" s="122"/>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881</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group[=].element[=].target.comment = ##34#If it refers to the owner of the policy##34#</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group[=].element[=].target.comment = ##34#If it refers to the plan beneficiary##34#</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group[=].element[=].target.comment = ##34#If it is the ID assigned to the subscriber##34#</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group[=].element[=].target.comment = ##34#If it refers to the subscriber to the policy and the Subscriber is of type Patient##34#</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859</v>
      </c>
      <c r="I6" s="26" t="str">
        <f>CONCATENATE("Title: ##34#",B6,"##34#")</f>
        <v>Title: ##34#A.1.4 - Information recipient##34#</v>
      </c>
    </row>
    <row r="7" spans="1:11" ht="59" x14ac:dyDescent="0.75">
      <c r="A7" s="46" t="s">
        <v>5</v>
      </c>
      <c r="B7" s="58" t="s">
        <v>870</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849</v>
      </c>
      <c r="D11" s="60" t="s">
        <v>850</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854</v>
      </c>
      <c r="C12" s="9" t="s">
        <v>851</v>
      </c>
      <c r="D12" s="14" t="s">
        <v>852</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853</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13" t="s">
        <v>326</v>
      </c>
      <c r="D26" s="114"/>
      <c r="E26" s="114"/>
      <c r="F26" s="115"/>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842</v>
      </c>
      <c r="D30" s="1" t="s">
        <v>64</v>
      </c>
      <c r="E30" s="1" t="s">
        <v>846</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843</v>
      </c>
      <c r="D31" t="s">
        <v>845</v>
      </c>
      <c r="E31" s="1" t="s">
        <v>847</v>
      </c>
      <c r="F31" t="s">
        <v>848</v>
      </c>
      <c r="H31" t="str">
        <f t="shared" ref="H31:H32" si="4">C31&amp;" "&amp;D31</f>
        <v>A.1.4.5 Country</v>
      </c>
      <c r="I31" s="1" t="str">
        <f t="shared" si="3"/>
        <v>Country of the recipient. - Preferred system(s): ISO 3166</v>
      </c>
    </row>
    <row r="32" spans="2:9" ht="192.5" thickBot="1" x14ac:dyDescent="0.9">
      <c r="C32" s="36" t="s">
        <v>844</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1" sqref="C1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888</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889</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890</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891</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892</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3" t="s">
        <v>680</v>
      </c>
      <c r="F3" s="122"/>
      <c r="G3" s="122"/>
    </row>
    <row r="4" spans="1:19" x14ac:dyDescent="0.75">
      <c r="B4" s="73" t="s">
        <v>19</v>
      </c>
      <c r="C4" s="54" t="s">
        <v>861</v>
      </c>
      <c r="D4" s="73" t="s">
        <v>645</v>
      </c>
      <c r="E4" s="84" t="s">
        <v>683</v>
      </c>
    </row>
    <row r="5" spans="1:19" x14ac:dyDescent="0.75">
      <c r="B5" s="73" t="s">
        <v>13</v>
      </c>
      <c r="C5" s="10" t="s">
        <v>679</v>
      </c>
      <c r="D5" s="73"/>
      <c r="E5" s="10"/>
    </row>
    <row r="6" spans="1:19" x14ac:dyDescent="0.75">
      <c r="B6" s="73" t="s">
        <v>35</v>
      </c>
      <c r="C6" s="72" t="s">
        <v>680</v>
      </c>
      <c r="D6" s="73" t="s">
        <v>641</v>
      </c>
      <c r="E6" s="123" t="s">
        <v>680</v>
      </c>
      <c r="F6" s="122"/>
      <c r="G6" s="122"/>
    </row>
    <row r="7" spans="1:19" x14ac:dyDescent="0.75">
      <c r="B7" s="73" t="s">
        <v>18</v>
      </c>
      <c r="C7" s="80" t="s">
        <v>637</v>
      </c>
      <c r="D7" s="73" t="s">
        <v>642</v>
      </c>
      <c r="E7" s="123" t="s">
        <v>683</v>
      </c>
      <c r="F7" s="122"/>
      <c r="G7" s="122"/>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764</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775</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776</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777</v>
      </c>
      <c r="E17" s="9"/>
      <c r="F17" s="75" t="s">
        <v>618</v>
      </c>
      <c r="G17" s="82" t="s">
        <v>942</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778</v>
      </c>
      <c r="E18" s="9"/>
      <c r="F18" s="75" t="s">
        <v>618</v>
      </c>
      <c r="G18" s="82" t="s">
        <v>958</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927</v>
      </c>
      <c r="E19" s="9"/>
      <c r="F19" s="75" t="s">
        <v>618</v>
      </c>
      <c r="G19" s="82" t="s">
        <v>959</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943</v>
      </c>
      <c r="E20" s="9"/>
      <c r="F20" s="75" t="s">
        <v>618</v>
      </c>
      <c r="G20" s="82" t="s">
        <v>959</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928</v>
      </c>
      <c r="E21" s="9"/>
      <c r="F21" s="75" t="s">
        <v>618</v>
      </c>
      <c r="G21" s="82" t="s">
        <v>959</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855</v>
      </c>
      <c r="E22" s="9"/>
      <c r="F22" s="75" t="s">
        <v>619</v>
      </c>
      <c r="G22" s="82" t="s">
        <v>960</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944</v>
      </c>
      <c r="E23" s="9"/>
      <c r="F23" s="75" t="s">
        <v>619</v>
      </c>
      <c r="G23" s="82" t="s">
        <v>960</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856</v>
      </c>
      <c r="E24" s="9"/>
      <c r="F24" s="75" t="s">
        <v>619</v>
      </c>
      <c r="G24" s="82" t="s">
        <v>960</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99"/>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877</v>
      </c>
      <c r="I6" s="26" t="str">
        <f>CONCATENATE("Title: ##34#",B6,"##34#")</f>
        <v>Title: ##34#A.1.5 - Author##34#</v>
      </c>
    </row>
    <row r="7" spans="1:11" ht="45" customHeight="1" x14ac:dyDescent="0.75">
      <c r="A7" s="46" t="s">
        <v>5</v>
      </c>
      <c r="B7" s="58" t="s">
        <v>871</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93</v>
      </c>
      <c r="D26" s="114"/>
      <c r="E26" s="114"/>
      <c r="F26" s="115"/>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893</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894</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895</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896</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805</v>
      </c>
      <c r="D3" s="73" t="s">
        <v>644</v>
      </c>
      <c r="E3" s="84" t="s">
        <v>689</v>
      </c>
    </row>
    <row r="4" spans="1:19" x14ac:dyDescent="0.75">
      <c r="B4" s="73" t="s">
        <v>19</v>
      </c>
      <c r="C4" s="54" t="s">
        <v>804</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3" t="s">
        <v>648</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785</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786</v>
      </c>
      <c r="E16" s="9"/>
      <c r="F16" s="75" t="s">
        <v>618</v>
      </c>
      <c r="G16" s="99" t="s">
        <v>931</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901</v>
      </c>
      <c r="E17" s="9"/>
      <c r="F17" s="75" t="s">
        <v>618</v>
      </c>
      <c r="G17" s="14" t="s">
        <v>932</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3"/>
      <c r="B18" s="9" t="str">
        <f>'A1.5 Author'!B9</f>
        <v>name</v>
      </c>
      <c r="C18" s="9" t="str">
        <f>'A1.5 Author'!C9</f>
        <v>A.1.5.2 Author name</v>
      </c>
      <c r="D18" s="14" t="s">
        <v>929</v>
      </c>
      <c r="E18" s="9"/>
      <c r="F18" s="75" t="s">
        <v>618</v>
      </c>
      <c r="G18" s="82" t="s">
        <v>954</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787</v>
      </c>
      <c r="E19" s="9"/>
      <c r="F19" s="75" t="s">
        <v>618</v>
      </c>
      <c r="G19" s="14" t="s">
        <v>933</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3"/>
      <c r="B20" s="9" t="str">
        <f>'A1.5 Author'!B10</f>
        <v>organization</v>
      </c>
      <c r="C20" s="9" t="str">
        <f>'A1.5 Author'!C10</f>
        <v>A.1.5.3 Author organization</v>
      </c>
      <c r="D20" s="14" t="s">
        <v>930</v>
      </c>
      <c r="E20" s="9"/>
      <c r="F20" s="75" t="s">
        <v>618</v>
      </c>
      <c r="G20" s="82" t="s">
        <v>954</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805</v>
      </c>
      <c r="D3" s="73" t="s">
        <v>644</v>
      </c>
      <c r="E3" s="84" t="s">
        <v>689</v>
      </c>
    </row>
    <row r="4" spans="1:19" x14ac:dyDescent="0.75">
      <c r="B4" s="73" t="s">
        <v>19</v>
      </c>
      <c r="C4" s="54" t="s">
        <v>804</v>
      </c>
      <c r="D4" s="73" t="s">
        <v>645</v>
      </c>
      <c r="E4" s="123" t="s">
        <v>801</v>
      </c>
      <c r="F4" s="122"/>
      <c r="G4" s="122"/>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779</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782</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780</v>
      </c>
      <c r="E17" s="9"/>
      <c r="F17" s="75" t="s">
        <v>619</v>
      </c>
      <c r="G17" s="82" t="s">
        <v>934</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953</v>
      </c>
      <c r="E18" s="9"/>
      <c r="F18" s="75" t="s">
        <v>619</v>
      </c>
      <c r="G18" s="82" t="s">
        <v>935</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783</v>
      </c>
      <c r="E19" s="9"/>
      <c r="F19" s="75" t="s">
        <v>619</v>
      </c>
      <c r="G19" s="82" t="s">
        <v>936</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3"/>
      <c r="B20" s="9" t="str">
        <f>'A1.5 Author'!B9</f>
        <v>name</v>
      </c>
      <c r="C20" s="9" t="str">
        <f>'A1.5 Author'!C9</f>
        <v>A.1.5.2 Author name</v>
      </c>
      <c r="D20" s="14" t="s">
        <v>898</v>
      </c>
      <c r="E20" s="9"/>
      <c r="F20" s="75" t="s">
        <v>619</v>
      </c>
      <c r="G20" s="82" t="s">
        <v>937</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3"/>
      <c r="B21" s="9" t="str">
        <f>'A1.5 Author'!B10</f>
        <v>organization</v>
      </c>
      <c r="C21" s="9" t="str">
        <f>'A1.5 Author'!C10</f>
        <v>A.1.5.3 Author organization</v>
      </c>
      <c r="D21" s="14" t="s">
        <v>781</v>
      </c>
      <c r="E21" s="9"/>
      <c r="F21" s="75" t="s">
        <v>619</v>
      </c>
      <c r="G21" s="82" t="s">
        <v>935</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784</v>
      </c>
      <c r="E22" s="9"/>
      <c r="F22" s="75" t="s">
        <v>619</v>
      </c>
      <c r="G22" s="82" t="s">
        <v>937</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746</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782</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783</v>
      </c>
      <c r="E17" s="9"/>
      <c r="F17" s="75" t="s">
        <v>619</v>
      </c>
      <c r="G17" s="75" t="s">
        <v>897</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898</v>
      </c>
      <c r="E18" s="9"/>
      <c r="F18" s="75" t="s">
        <v>619</v>
      </c>
      <c r="G18" s="75" t="s">
        <v>899</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784</v>
      </c>
      <c r="E19" s="9"/>
      <c r="F19" s="75" t="s">
        <v>619</v>
      </c>
      <c r="G19" s="75" t="s">
        <v>900</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879</v>
      </c>
      <c r="I6" s="26" t="str">
        <f>CONCATENATE("Title: ##34#",B6,"##34#")</f>
        <v>Title: ##34#A.1.6 - Legal authenticator##34#</v>
      </c>
    </row>
    <row r="7" spans="1:11" ht="44.25" x14ac:dyDescent="0.75">
      <c r="A7" s="46" t="s">
        <v>5</v>
      </c>
      <c r="B7" s="58" t="s">
        <v>872</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102</v>
      </c>
      <c r="D26" s="114"/>
      <c r="E26" s="114"/>
      <c r="F26" s="115"/>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902</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903</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904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905</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893</v>
      </c>
    </row>
    <row r="31" spans="1:15" x14ac:dyDescent="0.75">
      <c r="C31" s="9" t="s">
        <v>894</v>
      </c>
      <c r="E31" s="22"/>
    </row>
    <row r="32" spans="1:15" x14ac:dyDescent="0.75">
      <c r="C32" s="9" t="s">
        <v>895</v>
      </c>
    </row>
    <row r="33" spans="3:3" x14ac:dyDescent="0.75">
      <c r="C33" s="9" t="s">
        <v>896</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3" t="str">
        <f>"http://hl7.eu/fhir/laboratory/StructureDefinition/"&amp;'A1.6 LegalAuth'!B5</f>
        <v>http://hl7.eu/fhir/laboratory/StructureDefinition/LegalAuthenticator</v>
      </c>
      <c r="F3" s="122"/>
      <c r="G3" s="122"/>
    </row>
    <row r="4" spans="1:19" x14ac:dyDescent="0.75">
      <c r="B4" s="73" t="s">
        <v>19</v>
      </c>
      <c r="C4" s="54" t="s">
        <v>862</v>
      </c>
      <c r="D4" s="73" t="s">
        <v>645</v>
      </c>
      <c r="E4" s="123" t="s">
        <v>648</v>
      </c>
      <c r="F4" s="122"/>
      <c r="G4" s="122"/>
    </row>
    <row r="5" spans="1:19" x14ac:dyDescent="0.75">
      <c r="B5" s="73" t="s">
        <v>13</v>
      </c>
      <c r="C5" s="10" t="s">
        <v>679</v>
      </c>
      <c r="D5" s="73"/>
      <c r="E5" s="10"/>
    </row>
    <row r="6" spans="1:19" x14ac:dyDescent="0.75">
      <c r="B6" s="73" t="s">
        <v>35</v>
      </c>
      <c r="C6" s="72"/>
      <c r="D6" s="73" t="s">
        <v>641</v>
      </c>
      <c r="E6" s="123" t="str">
        <f>E3</f>
        <v>http://hl7.eu/fhir/laboratory/StructureDefinition/LegalAuthenticator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788</v>
      </c>
      <c r="E15" s="9"/>
      <c r="F15" s="75" t="s">
        <v>618</v>
      </c>
      <c r="G15" t="s">
        <v>789</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790</v>
      </c>
      <c r="E16" s="9"/>
      <c r="F16" s="75" t="s">
        <v>618</v>
      </c>
      <c r="G16" s="14" t="s">
        <v>906</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907</v>
      </c>
      <c r="E17" s="9"/>
      <c r="F17" s="75" t="s">
        <v>618</v>
      </c>
      <c r="G17" s="14" t="s">
        <v>908</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791</v>
      </c>
      <c r="E18" s="9"/>
      <c r="F18" s="75" t="s">
        <v>618</v>
      </c>
      <c r="G18" s="14" t="s">
        <v>909</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792</v>
      </c>
      <c r="E19" s="9"/>
      <c r="F19" s="75" t="s">
        <v>618</v>
      </c>
      <c r="G19" s="14" t="s">
        <v>793</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880</v>
      </c>
      <c r="I6" s="26" t="str">
        <f>CONCATENATE("Title: ##34#",B6,"##34#")</f>
        <v>Title: ##34#A.1.7 - Result validator##34#</v>
      </c>
    </row>
    <row r="7" spans="1:11" x14ac:dyDescent="0.75">
      <c r="A7" s="46" t="s">
        <v>5</v>
      </c>
      <c r="B7" s="58" t="s">
        <v>873</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114</v>
      </c>
      <c r="D26" s="114"/>
      <c r="E26" s="114"/>
      <c r="F26" s="115"/>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902</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903</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904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905</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3" t="str">
        <f>"http://hl7.eu/fhir/laboratory/StructureDefinition/"&amp;'A1.7 Validator'!B5</f>
        <v>http://hl7.eu/fhir/laboratory/StructureDefinition/Validator</v>
      </c>
      <c r="F3" s="122"/>
      <c r="G3" s="122"/>
    </row>
    <row r="4" spans="1:19" x14ac:dyDescent="0.75">
      <c r="B4" s="73" t="s">
        <v>19</v>
      </c>
      <c r="C4" s="54" t="s">
        <v>863</v>
      </c>
      <c r="D4" s="73" t="s">
        <v>645</v>
      </c>
      <c r="E4" s="123" t="s">
        <v>648</v>
      </c>
      <c r="F4" s="122"/>
      <c r="G4" s="122"/>
    </row>
    <row r="5" spans="1:19" x14ac:dyDescent="0.75">
      <c r="B5" s="73" t="s">
        <v>13</v>
      </c>
      <c r="C5" s="10" t="s">
        <v>696</v>
      </c>
      <c r="D5" s="73"/>
      <c r="E5" s="10"/>
    </row>
    <row r="6" spans="1:19" x14ac:dyDescent="0.75">
      <c r="B6" s="73" t="s">
        <v>35</v>
      </c>
      <c r="C6" s="72"/>
      <c r="D6" s="73" t="s">
        <v>641</v>
      </c>
      <c r="E6" s="123" t="str">
        <f>E3</f>
        <v>http://hl7.eu/fhir/laboratory/StructureDefinition/Validator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788</v>
      </c>
      <c r="E15" s="14"/>
      <c r="F15" s="75" t="s">
        <v>618</v>
      </c>
      <c r="G15" t="s">
        <v>794</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790</v>
      </c>
      <c r="E16" s="14"/>
      <c r="F16" s="75" t="s">
        <v>618</v>
      </c>
      <c r="G16" s="14" t="s">
        <v>910</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907</v>
      </c>
      <c r="E17" s="14"/>
      <c r="F17" s="75" t="s">
        <v>618</v>
      </c>
      <c r="G17" s="14" t="s">
        <v>911</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791</v>
      </c>
      <c r="E18" s="14"/>
      <c r="F18" s="75" t="s">
        <v>618</v>
      </c>
      <c r="G18" s="14" t="s">
        <v>912</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792</v>
      </c>
      <c r="E19" s="9"/>
      <c r="F19" s="75" t="s">
        <v>618</v>
      </c>
      <c r="G19" s="14" t="s">
        <v>795</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874</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6" t="s">
        <v>144</v>
      </c>
      <c r="D26" s="117"/>
      <c r="E26" s="117"/>
      <c r="F26" s="118"/>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9" t="s">
        <v>162</v>
      </c>
      <c r="D33" s="120"/>
      <c r="E33" s="120"/>
      <c r="F33" s="121"/>
    </row>
    <row r="34" spans="2:9" ht="80" x14ac:dyDescent="0.75">
      <c r="B34" t="str">
        <f t="shared" si="1"/>
        <v>A.3.1 Problem / diagnosis / condition description</v>
      </c>
      <c r="C34" s="107" t="s">
        <v>163</v>
      </c>
      <c r="D34" s="107" t="s">
        <v>164</v>
      </c>
      <c r="E34" s="107"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8"/>
      <c r="D35" s="108"/>
      <c r="E35" s="108"/>
      <c r="F35" s="43" t="s">
        <v>167</v>
      </c>
      <c r="I35" s="1" t="str">
        <f t="shared" si="2"/>
        <v xml:space="preserve"> - Preferred system(s): SNOMED CT</v>
      </c>
    </row>
    <row r="36" spans="2:9" ht="32.75" thickBot="1" x14ac:dyDescent="0.9">
      <c r="C36" s="109"/>
      <c r="D36" s="109"/>
      <c r="E36" s="109"/>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913</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914</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915</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916</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917</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918</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864</v>
      </c>
      <c r="D4" s="73" t="s">
        <v>645</v>
      </c>
      <c r="E4" s="122" t="s">
        <v>672</v>
      </c>
      <c r="F4" s="122"/>
      <c r="G4" s="122"/>
    </row>
    <row r="5" spans="1:19" x14ac:dyDescent="0.75">
      <c r="B5" s="73" t="s">
        <v>13</v>
      </c>
      <c r="C5" s="10" t="s">
        <v>707</v>
      </c>
      <c r="D5" s="73"/>
      <c r="E5" s="10"/>
    </row>
    <row r="6" spans="1:19" x14ac:dyDescent="0.75">
      <c r="B6" s="73" t="s">
        <v>35</v>
      </c>
      <c r="C6" s="72" t="s">
        <v>634</v>
      </c>
      <c r="D6" s="73" t="s">
        <v>641</v>
      </c>
      <c r="E6" s="122" t="str">
        <f>E3</f>
        <v>http://hl7.eu/fhir/laboratory/StructureDefinition/Order</v>
      </c>
      <c r="F6" s="122"/>
      <c r="G6" s="122"/>
    </row>
    <row r="7" spans="1:19" x14ac:dyDescent="0.75">
      <c r="B7" s="73" t="s">
        <v>18</v>
      </c>
      <c r="C7" s="80" t="s">
        <v>637</v>
      </c>
      <c r="D7" s="73" t="s">
        <v>642</v>
      </c>
      <c r="E7" s="122" t="s">
        <v>672</v>
      </c>
      <c r="F7" s="122"/>
      <c r="G7" s="122"/>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796</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797</v>
      </c>
      <c r="E20" s="9"/>
      <c r="F20" s="75" t="s">
        <v>619</v>
      </c>
      <c r="G20" s="14" t="s">
        <v>919</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920</v>
      </c>
      <c r="E21" s="9"/>
      <c r="F21" s="75" t="s">
        <v>619</v>
      </c>
      <c r="G21" s="14" t="s">
        <v>921</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798</v>
      </c>
      <c r="E22" s="9"/>
      <c r="F22" s="75" t="s">
        <v>619</v>
      </c>
      <c r="G22" s="14" t="s">
        <v>922</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799</v>
      </c>
      <c r="E23" s="9"/>
      <c r="F23" s="75" t="s">
        <v>619</v>
      </c>
      <c r="G23" s="14" t="s">
        <v>923</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798</v>
      </c>
      <c r="E24" s="9"/>
      <c r="F24" s="75" t="s">
        <v>619</v>
      </c>
      <c r="G24" s="14" t="s">
        <v>924</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800</v>
      </c>
      <c r="E25" s="9"/>
      <c r="F25" s="75" t="s">
        <v>618</v>
      </c>
      <c r="G25" s="14" t="s">
        <v>925</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814</v>
      </c>
      <c r="I6" s="26" t="str">
        <f>CONCATENATE("Title: ##34#",B6,"##34#")</f>
        <v>Title: ##34#A.4 - Specimen information##34#</v>
      </c>
    </row>
    <row r="7" spans="1:11" x14ac:dyDescent="0.75">
      <c r="A7" s="46" t="s">
        <v>5</v>
      </c>
      <c r="B7" s="19" t="s">
        <v>875</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725</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9" t="s">
        <v>169</v>
      </c>
      <c r="D26" s="120"/>
      <c r="E26" s="120"/>
      <c r="F26" s="121"/>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7" t="s">
        <v>188</v>
      </c>
      <c r="D33" s="110" t="s">
        <v>189</v>
      </c>
      <c r="E33" s="107"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8"/>
      <c r="D34" s="111"/>
      <c r="E34" s="108"/>
      <c r="F34" s="41"/>
      <c r="I34" s="1" t="str">
        <f t="shared" si="2"/>
        <v xml:space="preserve"> - Preferred system(s): </v>
      </c>
    </row>
    <row r="35" spans="2:9" ht="16.75" thickBot="1" x14ac:dyDescent="0.9">
      <c r="B35" t="str">
        <f t="shared" si="1"/>
        <v xml:space="preserve"> </v>
      </c>
      <c r="C35" s="109"/>
      <c r="D35" s="112"/>
      <c r="E35" s="109"/>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865</v>
      </c>
      <c r="D4" s="73" t="s">
        <v>645</v>
      </c>
      <c r="E4" s="123" t="s">
        <v>887</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887</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3"/>
      <c r="B16" s="53" t="str">
        <f>'A.4 Specimen'!B9</f>
        <v>speciesType</v>
      </c>
      <c r="C16" s="9" t="str">
        <f>'A.4 Specimen'!C9</f>
        <v>A.4.2 Type of species</v>
      </c>
      <c r="D16" s="14" t="s">
        <v>815</v>
      </c>
      <c r="E16" s="9"/>
      <c r="F16" s="75" t="s">
        <v>619</v>
      </c>
      <c r="G16" s="75" t="s">
        <v>882</v>
      </c>
      <c r="H16" s="76"/>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3"/>
      <c r="B18" s="9" t="str">
        <f>'A.4 Specimen'!B11</f>
        <v>collected</v>
      </c>
      <c r="C18" s="9" t="str">
        <f>'A.4 Specimen'!C11</f>
        <v>A.4.4 Collection period</v>
      </c>
      <c r="D18" s="14" t="s">
        <v>724</v>
      </c>
      <c r="E18" s="9"/>
      <c r="F18" s="75" t="s">
        <v>618</v>
      </c>
      <c r="G18" s="75"/>
      <c r="H18" s="76"/>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3"/>
      <c r="B19" s="9" t="str">
        <f>'A.4 Specimen'!B12</f>
        <v>anatomicLocation</v>
      </c>
      <c r="C19" s="9" t="str">
        <f>'A.4 Specimen'!C12</f>
        <v>A.4.5 Anatomic location</v>
      </c>
      <c r="D19" s="14" t="s">
        <v>726</v>
      </c>
      <c r="E19" s="9"/>
      <c r="F19" s="75" t="s">
        <v>619</v>
      </c>
      <c r="G19" s="75"/>
      <c r="H19" s="76"/>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3"/>
      <c r="B20" s="9" t="str">
        <f>'A.4 Specimen'!B12</f>
        <v>anatomicLocation</v>
      </c>
      <c r="C20" s="9" t="str">
        <f>'A.4 Specimen'!C12</f>
        <v>A.4.5 Anatomic location</v>
      </c>
      <c r="D20" s="14" t="s">
        <v>946</v>
      </c>
      <c r="E20" s="9"/>
      <c r="F20" s="75" t="s">
        <v>619</v>
      </c>
      <c r="G20" s="75" t="s">
        <v>945</v>
      </c>
      <c r="H20" s="76"/>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3"/>
      <c r="B21" s="9" t="str">
        <f>'A.4 Specimen'!B13</f>
        <v>morphology</v>
      </c>
      <c r="C21" s="9" t="str">
        <f>'A.4 Specimen'!C13</f>
        <v>A.4.6 Morphology</v>
      </c>
      <c r="D21" s="14" t="s">
        <v>946</v>
      </c>
      <c r="E21" s="14"/>
      <c r="F21" s="75" t="s">
        <v>619</v>
      </c>
      <c r="G21" s="75" t="s">
        <v>945</v>
      </c>
      <c r="H21" s="76"/>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952</v>
      </c>
      <c r="H22" s="76"/>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3"/>
      <c r="B23" s="9" t="str">
        <f>'A.4 Specimen'!B15</f>
        <v>collectionMethod</v>
      </c>
      <c r="C23" s="9" t="str">
        <f>'A.4 Specimen'!C15</f>
        <v>A.4.8 Collection procedure/method</v>
      </c>
      <c r="D23" s="14" t="s">
        <v>727</v>
      </c>
      <c r="E23" s="9"/>
      <c r="F23" s="75" t="s">
        <v>618</v>
      </c>
      <c r="G23" s="75"/>
      <c r="H23" s="76"/>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3"/>
      <c r="B24" s="9" t="str">
        <f>'A.4 Specimen'!B16</f>
        <v>receivedDateTime</v>
      </c>
      <c r="C24" s="9" t="str">
        <f>'A.4 Specimen'!C16</f>
        <v>A.4.9 Received date</v>
      </c>
      <c r="D24" s="14" t="s">
        <v>728</v>
      </c>
      <c r="E24" s="9"/>
      <c r="F24" s="75" t="s">
        <v>618</v>
      </c>
      <c r="G24" s="75"/>
      <c r="H24" s="76"/>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3"/>
      <c r="B25" s="9"/>
      <c r="C25" s="9"/>
      <c r="D25" s="14"/>
      <c r="E25" s="9"/>
      <c r="F25" s="75"/>
      <c r="G25" s="75"/>
      <c r="H25" s="76"/>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75"/>
      <c r="G28" s="75"/>
      <c r="H28" s="76"/>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75"/>
      <c r="G29" s="75"/>
      <c r="H29" s="76"/>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75"/>
      <c r="G30" s="75"/>
      <c r="H30" s="76"/>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75"/>
      <c r="G31" s="75"/>
      <c r="H31" s="76"/>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75"/>
      <c r="G32" s="75"/>
      <c r="H32" s="76"/>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75"/>
      <c r="G33" s="75"/>
      <c r="H33" s="76"/>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75"/>
      <c r="G34" s="75"/>
      <c r="H34" s="76"/>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75"/>
      <c r="G35" s="75"/>
      <c r="H35" s="76"/>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75"/>
      <c r="G37" s="75"/>
      <c r="H37" s="76"/>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75"/>
      <c r="G38" s="75"/>
      <c r="H38" s="76"/>
      <c r="K38" s="76"/>
      <c r="L38" s="76"/>
      <c r="M38" s="74"/>
      <c r="N38" s="74"/>
      <c r="P38" s="9">
        <v>24</v>
      </c>
      <c r="Q38" s="9">
        <f t="shared" si="8"/>
        <v>3</v>
      </c>
      <c r="R38" s="9">
        <f t="shared" si="9"/>
        <v>6</v>
      </c>
      <c r="S38" s="14" t="str" cm="1">
        <f t="array" ref="S38">INDEX('Specimen-ConceptMap-1'!$I$15:$N$124,Q38+1,R38)</f>
        <v/>
      </c>
    </row>
    <row r="39" spans="1:19" x14ac:dyDescent="0.75">
      <c r="B39" s="9"/>
      <c r="C39" s="9"/>
      <c r="D39" s="14"/>
      <c r="E39" s="14"/>
      <c r="F39" s="75"/>
      <c r="G39" s="75"/>
      <c r="H39" s="76"/>
      <c r="K39" s="76"/>
      <c r="L39" s="76"/>
      <c r="M39" s="74"/>
      <c r="N39" s="74"/>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75"/>
      <c r="G40" s="76"/>
      <c r="H40" s="76"/>
      <c r="J40"/>
      <c r="K40" s="76"/>
      <c r="L40" s="76"/>
      <c r="M40" s="74"/>
      <c r="N40" s="74"/>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60"/>
      <c r="F41" s="76"/>
      <c r="G41" s="76"/>
      <c r="H41" s="76"/>
      <c r="J41"/>
      <c r="K41" s="76"/>
      <c r="L41" s="76"/>
      <c r="M41" s="74"/>
      <c r="N41" s="74"/>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6"/>
      <c r="G42" s="76"/>
      <c r="H42" s="76"/>
      <c r="J42"/>
      <c r="K42" s="76"/>
      <c r="L42" s="76"/>
      <c r="M42" s="74"/>
      <c r="N42" s="74"/>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6"/>
      <c r="G43" s="76"/>
      <c r="H43" s="76"/>
      <c r="J43" s="76"/>
      <c r="K43" s="76"/>
      <c r="L43" s="76"/>
      <c r="M43" s="74"/>
      <c r="N43" s="74"/>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6"/>
      <c r="G44" s="76"/>
      <c r="H44" s="76"/>
      <c r="J44" s="76"/>
      <c r="K44" s="76"/>
      <c r="L44" s="76"/>
      <c r="M44" s="74"/>
      <c r="N44" s="74"/>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865</v>
      </c>
      <c r="D4" s="73" t="s">
        <v>645</v>
      </c>
      <c r="E4" s="123" t="s">
        <v>887</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947</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948</v>
      </c>
      <c r="E14" s="8"/>
      <c r="F14" s="75"/>
      <c r="G14" s="75"/>
      <c r="I14" s="14"/>
      <c r="J14" s="9"/>
      <c r="K14" s="9"/>
      <c r="L14" s="9"/>
      <c r="M14" s="71"/>
      <c r="N14" s="74"/>
    </row>
    <row r="15" spans="1:19" ht="44.25" x14ac:dyDescent="0.75">
      <c r="A15" s="23"/>
      <c r="B15" s="9" t="str">
        <f>'A.4 Specimen'!B12</f>
        <v>anatomicLocation</v>
      </c>
      <c r="C15" s="9" t="str">
        <f>'A.4 Specimen'!C12</f>
        <v>A.4.5 Anatomic location</v>
      </c>
      <c r="D15" s="14" t="s">
        <v>949</v>
      </c>
      <c r="E15" s="8"/>
      <c r="F15" s="75" t="s">
        <v>618</v>
      </c>
      <c r="G15" s="75"/>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3"/>
      <c r="B16" s="9" t="str">
        <f>'A.4 Specimen'!B12</f>
        <v>anatomicLocation</v>
      </c>
      <c r="C16" s="9" t="str">
        <f>'A.4 Specimen'!C12</f>
        <v>A.4.5 Anatomic location</v>
      </c>
      <c r="D16" s="14" t="s">
        <v>950</v>
      </c>
      <c r="E16" s="9"/>
      <c r="F16" s="75" t="s">
        <v>618</v>
      </c>
      <c r="G16" s="75" t="s">
        <v>951</v>
      </c>
      <c r="H16" s="76"/>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3"/>
      <c r="B17" s="9" t="str">
        <f>'A.4 Specimen'!B13</f>
        <v>morphology</v>
      </c>
      <c r="C17" s="9" t="str">
        <f>'A.4 Specimen'!C13</f>
        <v>A.4.6 Morphology</v>
      </c>
      <c r="D17" s="14" t="s">
        <v>457</v>
      </c>
      <c r="E17" s="14"/>
      <c r="F17" s="75" t="s">
        <v>618</v>
      </c>
      <c r="G17" s="75"/>
      <c r="H17" s="76"/>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3"/>
      <c r="B18" s="9"/>
      <c r="C18" s="9"/>
      <c r="D18" s="14"/>
      <c r="E18" s="9"/>
      <c r="F18" s="75"/>
      <c r="G18" s="75"/>
      <c r="H18" s="76"/>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3"/>
      <c r="B19" s="9"/>
      <c r="C19" s="9"/>
      <c r="D19" s="14"/>
      <c r="E19" s="14"/>
      <c r="F19" s="75"/>
      <c r="G19" s="75"/>
      <c r="H19" s="76"/>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3"/>
      <c r="B20" s="9"/>
      <c r="C20" s="9"/>
      <c r="D20" s="14"/>
      <c r="E20" s="14"/>
      <c r="F20" s="75"/>
      <c r="G20" s="75"/>
      <c r="H20" s="76"/>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75"/>
      <c r="G21" s="75"/>
      <c r="H21" s="76"/>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75"/>
      <c r="G22" s="75"/>
      <c r="H22" s="76"/>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75"/>
      <c r="G23" s="75"/>
      <c r="H23" s="76"/>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75"/>
      <c r="G24" s="75"/>
      <c r="H24" s="76"/>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75"/>
      <c r="G25" s="75"/>
      <c r="H25" s="76"/>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75"/>
      <c r="G26" s="75"/>
      <c r="H26" s="76"/>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75"/>
      <c r="G27" s="75"/>
      <c r="H27" s="76"/>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75"/>
      <c r="G28" s="75"/>
      <c r="H28" s="76"/>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75"/>
      <c r="G29" s="75"/>
      <c r="H29" s="76"/>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75"/>
      <c r="G30" s="75"/>
      <c r="H30" s="76"/>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75"/>
      <c r="G31" s="75"/>
      <c r="H31" s="76"/>
      <c r="K31" s="76"/>
      <c r="L31" s="76"/>
      <c r="M31" s="74"/>
      <c r="N31" s="74"/>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75"/>
      <c r="G32" s="75"/>
      <c r="H32" s="76"/>
      <c r="K32" s="76"/>
      <c r="L32" s="76"/>
      <c r="M32" s="74"/>
      <c r="N32" s="74"/>
      <c r="P32" s="9">
        <v>18</v>
      </c>
      <c r="Q32" s="9">
        <f t="shared" si="8"/>
        <v>2</v>
      </c>
      <c r="R32" s="9">
        <f t="shared" si="9"/>
        <v>6</v>
      </c>
      <c r="S32" s="14" t="str" cm="1">
        <f t="array" ref="S32">INDEX('Specimen-ConceptMap-2'!$I$15:$N$116,Q32+1,R32)</f>
        <v/>
      </c>
    </row>
    <row r="33" spans="1:19" s="1" customFormat="1" x14ac:dyDescent="0.75">
      <c r="A33"/>
      <c r="B33" s="9"/>
      <c r="C33" s="9"/>
      <c r="D33" s="14"/>
      <c r="E33" s="14"/>
      <c r="F33" s="75"/>
      <c r="G33" s="76"/>
      <c r="H33" s="76"/>
      <c r="J33"/>
      <c r="K33" s="76"/>
      <c r="L33" s="76"/>
      <c r="M33" s="74"/>
      <c r="N33" s="74"/>
      <c r="P33" s="9">
        <v>19</v>
      </c>
      <c r="Q33" s="9">
        <f t="shared" si="8"/>
        <v>3</v>
      </c>
      <c r="R33" s="9">
        <f t="shared" si="9"/>
        <v>1</v>
      </c>
      <c r="S33" s="14" cm="1">
        <f t="array" ref="S33">INDEX('Specimen-ConceptMap-2'!$I$15:$N$116,Q33+1,R33)</f>
        <v>0</v>
      </c>
    </row>
    <row r="34" spans="1:19" s="1" customFormat="1" x14ac:dyDescent="0.75">
      <c r="A34"/>
      <c r="B34" s="9"/>
      <c r="C34" s="9"/>
      <c r="D34" s="60"/>
      <c r="F34" s="76"/>
      <c r="G34" s="76"/>
      <c r="H34" s="76"/>
      <c r="J34"/>
      <c r="K34" s="76"/>
      <c r="L34" s="76"/>
      <c r="M34" s="74"/>
      <c r="N34" s="74"/>
      <c r="P34" s="9">
        <v>20</v>
      </c>
      <c r="Q34" s="9">
        <f t="shared" si="8"/>
        <v>3</v>
      </c>
      <c r="R34" s="9">
        <f t="shared" si="9"/>
        <v>2</v>
      </c>
      <c r="S34" s="14" cm="1">
        <f t="array" ref="S34">INDEX('Specimen-ConceptMap-2'!$I$15:$N$116,Q34+1,R34)</f>
        <v>0</v>
      </c>
    </row>
    <row r="35" spans="1:19" s="1" customFormat="1" x14ac:dyDescent="0.75">
      <c r="A35"/>
      <c r="B35" s="9"/>
      <c r="C35" s="9"/>
      <c r="F35" s="76"/>
      <c r="G35" s="76"/>
      <c r="H35" s="76"/>
      <c r="J35"/>
      <c r="K35" s="76"/>
      <c r="L35" s="76"/>
      <c r="M35" s="74"/>
      <c r="N35" s="74"/>
      <c r="P35" s="9">
        <v>21</v>
      </c>
      <c r="Q35" s="9">
        <f t="shared" si="8"/>
        <v>3</v>
      </c>
      <c r="R35" s="9">
        <f t="shared" si="9"/>
        <v>3</v>
      </c>
      <c r="S35" s="14" cm="1">
        <f t="array" ref="S35">INDEX('Specimen-ConceptMap-2'!$I$15:$N$116,Q35+1,R35)</f>
        <v>0</v>
      </c>
    </row>
    <row r="36" spans="1:19" s="1" customFormat="1" x14ac:dyDescent="0.75">
      <c r="A36"/>
      <c r="B36" s="9"/>
      <c r="C36" s="9"/>
      <c r="F36" s="76"/>
      <c r="G36" s="76"/>
      <c r="H36" s="76"/>
      <c r="J36" s="76"/>
      <c r="K36" s="76"/>
      <c r="L36" s="76"/>
      <c r="M36" s="74"/>
      <c r="N36" s="74"/>
      <c r="P36" s="9">
        <v>22</v>
      </c>
      <c r="Q36" s="9">
        <f t="shared" si="8"/>
        <v>3</v>
      </c>
      <c r="R36" s="9">
        <f t="shared" si="9"/>
        <v>4</v>
      </c>
      <c r="S36" s="14" cm="1">
        <f t="array" ref="S36">INDEX('Specimen-ConceptMap-2'!$I$15:$N$116,Q36+1,R36)</f>
        <v>0</v>
      </c>
    </row>
    <row r="37" spans="1:19" s="1" customFormat="1" x14ac:dyDescent="0.75">
      <c r="A37"/>
      <c r="B37" s="9"/>
      <c r="C37" s="9"/>
      <c r="F37" s="76"/>
      <c r="G37" s="76"/>
      <c r="H37" s="76"/>
      <c r="J37" s="76"/>
      <c r="K37" s="76"/>
      <c r="L37" s="76"/>
      <c r="M37" s="74"/>
      <c r="N37" s="74"/>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729</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100"/>
    </row>
    <row r="87" spans="2:2" x14ac:dyDescent="0.75">
      <c r="B87" s="101" t="str">
        <f>"* group[+].source = ##34#"&amp;'Specimen-ConceptMap-2'!E6&amp;"##34#"</f>
        <v>* group[+].source = ##34#http://hl7.eu/fhir/laboratory/StructureDefinition/SpecimenLab##34#</v>
      </c>
    </row>
    <row r="88" spans="2:2" x14ac:dyDescent="0.75">
      <c r="B88" s="101" t="str">
        <f>"* group[=].target = ##34#"&amp;'Specimen-ConceptMap-2'!E7&amp;"##34#"</f>
        <v>* group[=].target = ##34#http://hl7.eu/fhir/laboratory/StructureDefinition/bodyStructure-eu-lab##34#</v>
      </c>
    </row>
    <row r="89" spans="2:2" x14ac:dyDescent="0.75">
      <c r="B89" s="100"/>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813</v>
      </c>
      <c r="I6" s="26" t="str">
        <f>CONCATENATE("Title: ##34#",B6,"##34#")</f>
        <v>Title: ##34#A.5 - Results data elements##34#</v>
      </c>
    </row>
    <row r="7" spans="1:11" x14ac:dyDescent="0.75">
      <c r="A7" s="46" t="s">
        <v>5</v>
      </c>
      <c r="B7" s="14" t="s">
        <v>876</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13" t="s">
        <v>198</v>
      </c>
      <c r="D36" s="114"/>
      <c r="E36" s="114"/>
      <c r="F36" s="115"/>
    </row>
    <row r="37" spans="2:9" ht="16.75" thickBot="1" x14ac:dyDescent="0.9">
      <c r="B37" t="str">
        <f t="shared" si="1"/>
        <v xml:space="preserve">A.5.1 Laboratory report narrative  </v>
      </c>
      <c r="C37" s="113" t="s">
        <v>535</v>
      </c>
      <c r="D37" s="114"/>
      <c r="E37" s="114"/>
      <c r="F37" s="115"/>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13" t="s">
        <v>537</v>
      </c>
      <c r="D40" s="114"/>
      <c r="E40" s="114"/>
      <c r="F40" s="115"/>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7" t="s">
        <v>210</v>
      </c>
      <c r="D42" s="110" t="s">
        <v>211</v>
      </c>
      <c r="E42" s="107" t="s">
        <v>212</v>
      </c>
      <c r="F42" s="43" t="s">
        <v>130</v>
      </c>
      <c r="I42" s="1" t="str">
        <f t="shared" si="2"/>
        <v>Code representing the observation using the agreed code systems. - Preferred system(s): LOINC</v>
      </c>
    </row>
    <row r="43" spans="2:9" ht="16" x14ac:dyDescent="0.75">
      <c r="B43" t="str">
        <f t="shared" si="1"/>
        <v xml:space="preserve"> </v>
      </c>
      <c r="C43" s="108"/>
      <c r="D43" s="111"/>
      <c r="E43" s="108"/>
      <c r="F43" s="43" t="s">
        <v>213</v>
      </c>
      <c r="I43" s="1" t="str">
        <f t="shared" si="2"/>
        <v xml:space="preserve"> - Preferred system(s): NPU</v>
      </c>
    </row>
    <row r="44" spans="2:9" ht="32.75" thickBot="1" x14ac:dyDescent="0.9">
      <c r="B44" t="str">
        <f t="shared" si="1"/>
        <v xml:space="preserve"> </v>
      </c>
      <c r="C44" s="109"/>
      <c r="D44" s="112"/>
      <c r="E44" s="109"/>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7" t="s">
        <v>226</v>
      </c>
      <c r="D49" s="110" t="s">
        <v>227</v>
      </c>
      <c r="E49" s="107"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8"/>
      <c r="D50" s="111"/>
      <c r="E50" s="108"/>
      <c r="F50" s="41"/>
      <c r="I50" s="1" t="str">
        <f t="shared" si="2"/>
        <v xml:space="preserve"> - Preferred system(s): </v>
      </c>
    </row>
    <row r="51" spans="2:9" ht="16.75" thickBot="1" x14ac:dyDescent="0.9">
      <c r="B51" t="str">
        <f t="shared" si="1"/>
        <v xml:space="preserve"> </v>
      </c>
      <c r="C51" s="109"/>
      <c r="D51" s="112"/>
      <c r="E51" s="109"/>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7" t="s">
        <v>238</v>
      </c>
      <c r="D55" s="110" t="s">
        <v>239</v>
      </c>
      <c r="E55" s="107"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8"/>
      <c r="D56" s="111"/>
      <c r="E56" s="108"/>
      <c r="F56" s="44"/>
      <c r="I56" s="1" t="str">
        <f t="shared" si="2"/>
        <v xml:space="preserve"> - Preferred system(s): </v>
      </c>
    </row>
    <row r="57" spans="2:9" ht="48.75" thickBot="1" x14ac:dyDescent="0.9">
      <c r="B57" t="str">
        <f t="shared" si="1"/>
        <v xml:space="preserve"> </v>
      </c>
      <c r="C57" s="109"/>
      <c r="D57" s="112"/>
      <c r="E57" s="109"/>
      <c r="F57" s="39" t="s">
        <v>242</v>
      </c>
      <c r="I57" s="1" t="str">
        <f t="shared" si="2"/>
        <v xml:space="preserve"> - Preferred system(s): UCUM (for units)</v>
      </c>
    </row>
    <row r="58" spans="2:9" ht="32" x14ac:dyDescent="0.75">
      <c r="B58" t="str">
        <f t="shared" si="1"/>
        <v>A.5.2.12 Observation interpretation</v>
      </c>
      <c r="C58" s="107" t="s">
        <v>243</v>
      </c>
      <c r="D58" s="110" t="s">
        <v>244</v>
      </c>
      <c r="E58" s="107" t="s">
        <v>245</v>
      </c>
      <c r="F58" s="43" t="s">
        <v>167</v>
      </c>
      <c r="I58" s="1" t="str">
        <f t="shared" si="2"/>
        <v>Information about reference intervals and result interpretation. - Preferred system(s): SNOMED CT</v>
      </c>
    </row>
    <row r="59" spans="2:9" x14ac:dyDescent="0.75">
      <c r="B59" t="str">
        <f t="shared" si="1"/>
        <v xml:space="preserve"> </v>
      </c>
      <c r="C59" s="108"/>
      <c r="D59" s="111"/>
      <c r="E59" s="108"/>
      <c r="F59" s="41"/>
      <c r="I59" s="1" t="str">
        <f t="shared" si="2"/>
        <v xml:space="preserve"> - Preferred system(s): </v>
      </c>
    </row>
    <row r="60" spans="2:9" ht="112.75" thickBot="1" x14ac:dyDescent="0.9">
      <c r="B60" t="str">
        <f t="shared" si="1"/>
        <v xml:space="preserve"> </v>
      </c>
      <c r="C60" s="109"/>
      <c r="D60" s="112"/>
      <c r="E60" s="109"/>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topLeftCell="A18" workbookViewId="0">
      <selection activeCell="B33" sqref="B33:E3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808</v>
      </c>
      <c r="D3" s="73" t="s">
        <v>644</v>
      </c>
      <c r="E3" s="84" t="str">
        <f>"http://hl7.eu/fhir/laboratory/StructureDefinition/"&amp;'A.5 Results'!B5</f>
        <v>http://hl7.eu/fhir/laboratory/StructureDefinition/Result</v>
      </c>
    </row>
    <row r="4" spans="1:19" x14ac:dyDescent="0.75">
      <c r="B4" s="73" t="s">
        <v>19</v>
      </c>
      <c r="C4" s="54" t="s">
        <v>809</v>
      </c>
      <c r="D4" s="73" t="s">
        <v>645</v>
      </c>
      <c r="E4" s="123" t="s">
        <v>801</v>
      </c>
      <c r="F4" s="122"/>
      <c r="G4" s="122"/>
    </row>
    <row r="5" spans="1:19" x14ac:dyDescent="0.75">
      <c r="B5" s="73" t="s">
        <v>13</v>
      </c>
      <c r="C5" s="10" t="s">
        <v>730</v>
      </c>
      <c r="D5" s="73"/>
      <c r="E5"/>
    </row>
    <row r="6" spans="1:19" x14ac:dyDescent="0.75">
      <c r="B6" s="73" t="s">
        <v>35</v>
      </c>
      <c r="C6" s="72"/>
      <c r="D6" s="73" t="s">
        <v>641</v>
      </c>
      <c r="E6" s="123" t="str">
        <f>E3</f>
        <v>http://hl7.eu/fhir/laboratory/StructureDefinition/Result</v>
      </c>
      <c r="F6" s="122"/>
      <c r="G6" s="122"/>
    </row>
    <row r="7" spans="1:19" x14ac:dyDescent="0.75">
      <c r="B7" s="73" t="s">
        <v>18</v>
      </c>
      <c r="C7" s="80"/>
      <c r="D7" s="73" t="s">
        <v>642</v>
      </c>
      <c r="E7" s="123" t="s">
        <v>643</v>
      </c>
      <c r="F7" s="122"/>
      <c r="G7" s="122"/>
    </row>
    <row r="8" spans="1:19" ht="44.25" x14ac:dyDescent="0.75">
      <c r="B8" s="73" t="s">
        <v>635</v>
      </c>
      <c r="C8" s="53" t="s">
        <v>731</v>
      </c>
      <c r="D8" s="73"/>
      <c r="E8" s="10"/>
      <c r="I8" s="14" t="s">
        <v>607</v>
      </c>
      <c r="J8" s="14" t="s">
        <v>608</v>
      </c>
      <c r="K8" s="14" t="s">
        <v>609</v>
      </c>
      <c r="L8" s="14" t="s">
        <v>610</v>
      </c>
      <c r="M8" s="9" t="s">
        <v>611</v>
      </c>
      <c r="P8" s="69" t="s">
        <v>612</v>
      </c>
      <c r="Q8" s="69">
        <v>6</v>
      </c>
    </row>
    <row r="9" spans="1:19" ht="29.5" x14ac:dyDescent="0.75">
      <c r="B9" s="73" t="s">
        <v>636</v>
      </c>
      <c r="C9" s="14" t="s">
        <v>732</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733</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734</v>
      </c>
      <c r="E17" s="9"/>
      <c r="F17" s="75" t="s">
        <v>619</v>
      </c>
      <c r="G17" s="75" t="s">
        <v>738</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735</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735</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735</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735</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735</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735</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735</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735</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735</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735</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735</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735</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735</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735</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735</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c r="C33" s="9"/>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c r="C34" s="9"/>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c r="C35" s="9"/>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A5" workbookViewId="0">
      <selection activeCell="B37" sqref="B37:C3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648</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733</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739</v>
      </c>
      <c r="E17" s="9"/>
      <c r="F17" s="75" t="s">
        <v>619</v>
      </c>
      <c r="G17" s="75" t="s">
        <v>736</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740</v>
      </c>
      <c r="E18" s="9"/>
      <c r="F18" s="75" t="s">
        <v>619</v>
      </c>
      <c r="G18" s="75" t="s">
        <v>737</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739</v>
      </c>
      <c r="E19" s="9"/>
      <c r="F19" s="75" t="s">
        <v>619</v>
      </c>
      <c r="G19" s="75" t="s">
        <v>736</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740</v>
      </c>
      <c r="E20" s="9"/>
      <c r="F20" s="75" t="s">
        <v>619</v>
      </c>
      <c r="G20" s="75" t="s">
        <v>737</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755</v>
      </c>
      <c r="E21" s="9"/>
      <c r="F21" s="75" t="s">
        <v>619</v>
      </c>
      <c r="G21" s="75" t="s">
        <v>736</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756</v>
      </c>
      <c r="E22" s="9"/>
      <c r="F22" s="75" t="s">
        <v>619</v>
      </c>
      <c r="G22" s="75" t="s">
        <v>737</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755</v>
      </c>
      <c r="E23" s="9"/>
      <c r="F23" s="75" t="s">
        <v>619</v>
      </c>
      <c r="G23" s="75" t="s">
        <v>735</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755</v>
      </c>
      <c r="E24" s="9"/>
      <c r="F24" s="75" t="s">
        <v>619</v>
      </c>
      <c r="G24" s="75" t="s">
        <v>735</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755</v>
      </c>
      <c r="E25" s="9"/>
      <c r="F25" s="75" t="s">
        <v>619</v>
      </c>
      <c r="G25" s="75" t="s">
        <v>735</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755</v>
      </c>
      <c r="E26" s="9"/>
      <c r="F26" s="75" t="s">
        <v>619</v>
      </c>
      <c r="G26" s="75" t="s">
        <v>735</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755</v>
      </c>
      <c r="E27" s="9"/>
      <c r="F27" s="75" t="s">
        <v>619</v>
      </c>
      <c r="G27" s="75" t="s">
        <v>735</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755</v>
      </c>
      <c r="E28" s="9"/>
      <c r="F28" s="75" t="s">
        <v>619</v>
      </c>
      <c r="G28" s="75" t="s">
        <v>735</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755</v>
      </c>
      <c r="E29" s="14"/>
      <c r="F29" s="75" t="s">
        <v>619</v>
      </c>
      <c r="G29" s="75" t="s">
        <v>735</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755</v>
      </c>
      <c r="E30" s="14"/>
      <c r="F30" s="75" t="s">
        <v>619</v>
      </c>
      <c r="G30" s="75" t="s">
        <v>735</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755</v>
      </c>
      <c r="E31" s="14"/>
      <c r="F31" s="75" t="s">
        <v>619</v>
      </c>
      <c r="G31" s="75" t="s">
        <v>735</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755</v>
      </c>
      <c r="E32" s="14"/>
      <c r="F32" s="75" t="s">
        <v>619</v>
      </c>
      <c r="G32" s="75" t="s">
        <v>735</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755</v>
      </c>
      <c r="E33" s="14"/>
      <c r="F33" s="75" t="s">
        <v>619</v>
      </c>
      <c r="G33" s="75" t="s">
        <v>735</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755</v>
      </c>
      <c r="E34" s="14"/>
      <c r="F34" s="75" t="s">
        <v>619</v>
      </c>
      <c r="G34" s="75" t="s">
        <v>735</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755</v>
      </c>
      <c r="E35" s="14"/>
      <c r="F35" s="75" t="s">
        <v>619</v>
      </c>
      <c r="G35" s="75" t="s">
        <v>735</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755</v>
      </c>
      <c r="E36" s="14"/>
      <c r="F36" s="75" t="s">
        <v>619</v>
      </c>
      <c r="G36" s="75" t="s">
        <v>735</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c r="C37" s="9"/>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c r="C38" s="9"/>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5"/>
  <sheetViews>
    <sheetView topLeftCell="L133" zoomScaleNormal="100" workbookViewId="0">
      <selection activeCell="P15" sqref="P15:S18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741</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742</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INDEX('Results-ConceptMap-3'!$I$15:$N$126,Q15+1,R15)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I40" si="4">"* group[=].element[+].code = #"&amp;$B$14&amp;"."&amp;B16</f>
        <v>* group[=].element[+].code = #Result.narrative.report</v>
      </c>
      <c r="J16" s="14" t="str">
        <f t="shared" ref="J16:J40" si="5">"* group[=].element[=].display = ##34#"&amp;C16&amp;"##34#"</f>
        <v>* group[=].element[=].display = ##34#A.5.1.1 Narrative report##34#</v>
      </c>
      <c r="K16" s="14" t="str">
        <f t="shared" ref="K16:K40" si="6">IF(F16="unmatched","//-- unmatched",IF(D16="","* group[=].element[=].target.code = #"&amp;$D$14,"* group[=].element[=].target.code = #"&amp;$D$14&amp;"."&amp;D16))</f>
        <v>//-- unmatched</v>
      </c>
      <c r="L16" s="14" t="str">
        <f t="shared" ref="L16:L40" si="7">IF(F16="unmatched","//-- unmatched","* group[=].element[=].target.display = ##34#"&amp;E16&amp;"##34#")</f>
        <v>//-- unmatched</v>
      </c>
      <c r="M16" s="14" t="str">
        <f t="shared" ref="M16:M40" si="8">"* group[=].element[=].target.equivalence = #"&amp;F16</f>
        <v>* group[=].element[=].target.equivalence = #unmatched</v>
      </c>
      <c r="N16" s="14" t="str">
        <f t="shared" ref="N16:N40" si="9">IF(G16&lt;&gt;"",CONCATENATE("* group[=].element[=].target.comment = ","##34#",G16,"##34#"),"")</f>
        <v/>
      </c>
      <c r="P16" s="9">
        <v>2</v>
      </c>
      <c r="Q16" s="9">
        <f t="shared" ref="Q16:Q79" si="10">IF(MOD(P16,$Q$8)=0,P16/$Q$8-1,INT(P16/$Q$8))</f>
        <v>0</v>
      </c>
      <c r="R16" s="9">
        <f t="shared" ref="R16:R79" si="11">IF(MOD(P16,$Q$8)=0,$Q$8,MOD(P16,$Q$8))</f>
        <v>2</v>
      </c>
      <c r="S16" s="14" t="str" cm="1">
        <f t="array" ref="S16">INDEX('Results-ConceptMap-3'!$I$15:$N$126,Q16+1,R16)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INDEX('Results-ConceptMap-3'!$I$15:$N$126,Q17+1,R17)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INDEX('Results-ConceptMap-3'!$I$15:$N$126,Q18+1,R18)</f>
        <v>//-- unmatched</v>
      </c>
    </row>
    <row r="19" spans="1:19" ht="88.5" x14ac:dyDescent="0.75">
      <c r="A19" s="23"/>
      <c r="B19" s="9" t="str">
        <f>'A.5 Results'!B12</f>
        <v>observation.dateTime</v>
      </c>
      <c r="C19" s="9" t="str">
        <f>'A.5 Results'!C12</f>
        <v>A.5.2.1 Observation date</v>
      </c>
      <c r="D19" s="14" t="s">
        <v>743</v>
      </c>
      <c r="E19" s="9"/>
      <c r="F19" s="75" t="s">
        <v>618</v>
      </c>
      <c r="G19" s="75" t="s">
        <v>962</v>
      </c>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group[=].element[=].target.comment = ##34#intended as the clinical relevant time (i.e. when the specimen was collected)##34#</v>
      </c>
      <c r="P19" s="9">
        <v>5</v>
      </c>
      <c r="Q19" s="9">
        <f t="shared" si="10"/>
        <v>0</v>
      </c>
      <c r="R19" s="9">
        <f t="shared" si="11"/>
        <v>5</v>
      </c>
      <c r="S19" s="14" t="str" cm="1">
        <f t="array" ref="S19">INDEX('Results-ConceptMap-3'!$I$15:$N$126,Q19+1,R19)</f>
        <v>* group[=].element[=].target.equivalence = #unmatched</v>
      </c>
    </row>
    <row r="20" spans="1:19" ht="59" x14ac:dyDescent="0.75">
      <c r="A20" s="23"/>
      <c r="B20" s="9" t="str">
        <f>'A.5 Results'!B12</f>
        <v>observation.dateTime</v>
      </c>
      <c r="C20" s="9" t="str">
        <f>'A.5 Results'!C12</f>
        <v>A.5.2.1 Observation date</v>
      </c>
      <c r="D20" s="14" t="s">
        <v>961</v>
      </c>
      <c r="E20" s="9"/>
      <c r="F20" s="75" t="s">
        <v>618</v>
      </c>
      <c r="G20" s="75" t="s">
        <v>963</v>
      </c>
      <c r="H20" s="76"/>
      <c r="I20" s="14" t="str">
        <f t="shared" si="4"/>
        <v>* group[=].element[+].code = #Result.observation.dateTime</v>
      </c>
      <c r="J20" s="14" t="str">
        <f t="shared" si="5"/>
        <v>* group[=].element[=].display = ##34#A.5.2.1 Observation date##34#</v>
      </c>
      <c r="K20" s="14" t="str">
        <f t="shared" si="6"/>
        <v>* group[=].element[=].target.code = #Observation.issued</v>
      </c>
      <c r="L20" s="14" t="str">
        <f t="shared" si="7"/>
        <v>* group[=].element[=].target.display = ##34###34#</v>
      </c>
      <c r="M20" s="14" t="str">
        <f t="shared" si="8"/>
        <v>* group[=].element[=].target.equivalence = #equivalent</v>
      </c>
      <c r="N20" s="14" t="str">
        <f t="shared" si="9"/>
        <v>* group[=].element[=].target.comment = ##34#as the date the result is made available.##34#</v>
      </c>
      <c r="P20" s="9">
        <v>6</v>
      </c>
      <c r="Q20" s="9">
        <f t="shared" si="10"/>
        <v>0</v>
      </c>
      <c r="R20" s="9">
        <f t="shared" si="11"/>
        <v>6</v>
      </c>
      <c r="S20" s="14" t="str" cm="1">
        <f t="array" ref="S20">INDEX('Results-ConceptMap-3'!$I$15:$N$126,Q20+1,R20)</f>
        <v/>
      </c>
    </row>
    <row r="21" spans="1:19" ht="59" x14ac:dyDescent="0.75">
      <c r="A21" s="23"/>
      <c r="B21" s="9" t="str">
        <f>'A.5 Results'!B13</f>
        <v>observation.code</v>
      </c>
      <c r="C21" s="9" t="str">
        <f>'A.5 Results'!C13</f>
        <v>A.5.2.3 Observation code</v>
      </c>
      <c r="D21" s="14" t="s">
        <v>615</v>
      </c>
      <c r="E21" s="9"/>
      <c r="F21" s="75" t="s">
        <v>619</v>
      </c>
      <c r="G21" s="75" t="s">
        <v>752</v>
      </c>
      <c r="H21" s="76"/>
      <c r="I21" s="14" t="str">
        <f t="shared" si="4"/>
        <v>* group[=].element[+].code = #Result.observation.code</v>
      </c>
      <c r="J21" s="14" t="str">
        <f t="shared" si="5"/>
        <v>* group[=].element[=].display = ##34#A.5.2.3 Observation code##34#</v>
      </c>
      <c r="K21" s="14" t="str">
        <f t="shared" si="6"/>
        <v>* group[=].element[=].target.code = #Observation.code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INDEX('Results-ConceptMap-3'!$I$15:$N$126,Q21+1,R21)</f>
        <v>* group[=].element[+].code = #Result.narrative.report</v>
      </c>
    </row>
    <row r="22" spans="1:19" ht="59" x14ac:dyDescent="0.75">
      <c r="A22" s="23"/>
      <c r="B22" s="9" t="str">
        <f>'A.5 Results'!B13</f>
        <v>observation.code</v>
      </c>
      <c r="C22" s="9" t="str">
        <f>'A.5 Results'!C13</f>
        <v>A.5.2.3 Observation code</v>
      </c>
      <c r="D22" s="14" t="s">
        <v>803</v>
      </c>
      <c r="E22" s="9"/>
      <c r="F22" s="75" t="s">
        <v>619</v>
      </c>
      <c r="G22" s="75" t="s">
        <v>752</v>
      </c>
      <c r="H22" s="76"/>
      <c r="I22" s="14" t="str">
        <f t="shared" si="4"/>
        <v>* group[=].element[+].code = #Result.observation.code</v>
      </c>
      <c r="J22" s="14" t="str">
        <f t="shared" si="5"/>
        <v>* group[=].element[=].display = ##34#A.5.2.3 Observation code##34#</v>
      </c>
      <c r="K22" s="14" t="str">
        <f t="shared" si="6"/>
        <v>* group[=].element[=].target.code = #Observation.hasMember.code</v>
      </c>
      <c r="L22" s="14" t="str">
        <f t="shared" si="7"/>
        <v>* group[=].element[=].target.display = ##34###34#</v>
      </c>
      <c r="M22" s="14" t="str">
        <f t="shared" si="8"/>
        <v>* group[=].element[=].target.equivalence = #relatedto</v>
      </c>
      <c r="N22" s="14" t="str">
        <f t="shared" si="9"/>
        <v>* group[=].element[=].target.comment = ##34#depends on the type of test##34#</v>
      </c>
      <c r="P22" s="9">
        <v>8</v>
      </c>
      <c r="Q22" s="9">
        <f t="shared" si="10"/>
        <v>1</v>
      </c>
      <c r="R22" s="9">
        <f t="shared" si="11"/>
        <v>2</v>
      </c>
      <c r="S22" s="14" t="str" cm="1">
        <f t="array" ref="S22">INDEX('Results-ConceptMap-3'!$I$15:$N$126,Q22+1,R22)</f>
        <v>* group[=].element[=].display = ##34#A.5.1.1 Narrative report##34#</v>
      </c>
    </row>
    <row r="23" spans="1:19" ht="59" x14ac:dyDescent="0.75">
      <c r="A23" s="23"/>
      <c r="B23" s="9" t="str">
        <f>'A.5 Results'!B13</f>
        <v>observation.code</v>
      </c>
      <c r="C23" s="9" t="str">
        <f>'A.5 Results'!C13</f>
        <v>A.5.2.3 Observation code</v>
      </c>
      <c r="D23" s="14" t="s">
        <v>802</v>
      </c>
      <c r="E23" s="9"/>
      <c r="F23" s="75" t="s">
        <v>619</v>
      </c>
      <c r="G23" s="75" t="s">
        <v>752</v>
      </c>
      <c r="H23" s="76"/>
      <c r="I23" s="14" t="str">
        <f t="shared" si="4"/>
        <v>* group[=].element[+].code = #Result.observation.code</v>
      </c>
      <c r="J23" s="14" t="str">
        <f t="shared" si="5"/>
        <v>* group[=].element[=].display = ##34#A.5.2.3 Observation code##34#</v>
      </c>
      <c r="K23" s="14" t="str">
        <f t="shared" si="6"/>
        <v>* group[=].element[=].target.code = #Observation.component.code</v>
      </c>
      <c r="L23" s="14" t="str">
        <f t="shared" si="7"/>
        <v>* group[=].element[=].target.display = ##34###34#</v>
      </c>
      <c r="M23" s="14" t="str">
        <f t="shared" si="8"/>
        <v>* group[=].element[=].target.equivalence = #relatedto</v>
      </c>
      <c r="N23" s="14" t="str">
        <f t="shared" si="9"/>
        <v>* group[=].element[=].target.comment = ##34#depends on the type of test##34#</v>
      </c>
      <c r="P23" s="9">
        <v>9</v>
      </c>
      <c r="Q23" s="9">
        <f t="shared" si="10"/>
        <v>1</v>
      </c>
      <c r="R23" s="9">
        <f t="shared" si="11"/>
        <v>3</v>
      </c>
      <c r="S23" s="14" t="str" cm="1">
        <f t="array" ref="S23">INDEX('Results-ConceptMap-3'!$I$15:$N$126,Q23+1,R23)</f>
        <v>//-- unmatched</v>
      </c>
    </row>
    <row r="24" spans="1:19" ht="295" x14ac:dyDescent="0.75">
      <c r="A24" s="23"/>
      <c r="B24" s="9" t="str">
        <f>'A.5 Results'!B14</f>
        <v>observation.code.name</v>
      </c>
      <c r="C24" s="9" t="str">
        <f>'A.5 Results'!C14</f>
        <v>A.5.2.3.1 Observation name</v>
      </c>
      <c r="D24" s="14" t="s">
        <v>749</v>
      </c>
      <c r="E24" s="9"/>
      <c r="F24" s="75" t="s">
        <v>618</v>
      </c>
      <c r="G24" s="126" t="s">
        <v>970</v>
      </c>
      <c r="H24" s="76"/>
      <c r="I24" s="14" t="str">
        <f t="shared" si="4"/>
        <v>* group[=].element[+].code = #Result.observation.code.name</v>
      </c>
      <c r="J24" s="14" t="str">
        <f t="shared" si="5"/>
        <v>* group[=].element[=].display = ##34#A.5.2.3.1 Observation name##34#</v>
      </c>
      <c r="K24" s="14" t="str">
        <f t="shared" si="6"/>
        <v>* group[=].element[=].target.code = #Observation.code.coding.display</v>
      </c>
      <c r="L24" s="14" t="str">
        <f t="shared" si="7"/>
        <v>* group[=].element[=].target.display = ##34###34#</v>
      </c>
      <c r="M24" s="14" t="str">
        <f t="shared" si="8"/>
        <v>* group[=].element[=].target.equivalence = #equivalent</v>
      </c>
      <c r="N24" s="14" t="str">
        <f t="shared" si="9"/>
        <v>* group[=].element[=].target.comment = ##34#The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concept.##34#</v>
      </c>
      <c r="P24" s="9">
        <v>10</v>
      </c>
      <c r="Q24" s="9">
        <f t="shared" si="10"/>
        <v>1</v>
      </c>
      <c r="R24" s="9">
        <f t="shared" si="11"/>
        <v>4</v>
      </c>
      <c r="S24" s="14" t="str" cm="1">
        <f t="array" ref="S24">INDEX('Results-ConceptMap-3'!$I$15:$N$126,Q24+1,R24)</f>
        <v>//-- unmatched</v>
      </c>
    </row>
    <row r="25" spans="1:19" ht="103.25" x14ac:dyDescent="0.75">
      <c r="A25" s="23"/>
      <c r="B25" s="9" t="str">
        <f>'A.5 Results'!B15</f>
        <v>observation.code.originalName</v>
      </c>
      <c r="C25" s="9" t="str">
        <f>'A.5 Results'!C15</f>
        <v>A.5.2.3.2 Observation original name</v>
      </c>
      <c r="D25" s="14" t="s">
        <v>748</v>
      </c>
      <c r="E25" s="9"/>
      <c r="F25" s="75" t="s">
        <v>618</v>
      </c>
      <c r="G25" s="126" t="s">
        <v>968</v>
      </c>
      <c r="H25" s="76"/>
      <c r="I25" s="14" t="str">
        <f t="shared" si="4"/>
        <v>* group[=].element[+].code = #Result.observation.code.originalName</v>
      </c>
      <c r="J25" s="14" t="str">
        <f t="shared" si="5"/>
        <v>* group[=].element[=].display = ##34#A.5.2.3.2 Observation original name##34#</v>
      </c>
      <c r="K25" s="14" t="str">
        <f t="shared" si="6"/>
        <v>* group[=].element[=].target.code = #Observation.code.text</v>
      </c>
      <c r="L25" s="14" t="str">
        <f t="shared" si="7"/>
        <v>* group[=].element[=].target.display = ##34###34#</v>
      </c>
      <c r="M25" s="14" t="str">
        <f t="shared" si="8"/>
        <v>* group[=].element[=].target.equivalence = #equivalent</v>
      </c>
      <c r="N25" s="14" t="str">
        <f t="shared" si="9"/>
        <v>* group[=].element[=].target.comment = ##34#The mapping refers to the case "code" mapped to Observation.code. A similar mapping applies to the other cases.##34#</v>
      </c>
      <c r="P25" s="9">
        <v>11</v>
      </c>
      <c r="Q25" s="9">
        <f t="shared" si="10"/>
        <v>1</v>
      </c>
      <c r="R25" s="9">
        <f t="shared" si="11"/>
        <v>5</v>
      </c>
      <c r="S25" s="14" t="str" cm="1">
        <f t="array" ref="S25">INDEX('Results-ConceptMap-3'!$I$15:$N$126,Q25+1,R25)</f>
        <v>* group[=].element[=].target.equivalence = #unmatched</v>
      </c>
    </row>
    <row r="26" spans="1:19" ht="280.25" x14ac:dyDescent="0.75">
      <c r="A26" s="23"/>
      <c r="B26" s="9" t="str">
        <f>'A.5 Results'!B16</f>
        <v>observation.code.displayName</v>
      </c>
      <c r="C26" s="9" t="str">
        <f>'A.5 Results'!C16</f>
        <v>A.5.2.3.3 Observation display name</v>
      </c>
      <c r="D26" s="14" t="s">
        <v>749</v>
      </c>
      <c r="E26" s="9"/>
      <c r="F26" s="75" t="s">
        <v>618</v>
      </c>
      <c r="G26" s="126" t="s">
        <v>969</v>
      </c>
      <c r="H26" s="76"/>
      <c r="I26" s="14" t="str">
        <f t="shared" si="4"/>
        <v>* group[=].element[+].code = #Result.observation.code.displayName</v>
      </c>
      <c r="J26" s="14" t="str">
        <f t="shared" si="5"/>
        <v>* group[=].element[=].display = ##34#A.5.2.3.3 Observation display name##34#</v>
      </c>
      <c r="K26" s="14" t="str">
        <f t="shared" si="6"/>
        <v>* group[=].element[=].target.code = #Observation.code.coding.display</v>
      </c>
      <c r="L26" s="14" t="str">
        <f t="shared" si="7"/>
        <v>* group[=].element[=].target.display = ##34###34#</v>
      </c>
      <c r="M26" s="14" t="str">
        <f t="shared" si="8"/>
        <v>* group[=].element[=].target.equivalence = #equivalent</v>
      </c>
      <c r="N26" s="14" t="str">
        <f t="shared" si="9"/>
        <v>* group[=].element[=].target.comment = ##34#The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concept.##34#</v>
      </c>
      <c r="P26" s="9">
        <v>12</v>
      </c>
      <c r="Q26" s="9">
        <f t="shared" si="10"/>
        <v>1</v>
      </c>
      <c r="R26" s="9">
        <f t="shared" si="11"/>
        <v>6</v>
      </c>
      <c r="S26" s="14" t="str" cm="1">
        <f t="array" ref="S26">INDEX('Results-ConceptMap-3'!$I$15:$N$126,Q26+1,R26)</f>
        <v/>
      </c>
    </row>
    <row r="27" spans="1:19" ht="44.25" x14ac:dyDescent="0.75">
      <c r="A27" s="23"/>
      <c r="B27" s="9" t="str">
        <f>'A.5 Results'!B17</f>
        <v>observation.method</v>
      </c>
      <c r="C27" s="9" t="str">
        <f>'A.5 Results'!C17</f>
        <v>A.5.2.4 Observation method</v>
      </c>
      <c r="D27" s="14" t="s">
        <v>744</v>
      </c>
      <c r="E27" s="14"/>
      <c r="F27" s="75" t="s">
        <v>618</v>
      </c>
      <c r="G27" s="75"/>
      <c r="H27" s="76"/>
      <c r="I27" s="14" t="str">
        <f t="shared" si="4"/>
        <v>* group[=].element[+].code = #Result.observation.method</v>
      </c>
      <c r="J27" s="14" t="str">
        <f t="shared" si="5"/>
        <v>* group[=].element[=].display = ##34#A.5.2.4 Observation method##34#</v>
      </c>
      <c r="K27" s="14" t="str">
        <f t="shared" si="6"/>
        <v>* group[=].element[=].target.code = #Observation.method</v>
      </c>
      <c r="L27" s="14" t="str">
        <f t="shared" si="7"/>
        <v>* group[=].element[=].target.display = ##34###34#</v>
      </c>
      <c r="M27" s="14" t="str">
        <f t="shared" si="8"/>
        <v>* group[=].element[=].target.equivalence = #equivalent</v>
      </c>
      <c r="N27" s="14" t="str">
        <f t="shared" si="9"/>
        <v/>
      </c>
      <c r="P27" s="9">
        <v>13</v>
      </c>
      <c r="Q27" s="9">
        <f t="shared" si="10"/>
        <v>2</v>
      </c>
      <c r="R27" s="9">
        <f t="shared" si="11"/>
        <v>1</v>
      </c>
      <c r="S27" s="14" t="str" cm="1">
        <f t="array" ref="S27">INDEX('Results-ConceptMap-3'!$I$15:$N$126,Q27+1,R27)</f>
        <v>* group[=].element[+].code = #Result.narrative.notes</v>
      </c>
    </row>
    <row r="28" spans="1:19" ht="73.75" x14ac:dyDescent="0.75">
      <c r="A28" s="23"/>
      <c r="B28" s="9" t="str">
        <f>'A.5 Results'!B18</f>
        <v>observation.device</v>
      </c>
      <c r="C28" s="9" t="str">
        <f>'A.5 Results'!C18</f>
        <v>A.5.2.5 Observation device</v>
      </c>
      <c r="D28" s="14" t="s">
        <v>745</v>
      </c>
      <c r="E28" s="14"/>
      <c r="F28" s="75" t="s">
        <v>619</v>
      </c>
      <c r="G28" s="82" t="s">
        <v>885</v>
      </c>
      <c r="H28" s="76"/>
      <c r="I28" s="14" t="str">
        <f t="shared" si="4"/>
        <v>* group[=].element[+].code = #Result.observation.device</v>
      </c>
      <c r="J28" s="14" t="str">
        <f t="shared" si="5"/>
        <v>* group[=].element[=].display = ##34#A.5.2.5 Observation device##34#</v>
      </c>
      <c r="K28" s="14" t="str">
        <f t="shared" si="6"/>
        <v>* group[=].element[=].target.code = #Observation.device</v>
      </c>
      <c r="L28" s="14" t="str">
        <f t="shared" si="7"/>
        <v>* group[=].element[=].target.display = ##34###34#</v>
      </c>
      <c r="M28" s="14" t="str">
        <f t="shared" si="8"/>
        <v>* group[=].element[=].target.equivalence = #relatedto</v>
      </c>
      <c r="N28" s="14" t="str">
        <f t="shared" si="9"/>
        <v>* group[=].element[=].target.comment = ##34#When it refers to the measuring device, including kits, and device of type Device##34#</v>
      </c>
      <c r="P28" s="9">
        <v>14</v>
      </c>
      <c r="Q28" s="9">
        <f t="shared" si="10"/>
        <v>2</v>
      </c>
      <c r="R28" s="9">
        <f t="shared" si="11"/>
        <v>2</v>
      </c>
      <c r="S28" s="14" t="str" cm="1">
        <f t="array" ref="S28">INDEX('Results-ConceptMap-3'!$I$15:$N$126,Q28+1,R28)</f>
        <v>* group[=].element[=].display = ##34#A.5.1.2 Comments, interpretation and recommendations##34#</v>
      </c>
    </row>
    <row r="29" spans="1:19" ht="73.75" x14ac:dyDescent="0.75">
      <c r="B29" s="9" t="str">
        <f>'A.5 Results'!B18</f>
        <v>observation.device</v>
      </c>
      <c r="C29" s="9" t="str">
        <f>'A.5 Results'!C18</f>
        <v>A.5.2.5 Observation device</v>
      </c>
      <c r="D29" s="14" t="s">
        <v>884</v>
      </c>
      <c r="E29" s="14"/>
      <c r="F29" s="75" t="s">
        <v>619</v>
      </c>
      <c r="G29" s="82" t="s">
        <v>886</v>
      </c>
      <c r="H29" s="76"/>
      <c r="I29" s="14" t="str">
        <f t="shared" si="4"/>
        <v>* group[=].element[+].code = #Result.observation.device</v>
      </c>
      <c r="J29" s="14" t="str">
        <f t="shared" si="5"/>
        <v>* group[=].element[=].display = ##34#A.5.2.5 Observation device##34#</v>
      </c>
      <c r="K29" s="14" t="str">
        <f t="shared" si="6"/>
        <v>* group[=].element[=].target.code = #Observation.device.device</v>
      </c>
      <c r="L29" s="14" t="str">
        <f t="shared" si="7"/>
        <v>* group[=].element[=].target.display = ##34###34#</v>
      </c>
      <c r="M29" s="14" t="str">
        <f t="shared" si="8"/>
        <v>* group[=].element[=].target.equivalence = #relatedto</v>
      </c>
      <c r="N29" s="14" t="str">
        <f t="shared" si="9"/>
        <v>* group[=].element[=].target.comment = ##34#When it refers to the measuring device and device of type DeviceMeasure##34#</v>
      </c>
      <c r="P29" s="9">
        <v>15</v>
      </c>
      <c r="Q29" s="9">
        <f t="shared" si="10"/>
        <v>2</v>
      </c>
      <c r="R29" s="9">
        <f t="shared" si="11"/>
        <v>3</v>
      </c>
      <c r="S29" s="14" t="str" cm="1">
        <f t="array" ref="S29">INDEX('Results-ConceptMap-3'!$I$15:$N$126,Q29+1,R29)</f>
        <v>//-- unmatched</v>
      </c>
    </row>
    <row r="30" spans="1:19" ht="118" x14ac:dyDescent="0.75">
      <c r="B30" s="9" t="str">
        <f>'A.5 Results'!B18</f>
        <v>observation.device</v>
      </c>
      <c r="C30" s="9" t="str">
        <f>'A.5 Results'!C18</f>
        <v>A.5.2.5 Observation device</v>
      </c>
      <c r="D30" s="14" t="s">
        <v>745</v>
      </c>
      <c r="E30" s="14"/>
      <c r="F30" s="75" t="s">
        <v>619</v>
      </c>
      <c r="G30" s="96" t="s">
        <v>971</v>
      </c>
      <c r="H30" s="76"/>
      <c r="I30" s="14" t="str">
        <f t="shared" si="4"/>
        <v>* group[=].element[+].code = #Result.observation.device</v>
      </c>
      <c r="J30" s="14" t="str">
        <f t="shared" si="5"/>
        <v>* group[=].element[=].display = ##34#A.5.2.5 Observation device##34#</v>
      </c>
      <c r="K30" s="14" t="str">
        <f t="shared" si="6"/>
        <v>* group[=].element[=].target.code = #Observation.device</v>
      </c>
      <c r="L30" s="14" t="str">
        <f t="shared" si="7"/>
        <v>* group[=].element[=].target.display = ##34###34#</v>
      </c>
      <c r="M30" s="14" t="str">
        <f t="shared" si="8"/>
        <v>* group[=].element[=].target.equivalence = #relatedto</v>
      </c>
      <c r="N30" s="14" t="str">
        <f t="shared" si="9"/>
        <v>* group[=].element[=].target.comment = ##34#With device of type DeviceMeasure.
This resource can be used to capture some information about the setting (including calibration)##34#</v>
      </c>
      <c r="P30" s="9">
        <v>16</v>
      </c>
      <c r="Q30" s="9">
        <f t="shared" si="10"/>
        <v>2</v>
      </c>
      <c r="R30" s="9">
        <f t="shared" si="11"/>
        <v>4</v>
      </c>
      <c r="S30" s="14" t="str" cm="1">
        <f t="array" ref="S30">INDEX('Results-ConceptMap-3'!$I$15:$N$126,Q30+1,R30)</f>
        <v>//-- unmatched</v>
      </c>
    </row>
    <row r="31" spans="1:19" ht="44.25" x14ac:dyDescent="0.75">
      <c r="B31" s="9" t="str">
        <f>'A.5 Results'!B19</f>
        <v>observation.order</v>
      </c>
      <c r="C31" s="9" t="str">
        <f>'A.5 Results'!C19</f>
        <v>A.5.2.8 Order</v>
      </c>
      <c r="D31" s="14" t="s">
        <v>757</v>
      </c>
      <c r="E31" s="14"/>
      <c r="F31" s="75" t="s">
        <v>618</v>
      </c>
      <c r="G31" s="83"/>
      <c r="H31" s="76"/>
      <c r="I31" s="14" t="str">
        <f t="shared" si="4"/>
        <v>* group[=].element[+].code = #Result.observation.order</v>
      </c>
      <c r="J31" s="14" t="str">
        <f t="shared" si="5"/>
        <v>* group[=].element[=].display = ##34#A.5.2.8 Order##34#</v>
      </c>
      <c r="K31" s="14" t="str">
        <f t="shared" si="6"/>
        <v>* group[=].element[=].target.code = #Observation.basedOn</v>
      </c>
      <c r="L31" s="14" t="str">
        <f t="shared" si="7"/>
        <v>* group[=].element[=].target.display = ##34###34#</v>
      </c>
      <c r="M31" s="14" t="str">
        <f t="shared" si="8"/>
        <v>* group[=].element[=].target.equivalence = #equivalent</v>
      </c>
      <c r="N31" s="14" t="str">
        <f t="shared" si="9"/>
        <v/>
      </c>
      <c r="P31" s="9">
        <v>17</v>
      </c>
      <c r="Q31" s="9">
        <f t="shared" si="10"/>
        <v>2</v>
      </c>
      <c r="R31" s="9">
        <f t="shared" si="11"/>
        <v>5</v>
      </c>
      <c r="S31" s="14" t="str" cm="1">
        <f t="array" ref="S31">INDEX('Results-ConceptMap-3'!$I$15:$N$126,Q31+1,R31)</f>
        <v>* group[=].element[=].target.equivalence = #unmatched</v>
      </c>
    </row>
    <row r="32" spans="1:19" ht="44.25" x14ac:dyDescent="0.75">
      <c r="B32" s="9" t="str">
        <f>'A.5 Results'!B20</f>
        <v>observation.performer</v>
      </c>
      <c r="C32" s="9" t="str">
        <f>'A.5 Results'!C20</f>
        <v>A.5.2.9 Performer</v>
      </c>
      <c r="D32" s="14" t="s">
        <v>746</v>
      </c>
      <c r="E32" s="14"/>
      <c r="F32" s="75" t="s">
        <v>618</v>
      </c>
      <c r="G32" s="75"/>
      <c r="H32" s="76"/>
      <c r="I32" s="14" t="str">
        <f t="shared" si="4"/>
        <v>* group[=].element[+].code = #Result.observation.performer</v>
      </c>
      <c r="J32" s="14" t="str">
        <f t="shared" si="5"/>
        <v>* group[=].element[=].display = ##34#A.5.2.9 Performer##34#</v>
      </c>
      <c r="K32" s="14" t="str">
        <f t="shared" si="6"/>
        <v>* group[=].element[=].target.code = #Observation.performer</v>
      </c>
      <c r="L32" s="14" t="str">
        <f t="shared" si="7"/>
        <v>* group[=].element[=].target.display = ##34###34#</v>
      </c>
      <c r="M32" s="14" t="str">
        <f t="shared" si="8"/>
        <v>* group[=].element[=].target.equivalence = #equivalent</v>
      </c>
      <c r="N32" s="14" t="str">
        <f t="shared" si="9"/>
        <v/>
      </c>
      <c r="P32" s="9">
        <v>18</v>
      </c>
      <c r="Q32" s="9">
        <f t="shared" si="10"/>
        <v>2</v>
      </c>
      <c r="R32" s="9">
        <f t="shared" si="11"/>
        <v>6</v>
      </c>
      <c r="S32" s="14" t="str" cm="1">
        <f t="array" ref="S32">INDEX('Results-ConceptMap-3'!$I$15:$N$126,Q32+1,R32)</f>
        <v/>
      </c>
    </row>
    <row r="33" spans="1:19" ht="42.5" customHeight="1" x14ac:dyDescent="0.75">
      <c r="B33" s="9" t="str">
        <f>'A.5 Results'!B21</f>
        <v>observation.reporter</v>
      </c>
      <c r="C33" s="9" t="str">
        <f>'A.5 Results'!C21</f>
        <v>A.5.2.10 Reporter</v>
      </c>
      <c r="D33" s="14" t="s">
        <v>746</v>
      </c>
      <c r="E33" s="14"/>
      <c r="F33" s="75" t="s">
        <v>619</v>
      </c>
      <c r="G33" s="82" t="s">
        <v>806</v>
      </c>
      <c r="H33" s="76"/>
      <c r="I33" s="14" t="str">
        <f t="shared" si="4"/>
        <v>* group[=].element[+].code = #Result.observation.reporter</v>
      </c>
      <c r="J33" s="14" t="str">
        <f t="shared" si="5"/>
        <v>* group[=].element[=].display = ##34#A.5.2.10 Reporter##34#</v>
      </c>
      <c r="K33" s="14" t="str">
        <f t="shared" si="6"/>
        <v>* group[=].element[=].target.code = #Observation.performer</v>
      </c>
      <c r="L33" s="14" t="str">
        <f t="shared" si="7"/>
        <v>* group[=].element[=].target.display = ##34###34#</v>
      </c>
      <c r="M33" s="14" t="str">
        <f t="shared" si="8"/>
        <v>* group[=].element[=].target.equivalence = #relatedto</v>
      </c>
      <c r="N33" s="14" t="str">
        <f t="shared" si="9"/>
        <v>* group[=].element[=].target.comment = ##34#For interpreter: performer.extension:performerFunction = AUT (author)
If the person responsible for validation:  performer.extension:performerFunction = AUTHEN or LA##34#</v>
      </c>
      <c r="P33" s="9">
        <v>19</v>
      </c>
      <c r="Q33" s="9">
        <f t="shared" si="10"/>
        <v>3</v>
      </c>
      <c r="R33" s="9">
        <f t="shared" si="11"/>
        <v>1</v>
      </c>
      <c r="S33" s="14" t="str" cm="1">
        <f t="array" ref="S33">INDEX('Results-ConceptMap-3'!$I$15:$N$126,Q33+1,R33)</f>
        <v>* group[=].element[+].code = #Result.observation</v>
      </c>
    </row>
    <row r="34" spans="1:19" ht="59" x14ac:dyDescent="0.75">
      <c r="B34" s="9" t="str">
        <f>'A.5 Results'!B22</f>
        <v>observation.result</v>
      </c>
      <c r="C34" s="9" t="str">
        <f>'A.5 Results'!C22</f>
        <v>A.5.2.11 Observation result</v>
      </c>
      <c r="D34" s="14" t="s">
        <v>750</v>
      </c>
      <c r="E34" s="14"/>
      <c r="F34" s="75" t="s">
        <v>618</v>
      </c>
      <c r="G34" s="75" t="s">
        <v>752</v>
      </c>
      <c r="H34" s="76"/>
      <c r="I34" s="14" t="str">
        <f t="shared" si="4"/>
        <v>* group[=].element[+].code = #Result.observation.result</v>
      </c>
      <c r="J34" s="14" t="str">
        <f t="shared" si="5"/>
        <v>* group[=].element[=].display = ##34#A.5.2.11 Observation result##34#</v>
      </c>
      <c r="K34" s="14" t="str">
        <f t="shared" si="6"/>
        <v>* group[=].element[=].target.code = #Observation.value[x]</v>
      </c>
      <c r="L34" s="14" t="str">
        <f t="shared" si="7"/>
        <v>* group[=].element[=].target.display = ##34###34#</v>
      </c>
      <c r="M34" s="14" t="str">
        <f t="shared" si="8"/>
        <v>* group[=].element[=].target.equivalence = #equivalent</v>
      </c>
      <c r="N34" s="14" t="str">
        <f t="shared" si="9"/>
        <v>* group[=].element[=].target.comment = ##34#depends on the type of test##34#</v>
      </c>
      <c r="P34" s="9">
        <v>20</v>
      </c>
      <c r="Q34" s="9">
        <f t="shared" si="10"/>
        <v>3</v>
      </c>
      <c r="R34" s="9">
        <f t="shared" si="11"/>
        <v>2</v>
      </c>
      <c r="S34" s="14" t="str" cm="1">
        <f t="array" ref="S34">INDEX('Results-ConceptMap-3'!$I$15:$N$126,Q34+1,R34)</f>
        <v>* group[=].element[=].display = ##34#A.5.2 Observation details##34#</v>
      </c>
    </row>
    <row r="35" spans="1:19" ht="73.75" x14ac:dyDescent="0.75">
      <c r="B35" s="9" t="str">
        <f>'A.5 Results'!B22</f>
        <v>observation.result</v>
      </c>
      <c r="C35" s="9" t="str">
        <f>'A.5 Results'!C22</f>
        <v>A.5.2.11 Observation result</v>
      </c>
      <c r="D35" s="14" t="s">
        <v>751</v>
      </c>
      <c r="E35" s="14"/>
      <c r="F35" s="75" t="s">
        <v>618</v>
      </c>
      <c r="G35" s="75" t="s">
        <v>752</v>
      </c>
      <c r="H35" s="76"/>
      <c r="I35" s="14" t="str">
        <f t="shared" si="4"/>
        <v>* group[=].element[+].code = #Result.observation.result</v>
      </c>
      <c r="J35" s="14" t="str">
        <f t="shared" si="5"/>
        <v>* group[=].element[=].display = ##34#A.5.2.11 Observation result##34#</v>
      </c>
      <c r="K35" s="14" t="str">
        <f t="shared" si="6"/>
        <v>* group[=].element[=].target.code = #Observation.component.value[x]</v>
      </c>
      <c r="L35" s="14" t="str">
        <f t="shared" si="7"/>
        <v>* group[=].element[=].target.display = ##34###34#</v>
      </c>
      <c r="M35" s="14" t="str">
        <f t="shared" si="8"/>
        <v>* group[=].element[=].target.equivalence = #equivalent</v>
      </c>
      <c r="N35" s="14" t="str">
        <f t="shared" si="9"/>
        <v>* group[=].element[=].target.comment = ##34#depends on the type of test##34#</v>
      </c>
      <c r="P35" s="9">
        <v>21</v>
      </c>
      <c r="Q35" s="9">
        <f t="shared" si="10"/>
        <v>3</v>
      </c>
      <c r="R35" s="9">
        <f t="shared" si="11"/>
        <v>3</v>
      </c>
      <c r="S35" s="14" t="str" cm="1">
        <f t="array" ref="S35">INDEX('Results-ConceptMap-3'!$I$15:$N$126,Q35+1,R35)</f>
        <v>* group[=].element[=].target.code = #Observation</v>
      </c>
    </row>
    <row r="36" spans="1:19" ht="59" x14ac:dyDescent="0.75">
      <c r="B36" s="9" t="str">
        <f>'A.5 Results'!B23</f>
        <v>observation.interpretation</v>
      </c>
      <c r="C36" s="9" t="str">
        <f>'A.5 Results'!C23</f>
        <v>A.5.2.12 Observation interpretation</v>
      </c>
      <c r="D36" s="14" t="s">
        <v>747</v>
      </c>
      <c r="E36" s="14"/>
      <c r="F36" s="75" t="s">
        <v>618</v>
      </c>
      <c r="G36" s="83" t="s">
        <v>752</v>
      </c>
      <c r="H36" s="76"/>
      <c r="I36" s="14" t="str">
        <f t="shared" si="4"/>
        <v>* group[=].element[+].code = #Result.observation.interpretation</v>
      </c>
      <c r="J36" s="14" t="str">
        <f t="shared" si="5"/>
        <v>* group[=].element[=].display = ##34#A.5.2.12 Observation interpretation##34#</v>
      </c>
      <c r="K36" s="14" t="str">
        <f t="shared" si="6"/>
        <v>* group[=].element[=].target.code = #Observation.interpretation</v>
      </c>
      <c r="L36" s="14" t="str">
        <f t="shared" si="7"/>
        <v>* group[=].element[=].target.display = ##34###34#</v>
      </c>
      <c r="M36" s="14" t="str">
        <f t="shared" si="8"/>
        <v>* group[=].element[=].target.equivalence = #equivalent</v>
      </c>
      <c r="N36" s="14" t="str">
        <f t="shared" si="9"/>
        <v>* group[=].element[=].target.comment = ##34#depends on the type of test##34#</v>
      </c>
      <c r="P36" s="9">
        <v>22</v>
      </c>
      <c r="Q36" s="9">
        <f t="shared" si="10"/>
        <v>3</v>
      </c>
      <c r="R36" s="9">
        <f t="shared" si="11"/>
        <v>4</v>
      </c>
      <c r="S36" s="14" t="str" cm="1">
        <f t="array" ref="S36">INDEX('Results-ConceptMap-3'!$I$15:$N$126,Q36+1,R36)</f>
        <v>* group[=].element[=].target.display = ##34###34#</v>
      </c>
    </row>
    <row r="37" spans="1:19" ht="73.75" x14ac:dyDescent="0.75">
      <c r="B37" s="9" t="str">
        <f>'A.5 Results'!B23</f>
        <v>observation.interpretation</v>
      </c>
      <c r="C37" s="9" t="str">
        <f>'A.5 Results'!C23</f>
        <v>A.5.2.12 Observation interpretation</v>
      </c>
      <c r="D37" s="14" t="s">
        <v>753</v>
      </c>
      <c r="E37" s="14"/>
      <c r="F37" s="75" t="s">
        <v>618</v>
      </c>
      <c r="G37" s="83" t="s">
        <v>752</v>
      </c>
      <c r="H37" s="76"/>
      <c r="I37" s="14" t="str">
        <f t="shared" si="4"/>
        <v>* group[=].element[+].code = #Result.observation.interpretation</v>
      </c>
      <c r="J37" s="14" t="str">
        <f t="shared" si="5"/>
        <v>* group[=].element[=].display = ##34#A.5.2.12 Observation interpretation##34#</v>
      </c>
      <c r="K37" s="14" t="str">
        <f t="shared" si="6"/>
        <v>* group[=].element[=].target.code = #Observation.component.interpretation</v>
      </c>
      <c r="L37" s="14" t="str">
        <f t="shared" si="7"/>
        <v>* group[=].element[=].target.display = ##34###34#</v>
      </c>
      <c r="M37" s="14" t="str">
        <f t="shared" si="8"/>
        <v>* group[=].element[=].target.equivalence = #equivalent</v>
      </c>
      <c r="N37" s="14" t="str">
        <f t="shared" si="9"/>
        <v>* group[=].element[=].target.comment = ##34#depends on the type of test##34#</v>
      </c>
      <c r="P37" s="9">
        <v>23</v>
      </c>
      <c r="Q37" s="9">
        <f t="shared" si="10"/>
        <v>3</v>
      </c>
      <c r="R37" s="9">
        <f t="shared" si="11"/>
        <v>5</v>
      </c>
      <c r="S37" s="14" t="str" cm="1">
        <f t="array" ref="S37">INDEX('Results-ConceptMap-3'!$I$15:$N$126,Q37+1,R37)</f>
        <v>* group[=].element[=].target.equivalence = #equivalent</v>
      </c>
    </row>
    <row r="38" spans="1:19" ht="44.25" x14ac:dyDescent="0.75">
      <c r="B38" s="9" t="str">
        <f>'A.5 Results'!B24</f>
        <v>observation.description</v>
      </c>
      <c r="C38" s="9" t="str">
        <f>'A.5 Results'!C24</f>
        <v>A.5.2.13 Result description</v>
      </c>
      <c r="D38" s="14" t="s">
        <v>733</v>
      </c>
      <c r="E38" s="14"/>
      <c r="F38" s="75" t="s">
        <v>619</v>
      </c>
      <c r="G38" s="88"/>
      <c r="H38" s="76"/>
      <c r="I38" s="14" t="str">
        <f t="shared" si="4"/>
        <v>* group[=].element[+].code = #Result.observation.description</v>
      </c>
      <c r="J38" s="14" t="str">
        <f t="shared" si="5"/>
        <v>* group[=].element[=].display = ##34#A.5.2.13 Result description##34#</v>
      </c>
      <c r="K38" s="14" t="str">
        <f t="shared" si="6"/>
        <v>* group[=].element[=].target.code = #Observation.text</v>
      </c>
      <c r="L38" s="14" t="str">
        <f t="shared" si="7"/>
        <v>* group[=].element[=].target.display = ##34###34#</v>
      </c>
      <c r="M38" s="14" t="str">
        <f t="shared" si="8"/>
        <v>* group[=].element[=].target.equivalence = #relatedto</v>
      </c>
      <c r="N38" s="14" t="str">
        <f t="shared" si="9"/>
        <v/>
      </c>
      <c r="P38" s="9">
        <v>24</v>
      </c>
      <c r="Q38" s="9">
        <f t="shared" si="10"/>
        <v>3</v>
      </c>
      <c r="R38" s="9">
        <f t="shared" si="11"/>
        <v>6</v>
      </c>
      <c r="S38" s="14" t="str" cm="1">
        <f t="array" ref="S38">INDEX('Results-ConceptMap-3'!$I$15:$N$126,Q38+1,R38)</f>
        <v/>
      </c>
    </row>
    <row r="39" spans="1:19" ht="73.75" x14ac:dyDescent="0.75">
      <c r="B39" s="9" t="str">
        <f>'A.5 Results'!B25</f>
        <v>observation.accreditationStatus</v>
      </c>
      <c r="C39" s="9" t="str">
        <f>'A.5 Results'!C25</f>
        <v>A.5.2.14 Accreditation status</v>
      </c>
      <c r="D39" s="14" t="s">
        <v>758</v>
      </c>
      <c r="E39" s="14"/>
      <c r="F39" s="75" t="s">
        <v>619</v>
      </c>
      <c r="G39" s="83" t="s">
        <v>926</v>
      </c>
      <c r="H39" s="76"/>
      <c r="I39" s="14" t="str">
        <f t="shared" si="4"/>
        <v>* group[=].element[+].code = #Result.observation.accreditationStatus</v>
      </c>
      <c r="J39" s="14" t="str">
        <f t="shared" si="5"/>
        <v>* group[=].element[=].display = ##34#A.5.2.14 Accreditation status##34#</v>
      </c>
      <c r="K39" s="14" t="str">
        <f t="shared" si="6"/>
        <v>* group[=].element[=].target.code = #Observation.performer.qualification</v>
      </c>
      <c r="L39" s="14" t="str">
        <f t="shared" si="7"/>
        <v>* group[=].element[=].target.display = ##34###34#</v>
      </c>
      <c r="M39" s="14" t="str">
        <f t="shared" si="8"/>
        <v>* group[=].element[=].target.equivalence = #relatedto</v>
      </c>
      <c r="N39" s="14" t="str">
        <f t="shared" si="9"/>
        <v>* group[=].element[=].target.comment = ##34#performer ofType PractitionerRole##34#</v>
      </c>
      <c r="P39" s="9">
        <v>25</v>
      </c>
      <c r="Q39" s="9">
        <f t="shared" si="10"/>
        <v>4</v>
      </c>
      <c r="R39" s="9">
        <f t="shared" si="11"/>
        <v>1</v>
      </c>
      <c r="S39" s="14" t="str" cm="1">
        <f t="array" ref="S39">INDEX('Results-ConceptMap-3'!$I$15:$N$126,Q39+1,R39)</f>
        <v>* group[=].element[+].code = #Result.observation.dateTime</v>
      </c>
    </row>
    <row r="40" spans="1:19" ht="73.75" x14ac:dyDescent="0.75">
      <c r="B40" s="9" t="str">
        <f>'A.5 Results'!B25</f>
        <v>observation.accreditationStatus</v>
      </c>
      <c r="C40" s="9" t="str">
        <f>'A.5 Results'!C25</f>
        <v>A.5.2.14 Accreditation status</v>
      </c>
      <c r="D40" s="14" t="s">
        <v>759</v>
      </c>
      <c r="E40" s="14"/>
      <c r="F40" s="75" t="s">
        <v>619</v>
      </c>
      <c r="G40" s="83" t="s">
        <v>807</v>
      </c>
      <c r="H40" s="76"/>
      <c r="I40" s="14" t="str">
        <f t="shared" si="4"/>
        <v>* group[=].element[+].code = #Result.observation.accreditationStatus</v>
      </c>
      <c r="J40" s="14" t="str">
        <f t="shared" si="5"/>
        <v>* group[=].element[=].display = ##34#A.5.2.14 Accreditation status##34#</v>
      </c>
      <c r="K40" s="14" t="str">
        <f t="shared" si="6"/>
        <v>* group[=].element[=].target.code = #Observation.performer.organization.qualification</v>
      </c>
      <c r="L40" s="14" t="str">
        <f t="shared" si="7"/>
        <v>* group[=].element[=].target.display = ##34###34#</v>
      </c>
      <c r="M40" s="14" t="str">
        <f t="shared" si="8"/>
        <v>* group[=].element[=].target.equivalence = #relatedto</v>
      </c>
      <c r="N40" s="14" t="str">
        <f t="shared" si="9"/>
        <v>* group[=].element[=].target.comment = ##34#performer ofType Organization##34#</v>
      </c>
      <c r="P40" s="9">
        <v>26</v>
      </c>
      <c r="Q40" s="9">
        <f t="shared" si="10"/>
        <v>4</v>
      </c>
      <c r="R40" s="9">
        <f t="shared" si="11"/>
        <v>2</v>
      </c>
      <c r="S40" s="14" t="str" cm="1">
        <f t="array" ref="S40">INDEX('Results-ConceptMap-3'!$I$15:$N$126,Q40+1,R40)</f>
        <v>* group[=].element[=].display = ##34#A.5.2.1 Observation date##34#</v>
      </c>
    </row>
    <row r="41" spans="1:19" x14ac:dyDescent="0.75">
      <c r="B41" s="9"/>
      <c r="C41" s="9"/>
      <c r="D41" s="14"/>
      <c r="E41" s="14"/>
      <c r="F41" s="75"/>
      <c r="G41" s="75"/>
      <c r="H41" s="76"/>
      <c r="I41" s="14"/>
      <c r="J41" s="14"/>
      <c r="K41" s="14"/>
      <c r="L41" s="14"/>
      <c r="M41" s="14"/>
      <c r="N41" s="14"/>
      <c r="P41" s="9">
        <v>27</v>
      </c>
      <c r="Q41" s="9">
        <f t="shared" si="10"/>
        <v>4</v>
      </c>
      <c r="R41" s="9">
        <f t="shared" si="11"/>
        <v>3</v>
      </c>
      <c r="S41" s="14" t="str" cm="1">
        <f t="array" ref="S41">INDEX('Results-ConceptMap-3'!$I$15:$N$126,Q41+1,R41)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1"/>
        <v>4</v>
      </c>
      <c r="S42" s="14" t="str" cm="1">
        <f t="array" ref="S42">INDEX('Results-ConceptMap-3'!$I$15:$N$126,Q42+1,R42)</f>
        <v>* group[=].element[=].target.display = ##34###34#</v>
      </c>
    </row>
    <row r="43" spans="1:19" x14ac:dyDescent="0.75">
      <c r="B43" s="9"/>
      <c r="C43" s="9"/>
      <c r="D43" s="14"/>
      <c r="E43" s="14"/>
      <c r="F43" s="75"/>
      <c r="G43" s="75"/>
      <c r="H43" s="76"/>
      <c r="I43" s="14"/>
      <c r="J43" s="14"/>
      <c r="K43" s="14"/>
      <c r="L43" s="14"/>
      <c r="M43" s="14"/>
      <c r="N43" s="14"/>
      <c r="P43" s="9">
        <v>29</v>
      </c>
      <c r="Q43" s="9">
        <f t="shared" si="10"/>
        <v>4</v>
      </c>
      <c r="R43" s="9">
        <f t="shared" si="11"/>
        <v>5</v>
      </c>
      <c r="S43" s="14" t="str" cm="1">
        <f t="array" ref="S43">INDEX('Results-ConceptMap-3'!$I$15:$N$126,Q43+1,R43)</f>
        <v>* group[=].element[=].target.equivalence = #equivalent</v>
      </c>
    </row>
    <row r="44" spans="1:19" x14ac:dyDescent="0.75">
      <c r="B44" s="9"/>
      <c r="C44" s="9"/>
      <c r="D44" s="14"/>
      <c r="E44" s="14"/>
      <c r="F44" s="75"/>
      <c r="G44" s="75"/>
      <c r="H44" s="76"/>
      <c r="I44" s="14"/>
      <c r="J44" s="14"/>
      <c r="K44" s="14"/>
      <c r="L44" s="14"/>
      <c r="M44" s="14"/>
      <c r="N44" s="14"/>
      <c r="P44" s="9">
        <v>30</v>
      </c>
      <c r="Q44" s="9">
        <f t="shared" si="10"/>
        <v>4</v>
      </c>
      <c r="R44" s="9">
        <f t="shared" si="11"/>
        <v>6</v>
      </c>
      <c r="S44" s="14" t="str" cm="1">
        <f t="array" ref="S44">INDEX('Results-ConceptMap-3'!$I$15:$N$126,Q44+1,R44)</f>
        <v>* group[=].element[=].target.comment = ##34#intended as the clinical relevant time (i.e. when the specimen was collected)##34#</v>
      </c>
    </row>
    <row r="45" spans="1:19" s="1" customFormat="1" x14ac:dyDescent="0.75">
      <c r="A45"/>
      <c r="B45" s="9"/>
      <c r="C45" s="9"/>
      <c r="D45" s="14"/>
      <c r="E45" s="14"/>
      <c r="F45" s="75"/>
      <c r="G45" s="76"/>
      <c r="H45" s="76"/>
      <c r="J45"/>
      <c r="K45" s="76"/>
      <c r="L45" s="76"/>
      <c r="M45" s="74"/>
      <c r="N45" s="74"/>
      <c r="P45" s="9">
        <v>31</v>
      </c>
      <c r="Q45" s="9">
        <f t="shared" si="10"/>
        <v>5</v>
      </c>
      <c r="R45" s="9">
        <f t="shared" si="11"/>
        <v>1</v>
      </c>
      <c r="S45" s="14" t="str" cm="1">
        <f t="array" ref="S45">INDEX('Results-ConceptMap-3'!$I$15:$N$126,Q45+1,R45)</f>
        <v>* group[=].element[+].code = #Result.observation.dateTime</v>
      </c>
    </row>
    <row r="46" spans="1:19" s="1" customFormat="1" x14ac:dyDescent="0.75">
      <c r="A46"/>
      <c r="B46" s="9"/>
      <c r="C46" s="9"/>
      <c r="D46" s="60"/>
      <c r="F46" s="76"/>
      <c r="G46" s="76"/>
      <c r="H46" s="76"/>
      <c r="J46"/>
      <c r="K46" s="76"/>
      <c r="L46" s="76"/>
      <c r="M46" s="74"/>
      <c r="N46" s="74"/>
      <c r="P46" s="9">
        <v>32</v>
      </c>
      <c r="Q46" s="9">
        <f t="shared" si="10"/>
        <v>5</v>
      </c>
      <c r="R46" s="9">
        <f t="shared" si="11"/>
        <v>2</v>
      </c>
      <c r="S46" s="14" t="str" cm="1">
        <f t="array" ref="S46">INDEX('Results-ConceptMap-3'!$I$15:$N$126,Q46+1,R46)</f>
        <v>* group[=].element[=].display = ##34#A.5.2.1 Observation date##34#</v>
      </c>
    </row>
    <row r="47" spans="1:19" x14ac:dyDescent="0.75">
      <c r="P47" s="9">
        <v>33</v>
      </c>
      <c r="Q47" s="9">
        <f t="shared" si="10"/>
        <v>5</v>
      </c>
      <c r="R47" s="9">
        <f t="shared" si="11"/>
        <v>3</v>
      </c>
      <c r="S47" s="14" t="str" cm="1">
        <f t="array" ref="S47">INDEX('Results-ConceptMap-3'!$I$15:$N$126,Q47+1,R47)</f>
        <v>* group[=].element[=].target.code = #Observation.issued</v>
      </c>
    </row>
    <row r="48" spans="1:19" x14ac:dyDescent="0.75">
      <c r="P48" s="9">
        <v>34</v>
      </c>
      <c r="Q48" s="9">
        <f t="shared" si="10"/>
        <v>5</v>
      </c>
      <c r="R48" s="9">
        <f t="shared" si="11"/>
        <v>4</v>
      </c>
      <c r="S48" s="14" t="str" cm="1">
        <f t="array" ref="S48">INDEX('Results-ConceptMap-3'!$I$15:$N$126,Q48+1,R48)</f>
        <v>* group[=].element[=].target.display = ##34###34#</v>
      </c>
    </row>
    <row r="49" spans="16:19" x14ac:dyDescent="0.75">
      <c r="P49" s="9">
        <v>35</v>
      </c>
      <c r="Q49" s="9">
        <f t="shared" si="10"/>
        <v>5</v>
      </c>
      <c r="R49" s="9">
        <f t="shared" si="11"/>
        <v>5</v>
      </c>
      <c r="S49" s="14" t="str" cm="1">
        <f t="array" ref="S49">INDEX('Results-ConceptMap-3'!$I$15:$N$126,Q49+1,R49)</f>
        <v>* group[=].element[=].target.equivalence = #equivalent</v>
      </c>
    </row>
    <row r="50" spans="16:19" x14ac:dyDescent="0.75">
      <c r="P50" s="9">
        <v>36</v>
      </c>
      <c r="Q50" s="9">
        <f t="shared" si="10"/>
        <v>5</v>
      </c>
      <c r="R50" s="9">
        <f t="shared" si="11"/>
        <v>6</v>
      </c>
      <c r="S50" s="14" t="str" cm="1">
        <f t="array" ref="S50">INDEX('Results-ConceptMap-3'!$I$15:$N$126,Q50+1,R50)</f>
        <v>* group[=].element[=].target.comment = ##34#as the date the result is made available.##34#</v>
      </c>
    </row>
    <row r="51" spans="16:19" x14ac:dyDescent="0.75">
      <c r="P51" s="9">
        <v>37</v>
      </c>
      <c r="Q51" s="9">
        <f t="shared" si="10"/>
        <v>6</v>
      </c>
      <c r="R51" s="9">
        <f t="shared" si="11"/>
        <v>1</v>
      </c>
      <c r="S51" s="14" t="str" cm="1">
        <f t="array" ref="S51">INDEX('Results-ConceptMap-3'!$I$15:$N$126,Q51+1,R51)</f>
        <v>* group[=].element[+].code = #Result.observation.code</v>
      </c>
    </row>
    <row r="52" spans="16:19" x14ac:dyDescent="0.75">
      <c r="P52" s="9">
        <v>38</v>
      </c>
      <c r="Q52" s="9">
        <f t="shared" si="10"/>
        <v>6</v>
      </c>
      <c r="R52" s="9">
        <f t="shared" si="11"/>
        <v>2</v>
      </c>
      <c r="S52" s="14" t="str" cm="1">
        <f t="array" ref="S52">INDEX('Results-ConceptMap-3'!$I$15:$N$126,Q52+1,R52)</f>
        <v>* group[=].element[=].display = ##34#A.5.2.3 Observation code##34#</v>
      </c>
    </row>
    <row r="53" spans="16:19" x14ac:dyDescent="0.75">
      <c r="P53" s="9">
        <v>39</v>
      </c>
      <c r="Q53" s="9">
        <f t="shared" si="10"/>
        <v>6</v>
      </c>
      <c r="R53" s="9">
        <f t="shared" si="11"/>
        <v>3</v>
      </c>
      <c r="S53" s="14" t="str" cm="1">
        <f t="array" ref="S53">INDEX('Results-ConceptMap-3'!$I$15:$N$126,Q53+1,R53)</f>
        <v>* group[=].element[=].target.code = #Observation.code</v>
      </c>
    </row>
    <row r="54" spans="16:19" x14ac:dyDescent="0.75">
      <c r="P54" s="9">
        <v>40</v>
      </c>
      <c r="Q54" s="9">
        <f t="shared" si="10"/>
        <v>6</v>
      </c>
      <c r="R54" s="9">
        <f t="shared" si="11"/>
        <v>4</v>
      </c>
      <c r="S54" s="14" t="str" cm="1">
        <f t="array" ref="S54">INDEX('Results-ConceptMap-3'!$I$15:$N$126,Q54+1,R54)</f>
        <v>* group[=].element[=].target.display = ##34###34#</v>
      </c>
    </row>
    <row r="55" spans="16:19" x14ac:dyDescent="0.75">
      <c r="P55" s="9">
        <v>41</v>
      </c>
      <c r="Q55" s="9">
        <f t="shared" si="10"/>
        <v>6</v>
      </c>
      <c r="R55" s="9">
        <f t="shared" si="11"/>
        <v>5</v>
      </c>
      <c r="S55" s="14" t="str" cm="1">
        <f t="array" ref="S55">INDEX('Results-ConceptMap-3'!$I$15:$N$126,Q55+1,R55)</f>
        <v>* group[=].element[=].target.equivalence = #relatedto</v>
      </c>
    </row>
    <row r="56" spans="16:19" x14ac:dyDescent="0.75">
      <c r="P56" s="9">
        <v>42</v>
      </c>
      <c r="Q56" s="9">
        <f t="shared" si="10"/>
        <v>6</v>
      </c>
      <c r="R56" s="9">
        <f t="shared" si="11"/>
        <v>6</v>
      </c>
      <c r="S56" s="14" t="str" cm="1">
        <f t="array" ref="S56">INDEX('Results-ConceptMap-3'!$I$15:$N$126,Q56+1,R56)</f>
        <v>* group[=].element[=].target.comment = ##34#depends on the type of test##34#</v>
      </c>
    </row>
    <row r="57" spans="16:19" x14ac:dyDescent="0.75">
      <c r="P57" s="9">
        <v>43</v>
      </c>
      <c r="Q57" s="9">
        <f t="shared" si="10"/>
        <v>7</v>
      </c>
      <c r="R57" s="9">
        <f t="shared" si="11"/>
        <v>1</v>
      </c>
      <c r="S57" s="14" t="str" cm="1">
        <f t="array" ref="S57">INDEX('Results-ConceptMap-3'!$I$15:$N$126,Q57+1,R57)</f>
        <v>* group[=].element[+].code = #Result.observation.code</v>
      </c>
    </row>
    <row r="58" spans="16:19" x14ac:dyDescent="0.75">
      <c r="P58" s="9">
        <v>44</v>
      </c>
      <c r="Q58" s="9">
        <f t="shared" si="10"/>
        <v>7</v>
      </c>
      <c r="R58" s="9">
        <f t="shared" si="11"/>
        <v>2</v>
      </c>
      <c r="S58" s="14" t="str" cm="1">
        <f t="array" ref="S58">INDEX('Results-ConceptMap-3'!$I$15:$N$126,Q58+1,R58)</f>
        <v>* group[=].element[=].display = ##34#A.5.2.3 Observation code##34#</v>
      </c>
    </row>
    <row r="59" spans="16:19" x14ac:dyDescent="0.75">
      <c r="P59" s="9">
        <v>45</v>
      </c>
      <c r="Q59" s="9">
        <f t="shared" si="10"/>
        <v>7</v>
      </c>
      <c r="R59" s="9">
        <f t="shared" si="11"/>
        <v>3</v>
      </c>
      <c r="S59" s="14" t="str" cm="1">
        <f t="array" ref="S59">INDEX('Results-ConceptMap-3'!$I$15:$N$126,Q59+1,R59)</f>
        <v>* group[=].element[=].target.code = #Observation.hasMember.code</v>
      </c>
    </row>
    <row r="60" spans="16:19" x14ac:dyDescent="0.75">
      <c r="P60" s="9">
        <v>46</v>
      </c>
      <c r="Q60" s="9">
        <f t="shared" si="10"/>
        <v>7</v>
      </c>
      <c r="R60" s="9">
        <f t="shared" si="11"/>
        <v>4</v>
      </c>
      <c r="S60" s="14" t="str" cm="1">
        <f t="array" ref="S60">INDEX('Results-ConceptMap-3'!$I$15:$N$126,Q60+1,R60)</f>
        <v>* group[=].element[=].target.display = ##34###34#</v>
      </c>
    </row>
    <row r="61" spans="16:19" x14ac:dyDescent="0.75">
      <c r="P61" s="9">
        <v>47</v>
      </c>
      <c r="Q61" s="9">
        <f t="shared" si="10"/>
        <v>7</v>
      </c>
      <c r="R61" s="9">
        <f t="shared" si="11"/>
        <v>5</v>
      </c>
      <c r="S61" s="14" t="str" cm="1">
        <f t="array" ref="S61">INDEX('Results-ConceptMap-3'!$I$15:$N$126,Q61+1,R61)</f>
        <v>* group[=].element[=].target.equivalence = #relatedto</v>
      </c>
    </row>
    <row r="62" spans="16:19" x14ac:dyDescent="0.75">
      <c r="P62" s="9">
        <v>48</v>
      </c>
      <c r="Q62" s="9">
        <f t="shared" si="10"/>
        <v>7</v>
      </c>
      <c r="R62" s="9">
        <f t="shared" si="11"/>
        <v>6</v>
      </c>
      <c r="S62" s="14" t="str" cm="1">
        <f t="array" ref="S62">INDEX('Results-ConceptMap-3'!$I$15:$N$126,Q62+1,R62)</f>
        <v>* group[=].element[=].target.comment = ##34#depends on the type of test##34#</v>
      </c>
    </row>
    <row r="63" spans="16:19" x14ac:dyDescent="0.75">
      <c r="P63" s="9">
        <v>49</v>
      </c>
      <c r="Q63" s="9">
        <f t="shared" si="10"/>
        <v>8</v>
      </c>
      <c r="R63" s="9">
        <f t="shared" si="11"/>
        <v>1</v>
      </c>
      <c r="S63" s="14" t="str" cm="1">
        <f t="array" ref="S63">INDEX('Results-ConceptMap-3'!$I$15:$N$126,Q63+1,R63)</f>
        <v>* group[=].element[+].code = #Result.observation.code</v>
      </c>
    </row>
    <row r="64" spans="16:19" x14ac:dyDescent="0.75">
      <c r="P64" s="9">
        <v>50</v>
      </c>
      <c r="Q64" s="9">
        <f t="shared" si="10"/>
        <v>8</v>
      </c>
      <c r="R64" s="9">
        <f t="shared" si="11"/>
        <v>2</v>
      </c>
      <c r="S64" s="14" t="str" cm="1">
        <f t="array" ref="S64">INDEX('Results-ConceptMap-3'!$I$15:$N$126,Q64+1,R64)</f>
        <v>* group[=].element[=].display = ##34#A.5.2.3 Observation code##34#</v>
      </c>
    </row>
    <row r="65" spans="16:19" x14ac:dyDescent="0.75">
      <c r="P65" s="9">
        <v>51</v>
      </c>
      <c r="Q65" s="9">
        <f t="shared" si="10"/>
        <v>8</v>
      </c>
      <c r="R65" s="9">
        <f t="shared" si="11"/>
        <v>3</v>
      </c>
      <c r="S65" s="14" t="str" cm="1">
        <f t="array" ref="S65">INDEX('Results-ConceptMap-3'!$I$15:$N$126,Q65+1,R65)</f>
        <v>* group[=].element[=].target.code = #Observation.component.code</v>
      </c>
    </row>
    <row r="66" spans="16:19" x14ac:dyDescent="0.75">
      <c r="P66" s="9">
        <v>52</v>
      </c>
      <c r="Q66" s="9">
        <f t="shared" si="10"/>
        <v>8</v>
      </c>
      <c r="R66" s="9">
        <f t="shared" si="11"/>
        <v>4</v>
      </c>
      <c r="S66" s="14" t="str" cm="1">
        <f t="array" ref="S66">INDEX('Results-ConceptMap-3'!$I$15:$N$126,Q66+1,R66)</f>
        <v>* group[=].element[=].target.display = ##34###34#</v>
      </c>
    </row>
    <row r="67" spans="16:19" x14ac:dyDescent="0.75">
      <c r="P67" s="9">
        <v>53</v>
      </c>
      <c r="Q67" s="9">
        <f t="shared" si="10"/>
        <v>8</v>
      </c>
      <c r="R67" s="9">
        <f t="shared" si="11"/>
        <v>5</v>
      </c>
      <c r="S67" s="14" t="str" cm="1">
        <f t="array" ref="S67">INDEX('Results-ConceptMap-3'!$I$15:$N$126,Q67+1,R67)</f>
        <v>* group[=].element[=].target.equivalence = #relatedto</v>
      </c>
    </row>
    <row r="68" spans="16:19" x14ac:dyDescent="0.75">
      <c r="P68" s="9">
        <v>54</v>
      </c>
      <c r="Q68" s="9">
        <f t="shared" si="10"/>
        <v>8</v>
      </c>
      <c r="R68" s="9">
        <f t="shared" si="11"/>
        <v>6</v>
      </c>
      <c r="S68" s="14" t="str" cm="1">
        <f t="array" ref="S68">INDEX('Results-ConceptMap-3'!$I$15:$N$126,Q68+1,R68)</f>
        <v>* group[=].element[=].target.comment = ##34#depends on the type of test##34#</v>
      </c>
    </row>
    <row r="69" spans="16:19" x14ac:dyDescent="0.75">
      <c r="P69" s="9">
        <v>55</v>
      </c>
      <c r="Q69" s="9">
        <f t="shared" si="10"/>
        <v>9</v>
      </c>
      <c r="R69" s="9">
        <f t="shared" si="11"/>
        <v>1</v>
      </c>
      <c r="S69" s="14" t="str" cm="1">
        <f t="array" ref="S69">INDEX('Results-ConceptMap-3'!$I$15:$N$126,Q69+1,R69)</f>
        <v>* group[=].element[+].code = #Result.observation.code.name</v>
      </c>
    </row>
    <row r="70" spans="16:19" x14ac:dyDescent="0.75">
      <c r="P70" s="9">
        <v>56</v>
      </c>
      <c r="Q70" s="9">
        <f t="shared" si="10"/>
        <v>9</v>
      </c>
      <c r="R70" s="9">
        <f t="shared" si="11"/>
        <v>2</v>
      </c>
      <c r="S70" s="14" t="str" cm="1">
        <f t="array" ref="S70">INDEX('Results-ConceptMap-3'!$I$15:$N$126,Q70+1,R70)</f>
        <v>* group[=].element[=].display = ##34#A.5.2.3.1 Observation name##34#</v>
      </c>
    </row>
    <row r="71" spans="16:19" x14ac:dyDescent="0.75">
      <c r="P71" s="9">
        <v>57</v>
      </c>
      <c r="Q71" s="9">
        <f t="shared" si="10"/>
        <v>9</v>
      </c>
      <c r="R71" s="9">
        <f t="shared" si="11"/>
        <v>3</v>
      </c>
      <c r="S71" s="14" t="str" cm="1">
        <f t="array" ref="S71">INDEX('Results-ConceptMap-3'!$I$15:$N$126,Q71+1,R71)</f>
        <v>* group[=].element[=].target.code = #Observation.code.coding.display</v>
      </c>
    </row>
    <row r="72" spans="16:19" x14ac:dyDescent="0.75">
      <c r="P72" s="9">
        <v>58</v>
      </c>
      <c r="Q72" s="9">
        <f t="shared" si="10"/>
        <v>9</v>
      </c>
      <c r="R72" s="9">
        <f t="shared" si="11"/>
        <v>4</v>
      </c>
      <c r="S72" s="14" t="str" cm="1">
        <f t="array" ref="S72">INDEX('Results-ConceptMap-3'!$I$15:$N$126,Q72+1,R72)</f>
        <v>* group[=].element[=].target.display = ##34###34#</v>
      </c>
    </row>
    <row r="73" spans="16:19" x14ac:dyDescent="0.75">
      <c r="P73" s="9">
        <v>59</v>
      </c>
      <c r="Q73" s="9">
        <f t="shared" si="10"/>
        <v>9</v>
      </c>
      <c r="R73" s="9">
        <f t="shared" si="11"/>
        <v>5</v>
      </c>
      <c r="S73" s="14" t="str" cm="1">
        <f t="array" ref="S73">INDEX('Results-ConceptMap-3'!$I$15:$N$126,Q73+1,R73)</f>
        <v>* group[=].element[=].target.equivalence = #equivalent</v>
      </c>
    </row>
    <row r="74" spans="16:19" x14ac:dyDescent="0.75">
      <c r="P74" s="9">
        <v>60</v>
      </c>
      <c r="Q74" s="9">
        <f t="shared" si="10"/>
        <v>9</v>
      </c>
      <c r="R74" s="9">
        <f t="shared" si="11"/>
        <v>6</v>
      </c>
      <c r="S74" s="14" t="str" cm="1">
        <f t="array" ref="S74">INDEX('Results-ConceptMap-3'!$I$15:$N$126,Q74+1,R74)</f>
        <v>* group[=].element[=].target.comment = ##34#The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concept.##34#</v>
      </c>
    </row>
    <row r="75" spans="16:19" x14ac:dyDescent="0.75">
      <c r="P75" s="9">
        <v>61</v>
      </c>
      <c r="Q75" s="9">
        <f t="shared" si="10"/>
        <v>10</v>
      </c>
      <c r="R75" s="9">
        <f t="shared" si="11"/>
        <v>1</v>
      </c>
      <c r="S75" s="14" t="str" cm="1">
        <f t="array" ref="S75">INDEX('Results-ConceptMap-3'!$I$15:$N$126,Q75+1,R75)</f>
        <v>* group[=].element[+].code = #Result.observation.code.originalName</v>
      </c>
    </row>
    <row r="76" spans="16:19" x14ac:dyDescent="0.75">
      <c r="P76" s="9">
        <v>62</v>
      </c>
      <c r="Q76" s="9">
        <f t="shared" si="10"/>
        <v>10</v>
      </c>
      <c r="R76" s="9">
        <f t="shared" si="11"/>
        <v>2</v>
      </c>
      <c r="S76" s="14" t="str" cm="1">
        <f t="array" ref="S76">INDEX('Results-ConceptMap-3'!$I$15:$N$126,Q76+1,R76)</f>
        <v>* group[=].element[=].display = ##34#A.5.2.3.2 Observation original name##34#</v>
      </c>
    </row>
    <row r="77" spans="16:19" x14ac:dyDescent="0.75">
      <c r="P77" s="9">
        <v>63</v>
      </c>
      <c r="Q77" s="9">
        <f t="shared" si="10"/>
        <v>10</v>
      </c>
      <c r="R77" s="9">
        <f t="shared" si="11"/>
        <v>3</v>
      </c>
      <c r="S77" s="14" t="str" cm="1">
        <f t="array" ref="S77">INDEX('Results-ConceptMap-3'!$I$15:$N$126,Q77+1,R77)</f>
        <v>* group[=].element[=].target.code = #Observation.code.text</v>
      </c>
    </row>
    <row r="78" spans="16:19" x14ac:dyDescent="0.75">
      <c r="P78" s="9">
        <v>64</v>
      </c>
      <c r="Q78" s="9">
        <f t="shared" si="10"/>
        <v>10</v>
      </c>
      <c r="R78" s="9">
        <f t="shared" si="11"/>
        <v>4</v>
      </c>
      <c r="S78" s="14" t="str" cm="1">
        <f t="array" ref="S78">INDEX('Results-ConceptMap-3'!$I$15:$N$126,Q78+1,R78)</f>
        <v>* group[=].element[=].target.display = ##34###34#</v>
      </c>
    </row>
    <row r="79" spans="16:19" x14ac:dyDescent="0.75">
      <c r="P79" s="9">
        <v>65</v>
      </c>
      <c r="Q79" s="9">
        <f t="shared" si="10"/>
        <v>10</v>
      </c>
      <c r="R79" s="9">
        <f t="shared" si="11"/>
        <v>5</v>
      </c>
      <c r="S79" s="14" t="str" cm="1">
        <f t="array" ref="S79">INDEX('Results-ConceptMap-3'!$I$15:$N$126,Q79+1,R79)</f>
        <v>* group[=].element[=].target.equivalence = #equivalent</v>
      </c>
    </row>
    <row r="80" spans="16:19" x14ac:dyDescent="0.75">
      <c r="P80" s="9">
        <v>66</v>
      </c>
      <c r="Q80" s="9">
        <f t="shared" ref="Q80:Q143" si="12">IF(MOD(P80,$Q$8)=0,P80/$Q$8-1,INT(P80/$Q$8))</f>
        <v>10</v>
      </c>
      <c r="R80" s="9">
        <f t="shared" ref="R80:R143" si="13">IF(MOD(P80,$Q$8)=0,$Q$8,MOD(P80,$Q$8))</f>
        <v>6</v>
      </c>
      <c r="S80" s="14" t="str" cm="1">
        <f t="array" ref="S80">INDEX('Results-ConceptMap-3'!$I$15:$N$126,Q80+1,R80)</f>
        <v>* group[=].element[=].target.comment = ##34#The mapping refers to the case "code" mapped to Observation.code. A similar mapping applies to the other cases.##34#</v>
      </c>
    </row>
    <row r="81" spans="16:19" x14ac:dyDescent="0.75">
      <c r="P81" s="9">
        <v>67</v>
      </c>
      <c r="Q81" s="9">
        <f t="shared" si="12"/>
        <v>11</v>
      </c>
      <c r="R81" s="9">
        <f t="shared" si="13"/>
        <v>1</v>
      </c>
      <c r="S81" s="14" t="str" cm="1">
        <f t="array" ref="S81">INDEX('Results-ConceptMap-3'!$I$15:$N$126,Q81+1,R81)</f>
        <v>* group[=].element[+].code = #Result.observation.code.displayName</v>
      </c>
    </row>
    <row r="82" spans="16:19" x14ac:dyDescent="0.75">
      <c r="P82" s="9">
        <v>68</v>
      </c>
      <c r="Q82" s="9">
        <f t="shared" si="12"/>
        <v>11</v>
      </c>
      <c r="R82" s="9">
        <f t="shared" si="13"/>
        <v>2</v>
      </c>
      <c r="S82" s="14" t="str" cm="1">
        <f t="array" ref="S82">INDEX('Results-ConceptMap-3'!$I$15:$N$126,Q82+1,R82)</f>
        <v>* group[=].element[=].display = ##34#A.5.2.3.3 Observation display name##34#</v>
      </c>
    </row>
    <row r="83" spans="16:19" x14ac:dyDescent="0.75">
      <c r="P83" s="9">
        <v>69</v>
      </c>
      <c r="Q83" s="9">
        <f t="shared" si="12"/>
        <v>11</v>
      </c>
      <c r="R83" s="9">
        <f t="shared" si="13"/>
        <v>3</v>
      </c>
      <c r="S83" s="14" t="str" cm="1">
        <f t="array" ref="S83">INDEX('Results-ConceptMap-3'!$I$15:$N$126,Q83+1,R83)</f>
        <v>* group[=].element[=].target.code = #Observation.code.coding.display</v>
      </c>
    </row>
    <row r="84" spans="16:19" x14ac:dyDescent="0.75">
      <c r="P84" s="9">
        <v>70</v>
      </c>
      <c r="Q84" s="9">
        <f t="shared" si="12"/>
        <v>11</v>
      </c>
      <c r="R84" s="9">
        <f t="shared" si="13"/>
        <v>4</v>
      </c>
      <c r="S84" s="14" t="str" cm="1">
        <f t="array" ref="S84">INDEX('Results-ConceptMap-3'!$I$15:$N$126,Q84+1,R84)</f>
        <v>* group[=].element[=].target.display = ##34###34#</v>
      </c>
    </row>
    <row r="85" spans="16:19" x14ac:dyDescent="0.75">
      <c r="P85" s="9">
        <v>71</v>
      </c>
      <c r="Q85" s="9">
        <f t="shared" si="12"/>
        <v>11</v>
      </c>
      <c r="R85" s="9">
        <f t="shared" si="13"/>
        <v>5</v>
      </c>
      <c r="S85" s="14" t="str" cm="1">
        <f t="array" ref="S85">INDEX('Results-ConceptMap-3'!$I$15:$N$126,Q85+1,R85)</f>
        <v>* group[=].element[=].target.equivalence = #equivalent</v>
      </c>
    </row>
    <row r="86" spans="16:19" x14ac:dyDescent="0.75">
      <c r="P86" s="9">
        <v>72</v>
      </c>
      <c r="Q86" s="9">
        <f t="shared" si="12"/>
        <v>11</v>
      </c>
      <c r="R86" s="9">
        <f t="shared" si="13"/>
        <v>6</v>
      </c>
      <c r="S86" s="14" t="str" cm="1">
        <f t="array" ref="S86">INDEX('Results-ConceptMap-3'!$I$15:$N$126,Q86+1,R86)</f>
        <v>* group[=].element[=].target.comment = ##34#The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concept.##34#</v>
      </c>
    </row>
    <row r="87" spans="16:19" x14ac:dyDescent="0.75">
      <c r="P87" s="9">
        <v>73</v>
      </c>
      <c r="Q87" s="9">
        <f t="shared" si="12"/>
        <v>12</v>
      </c>
      <c r="R87" s="9">
        <f t="shared" si="13"/>
        <v>1</v>
      </c>
      <c r="S87" s="14" t="str" cm="1">
        <f t="array" ref="S87">INDEX('Results-ConceptMap-3'!$I$15:$N$126,Q87+1,R87)</f>
        <v>* group[=].element[+].code = #Result.observation.method</v>
      </c>
    </row>
    <row r="88" spans="16:19" x14ac:dyDescent="0.75">
      <c r="P88" s="9">
        <v>74</v>
      </c>
      <c r="Q88" s="9">
        <f t="shared" si="12"/>
        <v>12</v>
      </c>
      <c r="R88" s="9">
        <f t="shared" si="13"/>
        <v>2</v>
      </c>
      <c r="S88" s="14" t="str" cm="1">
        <f t="array" ref="S88">INDEX('Results-ConceptMap-3'!$I$15:$N$126,Q88+1,R88)</f>
        <v>* group[=].element[=].display = ##34#A.5.2.4 Observation method##34#</v>
      </c>
    </row>
    <row r="89" spans="16:19" x14ac:dyDescent="0.75">
      <c r="P89" s="9">
        <v>75</v>
      </c>
      <c r="Q89" s="9">
        <f t="shared" si="12"/>
        <v>12</v>
      </c>
      <c r="R89" s="9">
        <f t="shared" si="13"/>
        <v>3</v>
      </c>
      <c r="S89" s="14" t="str" cm="1">
        <f t="array" ref="S89">INDEX('Results-ConceptMap-3'!$I$15:$N$126,Q89+1,R89)</f>
        <v>* group[=].element[=].target.code = #Observation.method</v>
      </c>
    </row>
    <row r="90" spans="16:19" x14ac:dyDescent="0.75">
      <c r="P90" s="9">
        <v>76</v>
      </c>
      <c r="Q90" s="9">
        <f t="shared" si="12"/>
        <v>12</v>
      </c>
      <c r="R90" s="9">
        <f t="shared" si="13"/>
        <v>4</v>
      </c>
      <c r="S90" s="14" t="str" cm="1">
        <f t="array" ref="S90">INDEX('Results-ConceptMap-3'!$I$15:$N$126,Q90+1,R90)</f>
        <v>* group[=].element[=].target.display = ##34###34#</v>
      </c>
    </row>
    <row r="91" spans="16:19" x14ac:dyDescent="0.75">
      <c r="P91" s="9">
        <v>77</v>
      </c>
      <c r="Q91" s="9">
        <f t="shared" si="12"/>
        <v>12</v>
      </c>
      <c r="R91" s="9">
        <f t="shared" si="13"/>
        <v>5</v>
      </c>
      <c r="S91" s="14" t="str" cm="1">
        <f t="array" ref="S91">INDEX('Results-ConceptMap-3'!$I$15:$N$126,Q91+1,R91)</f>
        <v>* group[=].element[=].target.equivalence = #equivalent</v>
      </c>
    </row>
    <row r="92" spans="16:19" x14ac:dyDescent="0.75">
      <c r="P92" s="9">
        <v>78</v>
      </c>
      <c r="Q92" s="9">
        <f t="shared" si="12"/>
        <v>12</v>
      </c>
      <c r="R92" s="9">
        <f t="shared" si="13"/>
        <v>6</v>
      </c>
      <c r="S92" s="14" t="str" cm="1">
        <f t="array" ref="S92">INDEX('Results-ConceptMap-3'!$I$15:$N$126,Q92+1,R92)</f>
        <v/>
      </c>
    </row>
    <row r="93" spans="16:19" x14ac:dyDescent="0.75">
      <c r="P93" s="9">
        <v>79</v>
      </c>
      <c r="Q93" s="9">
        <f t="shared" si="12"/>
        <v>13</v>
      </c>
      <c r="R93" s="9">
        <f t="shared" si="13"/>
        <v>1</v>
      </c>
      <c r="S93" s="14" t="str" cm="1">
        <f t="array" ref="S93">INDEX('Results-ConceptMap-3'!$I$15:$N$126,Q93+1,R93)</f>
        <v>* group[=].element[+].code = #Result.observation.device</v>
      </c>
    </row>
    <row r="94" spans="16:19" x14ac:dyDescent="0.75">
      <c r="P94" s="9">
        <v>80</v>
      </c>
      <c r="Q94" s="9">
        <f t="shared" si="12"/>
        <v>13</v>
      </c>
      <c r="R94" s="9">
        <f t="shared" si="13"/>
        <v>2</v>
      </c>
      <c r="S94" s="14" t="str" cm="1">
        <f t="array" ref="S94">INDEX('Results-ConceptMap-3'!$I$15:$N$126,Q94+1,R94)</f>
        <v>* group[=].element[=].display = ##34#A.5.2.5 Observation device##34#</v>
      </c>
    </row>
    <row r="95" spans="16:19" x14ac:dyDescent="0.75">
      <c r="P95" s="9">
        <v>81</v>
      </c>
      <c r="Q95" s="9">
        <f t="shared" si="12"/>
        <v>13</v>
      </c>
      <c r="R95" s="9">
        <f t="shared" si="13"/>
        <v>3</v>
      </c>
      <c r="S95" s="14" t="str" cm="1">
        <f t="array" ref="S95">INDEX('Results-ConceptMap-3'!$I$15:$N$126,Q95+1,R95)</f>
        <v>* group[=].element[=].target.code = #Observation.device</v>
      </c>
    </row>
    <row r="96" spans="16:19" x14ac:dyDescent="0.75">
      <c r="P96" s="9">
        <v>82</v>
      </c>
      <c r="Q96" s="9">
        <f t="shared" si="12"/>
        <v>13</v>
      </c>
      <c r="R96" s="9">
        <f t="shared" si="13"/>
        <v>4</v>
      </c>
      <c r="S96" s="14" t="str" cm="1">
        <f t="array" ref="S96">INDEX('Results-ConceptMap-3'!$I$15:$N$126,Q96+1,R96)</f>
        <v>* group[=].element[=].target.display = ##34###34#</v>
      </c>
    </row>
    <row r="97" spans="16:19" x14ac:dyDescent="0.75">
      <c r="P97" s="9">
        <v>83</v>
      </c>
      <c r="Q97" s="9">
        <f t="shared" si="12"/>
        <v>13</v>
      </c>
      <c r="R97" s="9">
        <f t="shared" si="13"/>
        <v>5</v>
      </c>
      <c r="S97" s="14" t="str" cm="1">
        <f t="array" ref="S97">INDEX('Results-ConceptMap-3'!$I$15:$N$126,Q97+1,R97)</f>
        <v>* group[=].element[=].target.equivalence = #relatedto</v>
      </c>
    </row>
    <row r="98" spans="16:19" x14ac:dyDescent="0.75">
      <c r="P98" s="9">
        <v>84</v>
      </c>
      <c r="Q98" s="9">
        <f t="shared" si="12"/>
        <v>13</v>
      </c>
      <c r="R98" s="9">
        <f t="shared" si="13"/>
        <v>6</v>
      </c>
      <c r="S98" s="14" t="str" cm="1">
        <f t="array" ref="S98">INDEX('Results-ConceptMap-3'!$I$15:$N$126,Q98+1,R98)</f>
        <v>* group[=].element[=].target.comment = ##34#When it refers to the measuring device, including kits, and device of type Device##34#</v>
      </c>
    </row>
    <row r="99" spans="16:19" x14ac:dyDescent="0.75">
      <c r="P99" s="9">
        <v>85</v>
      </c>
      <c r="Q99" s="9">
        <f t="shared" si="12"/>
        <v>14</v>
      </c>
      <c r="R99" s="9">
        <f t="shared" si="13"/>
        <v>1</v>
      </c>
      <c r="S99" s="14" t="str" cm="1">
        <f t="array" ref="S99">INDEX('Results-ConceptMap-3'!$I$15:$N$126,Q99+1,R99)</f>
        <v>* group[=].element[+].code = #Result.observation.device</v>
      </c>
    </row>
    <row r="100" spans="16:19" x14ac:dyDescent="0.75">
      <c r="P100" s="9">
        <v>86</v>
      </c>
      <c r="Q100" s="9">
        <f t="shared" si="12"/>
        <v>14</v>
      </c>
      <c r="R100" s="9">
        <f t="shared" si="13"/>
        <v>2</v>
      </c>
      <c r="S100" s="14" t="str" cm="1">
        <f t="array" ref="S100">INDEX('Results-ConceptMap-3'!$I$15:$N$126,Q100+1,R100)</f>
        <v>* group[=].element[=].display = ##34#A.5.2.5 Observation device##34#</v>
      </c>
    </row>
    <row r="101" spans="16:19" x14ac:dyDescent="0.75">
      <c r="P101" s="9">
        <v>87</v>
      </c>
      <c r="Q101" s="9">
        <f t="shared" si="12"/>
        <v>14</v>
      </c>
      <c r="R101" s="9">
        <f t="shared" si="13"/>
        <v>3</v>
      </c>
      <c r="S101" s="14" t="str" cm="1">
        <f t="array" ref="S101">INDEX('Results-ConceptMap-3'!$I$15:$N$126,Q101+1,R101)</f>
        <v>* group[=].element[=].target.code = #Observation.device.device</v>
      </c>
    </row>
    <row r="102" spans="16:19" x14ac:dyDescent="0.75">
      <c r="P102" s="9">
        <v>88</v>
      </c>
      <c r="Q102" s="9">
        <f t="shared" si="12"/>
        <v>14</v>
      </c>
      <c r="R102" s="9">
        <f t="shared" si="13"/>
        <v>4</v>
      </c>
      <c r="S102" s="14" t="str" cm="1">
        <f t="array" ref="S102">INDEX('Results-ConceptMap-3'!$I$15:$N$126,Q102+1,R102)</f>
        <v>* group[=].element[=].target.display = ##34###34#</v>
      </c>
    </row>
    <row r="103" spans="16:19" x14ac:dyDescent="0.75">
      <c r="P103" s="9">
        <v>89</v>
      </c>
      <c r="Q103" s="9">
        <f t="shared" si="12"/>
        <v>14</v>
      </c>
      <c r="R103" s="9">
        <f t="shared" si="13"/>
        <v>5</v>
      </c>
      <c r="S103" s="14" t="str" cm="1">
        <f t="array" ref="S103">INDEX('Results-ConceptMap-3'!$I$15:$N$126,Q103+1,R103)</f>
        <v>* group[=].element[=].target.equivalence = #relatedto</v>
      </c>
    </row>
    <row r="104" spans="16:19" x14ac:dyDescent="0.75">
      <c r="P104" s="9">
        <v>90</v>
      </c>
      <c r="Q104" s="9">
        <f t="shared" si="12"/>
        <v>14</v>
      </c>
      <c r="R104" s="9">
        <f t="shared" si="13"/>
        <v>6</v>
      </c>
      <c r="S104" s="14" t="str" cm="1">
        <f t="array" ref="S104">INDEX('Results-ConceptMap-3'!$I$15:$N$126,Q104+1,R104)</f>
        <v>* group[=].element[=].target.comment = ##34#When it refers to the measuring device and device of type DeviceMeasure##34#</v>
      </c>
    </row>
    <row r="105" spans="16:19" x14ac:dyDescent="0.75">
      <c r="P105" s="9">
        <v>91</v>
      </c>
      <c r="Q105" s="9">
        <f t="shared" si="12"/>
        <v>15</v>
      </c>
      <c r="R105" s="9">
        <f t="shared" si="13"/>
        <v>1</v>
      </c>
      <c r="S105" s="14" t="str" cm="1">
        <f t="array" ref="S105">INDEX('Results-ConceptMap-3'!$I$15:$N$126,Q105+1,R105)</f>
        <v>* group[=].element[+].code = #Result.observation.device</v>
      </c>
    </row>
    <row r="106" spans="16:19" x14ac:dyDescent="0.75">
      <c r="P106" s="9">
        <v>92</v>
      </c>
      <c r="Q106" s="9">
        <f t="shared" si="12"/>
        <v>15</v>
      </c>
      <c r="R106" s="9">
        <f t="shared" si="13"/>
        <v>2</v>
      </c>
      <c r="S106" s="14" t="str" cm="1">
        <f t="array" ref="S106">INDEX('Results-ConceptMap-3'!$I$15:$N$126,Q106+1,R106)</f>
        <v>* group[=].element[=].display = ##34#A.5.2.5 Observation device##34#</v>
      </c>
    </row>
    <row r="107" spans="16:19" x14ac:dyDescent="0.75">
      <c r="P107" s="9">
        <v>93</v>
      </c>
      <c r="Q107" s="9">
        <f t="shared" si="12"/>
        <v>15</v>
      </c>
      <c r="R107" s="9">
        <f t="shared" si="13"/>
        <v>3</v>
      </c>
      <c r="S107" s="14" t="str" cm="1">
        <f t="array" ref="S107">INDEX('Results-ConceptMap-3'!$I$15:$N$126,Q107+1,R107)</f>
        <v>* group[=].element[=].target.code = #Observation.device</v>
      </c>
    </row>
    <row r="108" spans="16:19" x14ac:dyDescent="0.75">
      <c r="P108" s="9">
        <v>94</v>
      </c>
      <c r="Q108" s="9">
        <f t="shared" si="12"/>
        <v>15</v>
      </c>
      <c r="R108" s="9">
        <f t="shared" si="13"/>
        <v>4</v>
      </c>
      <c r="S108" s="14" t="str" cm="1">
        <f t="array" ref="S108">INDEX('Results-ConceptMap-3'!$I$15:$N$126,Q108+1,R108)</f>
        <v>* group[=].element[=].target.display = ##34###34#</v>
      </c>
    </row>
    <row r="109" spans="16:19" x14ac:dyDescent="0.75">
      <c r="P109" s="9">
        <v>95</v>
      </c>
      <c r="Q109" s="9">
        <f t="shared" si="12"/>
        <v>15</v>
      </c>
      <c r="R109" s="9">
        <f t="shared" si="13"/>
        <v>5</v>
      </c>
      <c r="S109" s="14" t="str" cm="1">
        <f t="array" ref="S109">INDEX('Results-ConceptMap-3'!$I$15:$N$126,Q109+1,R109)</f>
        <v>* group[=].element[=].target.equivalence = #relatedto</v>
      </c>
    </row>
    <row r="110" spans="16:19" x14ac:dyDescent="0.75">
      <c r="P110" s="9">
        <v>96</v>
      </c>
      <c r="Q110" s="9">
        <f t="shared" si="12"/>
        <v>15</v>
      </c>
      <c r="R110" s="9">
        <f t="shared" si="13"/>
        <v>6</v>
      </c>
      <c r="S110" s="14" t="str" cm="1">
        <f t="array" ref="S110">INDEX('Results-ConceptMap-3'!$I$15:$N$126,Q110+1,R110)</f>
        <v>* group[=].element[=].target.comment = ##34#With device of type DeviceMeasure.
This resource can be used to capture some information about the setting (including calibration)##34#</v>
      </c>
    </row>
    <row r="111" spans="16:19" x14ac:dyDescent="0.75">
      <c r="P111" s="9">
        <v>97</v>
      </c>
      <c r="Q111" s="9">
        <f t="shared" si="12"/>
        <v>16</v>
      </c>
      <c r="R111" s="9">
        <f t="shared" si="13"/>
        <v>1</v>
      </c>
      <c r="S111" s="14" t="str" cm="1">
        <f t="array" ref="S111">INDEX('Results-ConceptMap-3'!$I$15:$N$126,Q111+1,R111)</f>
        <v>* group[=].element[+].code = #Result.observation.order</v>
      </c>
    </row>
    <row r="112" spans="16:19" x14ac:dyDescent="0.75">
      <c r="P112" s="9">
        <v>98</v>
      </c>
      <c r="Q112" s="9">
        <f t="shared" si="12"/>
        <v>16</v>
      </c>
      <c r="R112" s="9">
        <f t="shared" si="13"/>
        <v>2</v>
      </c>
      <c r="S112" s="14" t="str" cm="1">
        <f t="array" ref="S112">INDEX('Results-ConceptMap-3'!$I$15:$N$126,Q112+1,R112)</f>
        <v>* group[=].element[=].display = ##34#A.5.2.8 Order##34#</v>
      </c>
    </row>
    <row r="113" spans="16:19" x14ac:dyDescent="0.75">
      <c r="P113" s="9">
        <v>99</v>
      </c>
      <c r="Q113" s="9">
        <f t="shared" si="12"/>
        <v>16</v>
      </c>
      <c r="R113" s="9">
        <f t="shared" si="13"/>
        <v>3</v>
      </c>
      <c r="S113" s="14" t="str" cm="1">
        <f t="array" ref="S113">INDEX('Results-ConceptMap-3'!$I$15:$N$126,Q113+1,R113)</f>
        <v>* group[=].element[=].target.code = #Observation.basedOn</v>
      </c>
    </row>
    <row r="114" spans="16:19" x14ac:dyDescent="0.75">
      <c r="P114" s="9">
        <v>100</v>
      </c>
      <c r="Q114" s="9">
        <f t="shared" si="12"/>
        <v>16</v>
      </c>
      <c r="R114" s="9">
        <f t="shared" si="13"/>
        <v>4</v>
      </c>
      <c r="S114" s="14" t="str" cm="1">
        <f t="array" ref="S114">INDEX('Results-ConceptMap-3'!$I$15:$N$126,Q114+1,R114)</f>
        <v>* group[=].element[=].target.display = ##34###34#</v>
      </c>
    </row>
    <row r="115" spans="16:19" x14ac:dyDescent="0.75">
      <c r="P115" s="9">
        <v>101</v>
      </c>
      <c r="Q115" s="9">
        <f t="shared" si="12"/>
        <v>16</v>
      </c>
      <c r="R115" s="9">
        <f t="shared" si="13"/>
        <v>5</v>
      </c>
      <c r="S115" s="14" t="str" cm="1">
        <f t="array" ref="S115">INDEX('Results-ConceptMap-3'!$I$15:$N$126,Q115+1,R115)</f>
        <v>* group[=].element[=].target.equivalence = #equivalent</v>
      </c>
    </row>
    <row r="116" spans="16:19" x14ac:dyDescent="0.75">
      <c r="P116" s="9">
        <v>102</v>
      </c>
      <c r="Q116" s="9">
        <f t="shared" si="12"/>
        <v>16</v>
      </c>
      <c r="R116" s="9">
        <f t="shared" si="13"/>
        <v>6</v>
      </c>
      <c r="S116" s="14" t="str" cm="1">
        <f t="array" ref="S116">INDEX('Results-ConceptMap-3'!$I$15:$N$126,Q116+1,R116)</f>
        <v/>
      </c>
    </row>
    <row r="117" spans="16:19" x14ac:dyDescent="0.75">
      <c r="P117" s="9">
        <v>103</v>
      </c>
      <c r="Q117" s="9">
        <f t="shared" si="12"/>
        <v>17</v>
      </c>
      <c r="R117" s="9">
        <f t="shared" si="13"/>
        <v>1</v>
      </c>
      <c r="S117" s="14" t="str" cm="1">
        <f t="array" ref="S117">INDEX('Results-ConceptMap-3'!$I$15:$N$126,Q117+1,R117)</f>
        <v>* group[=].element[+].code = #Result.observation.performer</v>
      </c>
    </row>
    <row r="118" spans="16:19" x14ac:dyDescent="0.75">
      <c r="P118" s="9">
        <v>104</v>
      </c>
      <c r="Q118" s="9">
        <f t="shared" si="12"/>
        <v>17</v>
      </c>
      <c r="R118" s="9">
        <f t="shared" si="13"/>
        <v>2</v>
      </c>
      <c r="S118" s="14" t="str" cm="1">
        <f t="array" ref="S118">INDEX('Results-ConceptMap-3'!$I$15:$N$126,Q118+1,R118)</f>
        <v>* group[=].element[=].display = ##34#A.5.2.9 Performer##34#</v>
      </c>
    </row>
    <row r="119" spans="16:19" x14ac:dyDescent="0.75">
      <c r="P119" s="9">
        <v>105</v>
      </c>
      <c r="Q119" s="9">
        <f t="shared" si="12"/>
        <v>17</v>
      </c>
      <c r="R119" s="9">
        <f t="shared" si="13"/>
        <v>3</v>
      </c>
      <c r="S119" s="14" t="str" cm="1">
        <f t="array" ref="S119">INDEX('Results-ConceptMap-3'!$I$15:$N$126,Q119+1,R119)</f>
        <v>* group[=].element[=].target.code = #Observation.performer</v>
      </c>
    </row>
    <row r="120" spans="16:19" x14ac:dyDescent="0.75">
      <c r="P120" s="9">
        <v>106</v>
      </c>
      <c r="Q120" s="9">
        <f t="shared" si="12"/>
        <v>17</v>
      </c>
      <c r="R120" s="9">
        <f t="shared" si="13"/>
        <v>4</v>
      </c>
      <c r="S120" s="14" t="str" cm="1">
        <f t="array" ref="S120">INDEX('Results-ConceptMap-3'!$I$15:$N$126,Q120+1,R120)</f>
        <v>* group[=].element[=].target.display = ##34###34#</v>
      </c>
    </row>
    <row r="121" spans="16:19" x14ac:dyDescent="0.75">
      <c r="P121" s="9">
        <v>107</v>
      </c>
      <c r="Q121" s="9">
        <f t="shared" si="12"/>
        <v>17</v>
      </c>
      <c r="R121" s="9">
        <f t="shared" si="13"/>
        <v>5</v>
      </c>
      <c r="S121" s="14" t="str" cm="1">
        <f t="array" ref="S121">INDEX('Results-ConceptMap-3'!$I$15:$N$126,Q121+1,R121)</f>
        <v>* group[=].element[=].target.equivalence = #equivalent</v>
      </c>
    </row>
    <row r="122" spans="16:19" x14ac:dyDescent="0.75">
      <c r="P122" s="9">
        <v>108</v>
      </c>
      <c r="Q122" s="9">
        <f t="shared" si="12"/>
        <v>17</v>
      </c>
      <c r="R122" s="9">
        <f t="shared" si="13"/>
        <v>6</v>
      </c>
      <c r="S122" s="14" t="str" cm="1">
        <f t="array" ref="S122">INDEX('Results-ConceptMap-3'!$I$15:$N$126,Q122+1,R122)</f>
        <v/>
      </c>
    </row>
    <row r="123" spans="16:19" x14ac:dyDescent="0.75">
      <c r="P123" s="9">
        <v>109</v>
      </c>
      <c r="Q123" s="9">
        <f t="shared" si="12"/>
        <v>18</v>
      </c>
      <c r="R123" s="9">
        <f t="shared" si="13"/>
        <v>1</v>
      </c>
      <c r="S123" s="14" t="str" cm="1">
        <f t="array" ref="S123">INDEX('Results-ConceptMap-3'!$I$15:$N$126,Q123+1,R123)</f>
        <v>* group[=].element[+].code = #Result.observation.reporter</v>
      </c>
    </row>
    <row r="124" spans="16:19" x14ac:dyDescent="0.75">
      <c r="P124" s="9">
        <v>110</v>
      </c>
      <c r="Q124" s="9">
        <f t="shared" si="12"/>
        <v>18</v>
      </c>
      <c r="R124" s="9">
        <f t="shared" si="13"/>
        <v>2</v>
      </c>
      <c r="S124" s="14" t="str" cm="1">
        <f t="array" ref="S124">INDEX('Results-ConceptMap-3'!$I$15:$N$126,Q124+1,R124)</f>
        <v>* group[=].element[=].display = ##34#A.5.2.10 Reporter##34#</v>
      </c>
    </row>
    <row r="125" spans="16:19" x14ac:dyDescent="0.75">
      <c r="P125" s="9">
        <v>111</v>
      </c>
      <c r="Q125" s="9">
        <f t="shared" si="12"/>
        <v>18</v>
      </c>
      <c r="R125" s="9">
        <f t="shared" si="13"/>
        <v>3</v>
      </c>
      <c r="S125" s="14" t="str" cm="1">
        <f t="array" ref="S125">INDEX('Results-ConceptMap-3'!$I$15:$N$126,Q125+1,R125)</f>
        <v>* group[=].element[=].target.code = #Observation.performer</v>
      </c>
    </row>
    <row r="126" spans="16:19" x14ac:dyDescent="0.75">
      <c r="P126" s="9">
        <v>112</v>
      </c>
      <c r="Q126" s="9">
        <f t="shared" si="12"/>
        <v>18</v>
      </c>
      <c r="R126" s="9">
        <f t="shared" si="13"/>
        <v>4</v>
      </c>
      <c r="S126" s="14" t="str" cm="1">
        <f t="array" ref="S126">INDEX('Results-ConceptMap-3'!$I$15:$N$126,Q126+1,R126)</f>
        <v>* group[=].element[=].target.display = ##34###34#</v>
      </c>
    </row>
    <row r="127" spans="16:19" x14ac:dyDescent="0.75">
      <c r="P127" s="9">
        <v>113</v>
      </c>
      <c r="Q127" s="9">
        <f t="shared" si="12"/>
        <v>18</v>
      </c>
      <c r="R127" s="9">
        <f t="shared" si="13"/>
        <v>5</v>
      </c>
      <c r="S127" s="14" t="str" cm="1">
        <f t="array" ref="S127">INDEX('Results-ConceptMap-3'!$I$15:$N$126,Q127+1,R127)</f>
        <v>* group[=].element[=].target.equivalence = #relatedto</v>
      </c>
    </row>
    <row r="128" spans="16:19" x14ac:dyDescent="0.75">
      <c r="P128" s="9">
        <v>114</v>
      </c>
      <c r="Q128" s="9">
        <f t="shared" si="12"/>
        <v>18</v>
      </c>
      <c r="R128" s="9">
        <f t="shared" si="13"/>
        <v>6</v>
      </c>
      <c r="S128" s="14" t="str" cm="1">
        <f t="array" ref="S128">INDEX('Results-ConceptMap-3'!$I$15:$N$126,Q128+1,R128)</f>
        <v>* group[=].element[=].target.comment = ##34#For interpreter: performer.extension:performerFunction = AUT (author)
If the person responsible for validation:  performer.extension:performerFunction = AUTHEN or LA##34#</v>
      </c>
    </row>
    <row r="129" spans="16:19" x14ac:dyDescent="0.75">
      <c r="P129" s="9">
        <v>115</v>
      </c>
      <c r="Q129" s="9">
        <f t="shared" si="12"/>
        <v>19</v>
      </c>
      <c r="R129" s="9">
        <f t="shared" si="13"/>
        <v>1</v>
      </c>
      <c r="S129" s="14" t="str" cm="1">
        <f t="array" ref="S129">INDEX('Results-ConceptMap-3'!$I$15:$N$126,Q129+1,R129)</f>
        <v>* group[=].element[+].code = #Result.observation.result</v>
      </c>
    </row>
    <row r="130" spans="16:19" x14ac:dyDescent="0.75">
      <c r="P130" s="9">
        <v>116</v>
      </c>
      <c r="Q130" s="9">
        <f t="shared" si="12"/>
        <v>19</v>
      </c>
      <c r="R130" s="9">
        <f t="shared" si="13"/>
        <v>2</v>
      </c>
      <c r="S130" s="14" t="str" cm="1">
        <f t="array" ref="S130">INDEX('Results-ConceptMap-3'!$I$15:$N$126,Q130+1,R130)</f>
        <v>* group[=].element[=].display = ##34#A.5.2.11 Observation result##34#</v>
      </c>
    </row>
    <row r="131" spans="16:19" x14ac:dyDescent="0.75">
      <c r="P131" s="9">
        <v>117</v>
      </c>
      <c r="Q131" s="9">
        <f t="shared" si="12"/>
        <v>19</v>
      </c>
      <c r="R131" s="9">
        <f t="shared" si="13"/>
        <v>3</v>
      </c>
      <c r="S131" s="14" t="str" cm="1">
        <f t="array" ref="S131">INDEX('Results-ConceptMap-3'!$I$15:$N$126,Q131+1,R131)</f>
        <v>* group[=].element[=].target.code = #Observation.value[x]</v>
      </c>
    </row>
    <row r="132" spans="16:19" x14ac:dyDescent="0.75">
      <c r="P132" s="9">
        <v>118</v>
      </c>
      <c r="Q132" s="9">
        <f t="shared" si="12"/>
        <v>19</v>
      </c>
      <c r="R132" s="9">
        <f t="shared" si="13"/>
        <v>4</v>
      </c>
      <c r="S132" s="14" t="str" cm="1">
        <f t="array" ref="S132">INDEX('Results-ConceptMap-3'!$I$15:$N$126,Q132+1,R132)</f>
        <v>* group[=].element[=].target.display = ##34###34#</v>
      </c>
    </row>
    <row r="133" spans="16:19" x14ac:dyDescent="0.75">
      <c r="P133" s="9">
        <v>119</v>
      </c>
      <c r="Q133" s="9">
        <f t="shared" si="12"/>
        <v>19</v>
      </c>
      <c r="R133" s="9">
        <f t="shared" si="13"/>
        <v>5</v>
      </c>
      <c r="S133" s="14" t="str" cm="1">
        <f t="array" ref="S133">INDEX('Results-ConceptMap-3'!$I$15:$N$126,Q133+1,R133)</f>
        <v>* group[=].element[=].target.equivalence = #equivalent</v>
      </c>
    </row>
    <row r="134" spans="16:19" x14ac:dyDescent="0.75">
      <c r="P134" s="9">
        <v>120</v>
      </c>
      <c r="Q134" s="9">
        <f t="shared" si="12"/>
        <v>19</v>
      </c>
      <c r="R134" s="9">
        <f t="shared" si="13"/>
        <v>6</v>
      </c>
      <c r="S134" s="14" t="str" cm="1">
        <f t="array" ref="S134">INDEX('Results-ConceptMap-3'!$I$15:$N$126,Q134+1,R134)</f>
        <v>* group[=].element[=].target.comment = ##34#depends on the type of test##34#</v>
      </c>
    </row>
    <row r="135" spans="16:19" x14ac:dyDescent="0.75">
      <c r="P135" s="9">
        <v>121</v>
      </c>
      <c r="Q135" s="9">
        <f t="shared" si="12"/>
        <v>20</v>
      </c>
      <c r="R135" s="9">
        <f t="shared" si="13"/>
        <v>1</v>
      </c>
      <c r="S135" s="14" t="str" cm="1">
        <f t="array" ref="S135">INDEX('Results-ConceptMap-3'!$I$15:$N$126,Q135+1,R135)</f>
        <v>* group[=].element[+].code = #Result.observation.result</v>
      </c>
    </row>
    <row r="136" spans="16:19" x14ac:dyDescent="0.75">
      <c r="P136" s="9">
        <v>122</v>
      </c>
      <c r="Q136" s="9">
        <f t="shared" si="12"/>
        <v>20</v>
      </c>
      <c r="R136" s="9">
        <f t="shared" si="13"/>
        <v>2</v>
      </c>
      <c r="S136" s="14" t="str" cm="1">
        <f t="array" ref="S136">INDEX('Results-ConceptMap-3'!$I$15:$N$126,Q136+1,R136)</f>
        <v>* group[=].element[=].display = ##34#A.5.2.11 Observation result##34#</v>
      </c>
    </row>
    <row r="137" spans="16:19" x14ac:dyDescent="0.75">
      <c r="P137" s="9">
        <v>123</v>
      </c>
      <c r="Q137" s="9">
        <f t="shared" si="12"/>
        <v>20</v>
      </c>
      <c r="R137" s="9">
        <f t="shared" si="13"/>
        <v>3</v>
      </c>
      <c r="S137" s="14" t="str" cm="1">
        <f t="array" ref="S137">INDEX('Results-ConceptMap-3'!$I$15:$N$126,Q137+1,R137)</f>
        <v>* group[=].element[=].target.code = #Observation.component.value[x]</v>
      </c>
    </row>
    <row r="138" spans="16:19" x14ac:dyDescent="0.75">
      <c r="P138" s="9">
        <v>124</v>
      </c>
      <c r="Q138" s="9">
        <f t="shared" si="12"/>
        <v>20</v>
      </c>
      <c r="R138" s="9">
        <f t="shared" si="13"/>
        <v>4</v>
      </c>
      <c r="S138" s="14" t="str" cm="1">
        <f t="array" ref="S138">INDEX('Results-ConceptMap-3'!$I$15:$N$126,Q138+1,R138)</f>
        <v>* group[=].element[=].target.display = ##34###34#</v>
      </c>
    </row>
    <row r="139" spans="16:19" x14ac:dyDescent="0.75">
      <c r="P139" s="9">
        <v>125</v>
      </c>
      <c r="Q139" s="9">
        <f t="shared" si="12"/>
        <v>20</v>
      </c>
      <c r="R139" s="9">
        <f t="shared" si="13"/>
        <v>5</v>
      </c>
      <c r="S139" s="14" t="str" cm="1">
        <f t="array" ref="S139">INDEX('Results-ConceptMap-3'!$I$15:$N$126,Q139+1,R139)</f>
        <v>* group[=].element[=].target.equivalence = #equivalent</v>
      </c>
    </row>
    <row r="140" spans="16:19" x14ac:dyDescent="0.75">
      <c r="P140" s="9">
        <v>126</v>
      </c>
      <c r="Q140" s="9">
        <f t="shared" si="12"/>
        <v>20</v>
      </c>
      <c r="R140" s="9">
        <f t="shared" si="13"/>
        <v>6</v>
      </c>
      <c r="S140" s="14" t="str" cm="1">
        <f t="array" ref="S140">INDEX('Results-ConceptMap-3'!$I$15:$N$126,Q140+1,R140)</f>
        <v>* group[=].element[=].target.comment = ##34#depends on the type of test##34#</v>
      </c>
    </row>
    <row r="141" spans="16:19" x14ac:dyDescent="0.75">
      <c r="P141" s="9">
        <v>127</v>
      </c>
      <c r="Q141" s="9">
        <f t="shared" si="12"/>
        <v>21</v>
      </c>
      <c r="R141" s="9">
        <f t="shared" si="13"/>
        <v>1</v>
      </c>
      <c r="S141" s="14" t="str" cm="1">
        <f t="array" ref="S141">INDEX('Results-ConceptMap-3'!$I$15:$N$126,Q141+1,R141)</f>
        <v>* group[=].element[+].code = #Result.observation.interpretation</v>
      </c>
    </row>
    <row r="142" spans="16:19" x14ac:dyDescent="0.75">
      <c r="P142" s="9">
        <v>128</v>
      </c>
      <c r="Q142" s="9">
        <f t="shared" si="12"/>
        <v>21</v>
      </c>
      <c r="R142" s="9">
        <f t="shared" si="13"/>
        <v>2</v>
      </c>
      <c r="S142" s="14" t="str" cm="1">
        <f t="array" ref="S142">INDEX('Results-ConceptMap-3'!$I$15:$N$126,Q142+1,R142)</f>
        <v>* group[=].element[=].display = ##34#A.5.2.12 Observation interpretation##34#</v>
      </c>
    </row>
    <row r="143" spans="16:19" x14ac:dyDescent="0.75">
      <c r="P143" s="9">
        <v>129</v>
      </c>
      <c r="Q143" s="9">
        <f t="shared" si="12"/>
        <v>21</v>
      </c>
      <c r="R143" s="9">
        <f t="shared" si="13"/>
        <v>3</v>
      </c>
      <c r="S143" s="14" t="str" cm="1">
        <f t="array" ref="S143">INDEX('Results-ConceptMap-3'!$I$15:$N$126,Q143+1,R143)</f>
        <v>* group[=].element[=].target.code = #Observation.interpretation</v>
      </c>
    </row>
    <row r="144" spans="16:19" x14ac:dyDescent="0.75">
      <c r="P144" s="9">
        <v>130</v>
      </c>
      <c r="Q144" s="9">
        <f t="shared" ref="Q144:Q185" si="14">IF(MOD(P144,$Q$8)=0,P144/$Q$8-1,INT(P144/$Q$8))</f>
        <v>21</v>
      </c>
      <c r="R144" s="9">
        <f t="shared" ref="R144:R185" si="15">IF(MOD(P144,$Q$8)=0,$Q$8,MOD(P144,$Q$8))</f>
        <v>4</v>
      </c>
      <c r="S144" s="14" t="str" cm="1">
        <f t="array" ref="S144">INDEX('Results-ConceptMap-3'!$I$15:$N$126,Q144+1,R144)</f>
        <v>* group[=].element[=].target.display = ##34###34#</v>
      </c>
    </row>
    <row r="145" spans="16:19" x14ac:dyDescent="0.75">
      <c r="P145" s="9">
        <v>131</v>
      </c>
      <c r="Q145" s="9">
        <f t="shared" si="14"/>
        <v>21</v>
      </c>
      <c r="R145" s="9">
        <f t="shared" si="15"/>
        <v>5</v>
      </c>
      <c r="S145" s="14" t="str" cm="1">
        <f t="array" ref="S145">INDEX('Results-ConceptMap-3'!$I$15:$N$126,Q145+1,R145)</f>
        <v>* group[=].element[=].target.equivalence = #equivalent</v>
      </c>
    </row>
    <row r="146" spans="16:19" x14ac:dyDescent="0.75">
      <c r="P146" s="9">
        <v>132</v>
      </c>
      <c r="Q146" s="9">
        <f t="shared" si="14"/>
        <v>21</v>
      </c>
      <c r="R146" s="9">
        <f t="shared" si="15"/>
        <v>6</v>
      </c>
      <c r="S146" s="14" t="str" cm="1">
        <f t="array" ref="S146">INDEX('Results-ConceptMap-3'!$I$15:$N$126,Q146+1,R146)</f>
        <v>* group[=].element[=].target.comment = ##34#depends on the type of test##34#</v>
      </c>
    </row>
    <row r="147" spans="16:19" x14ac:dyDescent="0.75">
      <c r="P147" s="9">
        <v>133</v>
      </c>
      <c r="Q147" s="9">
        <f t="shared" si="14"/>
        <v>22</v>
      </c>
      <c r="R147" s="9">
        <f t="shared" si="15"/>
        <v>1</v>
      </c>
      <c r="S147" s="14" t="str" cm="1">
        <f t="array" ref="S147">INDEX('Results-ConceptMap-3'!$I$15:$N$126,Q147+1,R147)</f>
        <v>* group[=].element[+].code = #Result.observation.interpretation</v>
      </c>
    </row>
    <row r="148" spans="16:19" x14ac:dyDescent="0.75">
      <c r="P148" s="9">
        <v>134</v>
      </c>
      <c r="Q148" s="9">
        <f t="shared" si="14"/>
        <v>22</v>
      </c>
      <c r="R148" s="9">
        <f t="shared" si="15"/>
        <v>2</v>
      </c>
      <c r="S148" s="14" t="str" cm="1">
        <f t="array" ref="S148">INDEX('Results-ConceptMap-3'!$I$15:$N$126,Q148+1,R148)</f>
        <v>* group[=].element[=].display = ##34#A.5.2.12 Observation interpretation##34#</v>
      </c>
    </row>
    <row r="149" spans="16:19" x14ac:dyDescent="0.75">
      <c r="P149" s="9">
        <v>135</v>
      </c>
      <c r="Q149" s="9">
        <f t="shared" si="14"/>
        <v>22</v>
      </c>
      <c r="R149" s="9">
        <f t="shared" si="15"/>
        <v>3</v>
      </c>
      <c r="S149" s="14" t="str" cm="1">
        <f t="array" ref="S149">INDEX('Results-ConceptMap-3'!$I$15:$N$126,Q149+1,R149)</f>
        <v>* group[=].element[=].target.code = #Observation.component.interpretation</v>
      </c>
    </row>
    <row r="150" spans="16:19" x14ac:dyDescent="0.75">
      <c r="P150" s="9">
        <v>136</v>
      </c>
      <c r="Q150" s="9">
        <f t="shared" si="14"/>
        <v>22</v>
      </c>
      <c r="R150" s="9">
        <f t="shared" si="15"/>
        <v>4</v>
      </c>
      <c r="S150" s="14" t="str" cm="1">
        <f t="array" ref="S150">INDEX('Results-ConceptMap-3'!$I$15:$N$126,Q150+1,R150)</f>
        <v>* group[=].element[=].target.display = ##34###34#</v>
      </c>
    </row>
    <row r="151" spans="16:19" x14ac:dyDescent="0.75">
      <c r="P151" s="9">
        <v>137</v>
      </c>
      <c r="Q151" s="9">
        <f t="shared" si="14"/>
        <v>22</v>
      </c>
      <c r="R151" s="9">
        <f t="shared" si="15"/>
        <v>5</v>
      </c>
      <c r="S151" s="14" t="str" cm="1">
        <f t="array" ref="S151">INDEX('Results-ConceptMap-3'!$I$15:$N$126,Q151+1,R151)</f>
        <v>* group[=].element[=].target.equivalence = #equivalent</v>
      </c>
    </row>
    <row r="152" spans="16:19" x14ac:dyDescent="0.75">
      <c r="P152" s="9">
        <v>138</v>
      </c>
      <c r="Q152" s="9">
        <f t="shared" si="14"/>
        <v>22</v>
      </c>
      <c r="R152" s="9">
        <f t="shared" si="15"/>
        <v>6</v>
      </c>
      <c r="S152" s="14" t="str" cm="1">
        <f t="array" ref="S152">INDEX('Results-ConceptMap-3'!$I$15:$N$126,Q152+1,R152)</f>
        <v>* group[=].element[=].target.comment = ##34#depends on the type of test##34#</v>
      </c>
    </row>
    <row r="153" spans="16:19" x14ac:dyDescent="0.75">
      <c r="P153" s="9">
        <v>139</v>
      </c>
      <c r="Q153" s="9">
        <f t="shared" si="14"/>
        <v>23</v>
      </c>
      <c r="R153" s="9">
        <f t="shared" si="15"/>
        <v>1</v>
      </c>
      <c r="S153" s="14" t="str" cm="1">
        <f t="array" ref="S153">INDEX('Results-ConceptMap-3'!$I$15:$N$126,Q153+1,R153)</f>
        <v>* group[=].element[+].code = #Result.observation.description</v>
      </c>
    </row>
    <row r="154" spans="16:19" x14ac:dyDescent="0.75">
      <c r="P154" s="9">
        <v>140</v>
      </c>
      <c r="Q154" s="9">
        <f t="shared" si="14"/>
        <v>23</v>
      </c>
      <c r="R154" s="9">
        <f t="shared" si="15"/>
        <v>2</v>
      </c>
      <c r="S154" s="14" t="str" cm="1">
        <f t="array" ref="S154">INDEX('Results-ConceptMap-3'!$I$15:$N$126,Q154+1,R154)</f>
        <v>* group[=].element[=].display = ##34#A.5.2.13 Result description##34#</v>
      </c>
    </row>
    <row r="155" spans="16:19" x14ac:dyDescent="0.75">
      <c r="P155" s="9">
        <v>141</v>
      </c>
      <c r="Q155" s="9">
        <f t="shared" si="14"/>
        <v>23</v>
      </c>
      <c r="R155" s="9">
        <f t="shared" si="15"/>
        <v>3</v>
      </c>
      <c r="S155" s="14" t="str" cm="1">
        <f t="array" ref="S155">INDEX('Results-ConceptMap-3'!$I$15:$N$126,Q155+1,R155)</f>
        <v>* group[=].element[=].target.code = #Observation.text</v>
      </c>
    </row>
    <row r="156" spans="16:19" x14ac:dyDescent="0.75">
      <c r="P156" s="9">
        <v>142</v>
      </c>
      <c r="Q156" s="9">
        <f t="shared" si="14"/>
        <v>23</v>
      </c>
      <c r="R156" s="9">
        <f t="shared" si="15"/>
        <v>4</v>
      </c>
      <c r="S156" s="14" t="str" cm="1">
        <f t="array" ref="S156">INDEX('Results-ConceptMap-3'!$I$15:$N$126,Q156+1,R156)</f>
        <v>* group[=].element[=].target.display = ##34###34#</v>
      </c>
    </row>
    <row r="157" spans="16:19" x14ac:dyDescent="0.75">
      <c r="P157" s="9">
        <v>143</v>
      </c>
      <c r="Q157" s="9">
        <f t="shared" si="14"/>
        <v>23</v>
      </c>
      <c r="R157" s="9">
        <f t="shared" si="15"/>
        <v>5</v>
      </c>
      <c r="S157" s="14" t="str" cm="1">
        <f t="array" ref="S157">INDEX('Results-ConceptMap-3'!$I$15:$N$126,Q157+1,R157)</f>
        <v>* group[=].element[=].target.equivalence = #relatedto</v>
      </c>
    </row>
    <row r="158" spans="16:19" x14ac:dyDescent="0.75">
      <c r="P158" s="9">
        <v>144</v>
      </c>
      <c r="Q158" s="9">
        <f t="shared" si="14"/>
        <v>23</v>
      </c>
      <c r="R158" s="9">
        <f t="shared" si="15"/>
        <v>6</v>
      </c>
      <c r="S158" s="14" t="str" cm="1">
        <f t="array" ref="S158">INDEX('Results-ConceptMap-3'!$I$15:$N$126,Q158+1,R158)</f>
        <v/>
      </c>
    </row>
    <row r="159" spans="16:19" x14ac:dyDescent="0.75">
      <c r="P159" s="9">
        <v>145</v>
      </c>
      <c r="Q159" s="9">
        <f t="shared" si="14"/>
        <v>24</v>
      </c>
      <c r="R159" s="9">
        <f t="shared" si="15"/>
        <v>1</v>
      </c>
      <c r="S159" s="14" t="str" cm="1">
        <f t="array" ref="S159">INDEX('Results-ConceptMap-3'!$I$15:$N$126,Q159+1,R159)</f>
        <v>* group[=].element[+].code = #Result.observation.accreditationStatus</v>
      </c>
    </row>
    <row r="160" spans="16:19" x14ac:dyDescent="0.75">
      <c r="P160" s="9">
        <v>146</v>
      </c>
      <c r="Q160" s="9">
        <f t="shared" si="14"/>
        <v>24</v>
      </c>
      <c r="R160" s="9">
        <f t="shared" si="15"/>
        <v>2</v>
      </c>
      <c r="S160" s="14" t="str" cm="1">
        <f t="array" ref="S160">INDEX('Results-ConceptMap-3'!$I$15:$N$126,Q160+1,R160)</f>
        <v>* group[=].element[=].display = ##34#A.5.2.14 Accreditation status##34#</v>
      </c>
    </row>
    <row r="161" spans="16:19" x14ac:dyDescent="0.75">
      <c r="P161" s="9">
        <v>147</v>
      </c>
      <c r="Q161" s="9">
        <f t="shared" si="14"/>
        <v>24</v>
      </c>
      <c r="R161" s="9">
        <f t="shared" si="15"/>
        <v>3</v>
      </c>
      <c r="S161" s="14" t="str" cm="1">
        <f t="array" ref="S161">INDEX('Results-ConceptMap-3'!$I$15:$N$126,Q161+1,R161)</f>
        <v>* group[=].element[=].target.code = #Observation.performer.qualification</v>
      </c>
    </row>
    <row r="162" spans="16:19" x14ac:dyDescent="0.75">
      <c r="P162" s="9">
        <v>148</v>
      </c>
      <c r="Q162" s="9">
        <f t="shared" si="14"/>
        <v>24</v>
      </c>
      <c r="R162" s="9">
        <f t="shared" si="15"/>
        <v>4</v>
      </c>
      <c r="S162" s="14" t="str" cm="1">
        <f t="array" ref="S162">INDEX('Results-ConceptMap-3'!$I$15:$N$126,Q162+1,R162)</f>
        <v>* group[=].element[=].target.display = ##34###34#</v>
      </c>
    </row>
    <row r="163" spans="16:19" x14ac:dyDescent="0.75">
      <c r="P163" s="9">
        <v>149</v>
      </c>
      <c r="Q163" s="9">
        <f t="shared" si="14"/>
        <v>24</v>
      </c>
      <c r="R163" s="9">
        <f t="shared" si="15"/>
        <v>5</v>
      </c>
      <c r="S163" s="14" t="str" cm="1">
        <f t="array" ref="S163">INDEX('Results-ConceptMap-3'!$I$15:$N$126,Q163+1,R163)</f>
        <v>* group[=].element[=].target.equivalence = #relatedto</v>
      </c>
    </row>
    <row r="164" spans="16:19" x14ac:dyDescent="0.75">
      <c r="P164" s="9">
        <v>150</v>
      </c>
      <c r="Q164" s="9">
        <f t="shared" si="14"/>
        <v>24</v>
      </c>
      <c r="R164" s="9">
        <f t="shared" si="15"/>
        <v>6</v>
      </c>
      <c r="S164" s="14" t="str" cm="1">
        <f t="array" ref="S164">INDEX('Results-ConceptMap-3'!$I$15:$N$126,Q164+1,R164)</f>
        <v>* group[=].element[=].target.comment = ##34#performer ofType PractitionerRole##34#</v>
      </c>
    </row>
    <row r="165" spans="16:19" x14ac:dyDescent="0.75">
      <c r="P165" s="9">
        <v>151</v>
      </c>
      <c r="Q165" s="9">
        <f t="shared" si="14"/>
        <v>25</v>
      </c>
      <c r="R165" s="9">
        <f t="shared" si="15"/>
        <v>1</v>
      </c>
      <c r="S165" s="14" t="str" cm="1">
        <f t="array" ref="S165">INDEX('Results-ConceptMap-3'!$I$15:$N$126,Q165+1,R165)</f>
        <v>* group[=].element[+].code = #Result.observation.accreditationStatus</v>
      </c>
    </row>
    <row r="166" spans="16:19" x14ac:dyDescent="0.75">
      <c r="P166" s="9">
        <v>152</v>
      </c>
      <c r="Q166" s="9">
        <f t="shared" si="14"/>
        <v>25</v>
      </c>
      <c r="R166" s="9">
        <f t="shared" si="15"/>
        <v>2</v>
      </c>
      <c r="S166" s="14" t="str" cm="1">
        <f t="array" ref="S166">INDEX('Results-ConceptMap-3'!$I$15:$N$126,Q166+1,R166)</f>
        <v>* group[=].element[=].display = ##34#A.5.2.14 Accreditation status##34#</v>
      </c>
    </row>
    <row r="167" spans="16:19" x14ac:dyDescent="0.75">
      <c r="P167" s="9">
        <v>153</v>
      </c>
      <c r="Q167" s="9">
        <f t="shared" si="14"/>
        <v>25</v>
      </c>
      <c r="R167" s="9">
        <f t="shared" si="15"/>
        <v>3</v>
      </c>
      <c r="S167" s="14" t="str" cm="1">
        <f t="array" ref="S167">INDEX('Results-ConceptMap-3'!$I$15:$N$126,Q167+1,R167)</f>
        <v>* group[=].element[=].target.code = #Observation.performer.organization.qualification</v>
      </c>
    </row>
    <row r="168" spans="16:19" x14ac:dyDescent="0.75">
      <c r="P168" s="9">
        <v>154</v>
      </c>
      <c r="Q168" s="9">
        <f t="shared" si="14"/>
        <v>25</v>
      </c>
      <c r="R168" s="9">
        <f t="shared" si="15"/>
        <v>4</v>
      </c>
      <c r="S168" s="14" t="str" cm="1">
        <f t="array" ref="S168">INDEX('Results-ConceptMap-3'!$I$15:$N$126,Q168+1,R168)</f>
        <v>* group[=].element[=].target.display = ##34###34#</v>
      </c>
    </row>
    <row r="169" spans="16:19" x14ac:dyDescent="0.75">
      <c r="P169" s="9">
        <v>155</v>
      </c>
      <c r="Q169" s="9">
        <f t="shared" si="14"/>
        <v>25</v>
      </c>
      <c r="R169" s="9">
        <f t="shared" si="15"/>
        <v>5</v>
      </c>
      <c r="S169" s="14" t="str" cm="1">
        <f t="array" ref="S169">INDEX('Results-ConceptMap-3'!$I$15:$N$126,Q169+1,R169)</f>
        <v>* group[=].element[=].target.equivalence = #relatedto</v>
      </c>
    </row>
    <row r="170" spans="16:19" x14ac:dyDescent="0.75">
      <c r="P170" s="9">
        <v>156</v>
      </c>
      <c r="Q170" s="9">
        <f t="shared" si="14"/>
        <v>25</v>
      </c>
      <c r="R170" s="9">
        <f t="shared" si="15"/>
        <v>6</v>
      </c>
      <c r="S170" s="14" t="str" cm="1">
        <f t="array" ref="S170">INDEX('Results-ConceptMap-3'!$I$15:$N$126,Q170+1,R170)</f>
        <v>* group[=].element[=].target.comment = ##34#performer ofType Organization##34#</v>
      </c>
    </row>
    <row r="171" spans="16:19" x14ac:dyDescent="0.75">
      <c r="P171" s="9">
        <v>157</v>
      </c>
      <c r="Q171" s="9">
        <f t="shared" si="14"/>
        <v>26</v>
      </c>
      <c r="R171" s="9">
        <f t="shared" si="15"/>
        <v>1</v>
      </c>
      <c r="S171" s="14" cm="1">
        <f t="array" ref="S171">INDEX('Results-ConceptMap-3'!$I$15:$N$126,Q171+1,R171)</f>
        <v>0</v>
      </c>
    </row>
    <row r="172" spans="16:19" x14ac:dyDescent="0.75">
      <c r="P172" s="9">
        <v>158</v>
      </c>
      <c r="Q172" s="9">
        <f t="shared" si="14"/>
        <v>26</v>
      </c>
      <c r="R172" s="9">
        <f t="shared" si="15"/>
        <v>2</v>
      </c>
      <c r="S172" s="14" cm="1">
        <f t="array" ref="S172">INDEX('Results-ConceptMap-3'!$I$15:$N$126,Q172+1,R172)</f>
        <v>0</v>
      </c>
    </row>
    <row r="173" spans="16:19" x14ac:dyDescent="0.75">
      <c r="P173" s="9">
        <v>159</v>
      </c>
      <c r="Q173" s="9">
        <f t="shared" si="14"/>
        <v>26</v>
      </c>
      <c r="R173" s="9">
        <f t="shared" si="15"/>
        <v>3</v>
      </c>
      <c r="S173" s="14" cm="1">
        <f t="array" ref="S173">INDEX('Results-ConceptMap-3'!$I$15:$N$126,Q173+1,R173)</f>
        <v>0</v>
      </c>
    </row>
    <row r="174" spans="16:19" x14ac:dyDescent="0.75">
      <c r="P174" s="9">
        <v>160</v>
      </c>
      <c r="Q174" s="9">
        <f t="shared" si="14"/>
        <v>26</v>
      </c>
      <c r="R174" s="9">
        <f t="shared" si="15"/>
        <v>4</v>
      </c>
      <c r="S174" s="14" cm="1">
        <f t="array" ref="S174">INDEX('Results-ConceptMap-3'!$I$15:$N$126,Q174+1,R174)</f>
        <v>0</v>
      </c>
    </row>
    <row r="175" spans="16:19" x14ac:dyDescent="0.75">
      <c r="P175" s="9">
        <v>161</v>
      </c>
      <c r="Q175" s="9">
        <f t="shared" si="14"/>
        <v>26</v>
      </c>
      <c r="R175" s="9">
        <f t="shared" si="15"/>
        <v>5</v>
      </c>
      <c r="S175" s="14" cm="1">
        <f t="array" ref="S175">INDEX('Results-ConceptMap-3'!$I$15:$N$126,Q175+1,R175)</f>
        <v>0</v>
      </c>
    </row>
    <row r="176" spans="16:19" x14ac:dyDescent="0.75">
      <c r="P176" s="9">
        <v>162</v>
      </c>
      <c r="Q176" s="9">
        <f t="shared" si="14"/>
        <v>26</v>
      </c>
      <c r="R176" s="9">
        <f t="shared" si="15"/>
        <v>6</v>
      </c>
      <c r="S176" s="14" cm="1">
        <f t="array" ref="S176">INDEX('Results-ConceptMap-3'!$I$15:$N$126,Q176+1,R176)</f>
        <v>0</v>
      </c>
    </row>
    <row r="177" spans="16:19" x14ac:dyDescent="0.75">
      <c r="P177" s="9">
        <v>163</v>
      </c>
      <c r="Q177" s="9">
        <f t="shared" si="14"/>
        <v>27</v>
      </c>
      <c r="R177" s="9">
        <f t="shared" si="15"/>
        <v>1</v>
      </c>
      <c r="S177" s="14" cm="1">
        <f t="array" ref="S177">INDEX('Results-ConceptMap-3'!$I$15:$N$126,Q177+1,R177)</f>
        <v>0</v>
      </c>
    </row>
    <row r="178" spans="16:19" x14ac:dyDescent="0.75">
      <c r="P178" s="9">
        <v>164</v>
      </c>
      <c r="Q178" s="9">
        <f t="shared" si="14"/>
        <v>27</v>
      </c>
      <c r="R178" s="9">
        <f t="shared" si="15"/>
        <v>2</v>
      </c>
      <c r="S178" s="14" cm="1">
        <f t="array" ref="S178">INDEX('Results-ConceptMap-3'!$I$15:$N$126,Q178+1,R178)</f>
        <v>0</v>
      </c>
    </row>
    <row r="179" spans="16:19" x14ac:dyDescent="0.75">
      <c r="P179" s="9">
        <v>165</v>
      </c>
      <c r="Q179" s="9">
        <f t="shared" si="14"/>
        <v>27</v>
      </c>
      <c r="R179" s="9">
        <f t="shared" si="15"/>
        <v>3</v>
      </c>
      <c r="S179" s="14" cm="1">
        <f t="array" ref="S179">INDEX('Results-ConceptMap-3'!$I$15:$N$126,Q179+1,R179)</f>
        <v>0</v>
      </c>
    </row>
    <row r="180" spans="16:19" x14ac:dyDescent="0.75">
      <c r="P180" s="9">
        <v>166</v>
      </c>
      <c r="Q180" s="9">
        <f t="shared" si="14"/>
        <v>27</v>
      </c>
      <c r="R180" s="9">
        <f t="shared" si="15"/>
        <v>4</v>
      </c>
      <c r="S180" s="14" cm="1">
        <f t="array" ref="S180">INDEX('Results-ConceptMap-3'!$I$15:$N$126,Q180+1,R180)</f>
        <v>0</v>
      </c>
    </row>
    <row r="181" spans="16:19" x14ac:dyDescent="0.75">
      <c r="P181" s="9">
        <v>167</v>
      </c>
      <c r="Q181" s="9">
        <f t="shared" si="14"/>
        <v>27</v>
      </c>
      <c r="R181" s="9">
        <f t="shared" si="15"/>
        <v>5</v>
      </c>
      <c r="S181" s="14" cm="1">
        <f t="array" ref="S181">INDEX('Results-ConceptMap-3'!$I$15:$N$126,Q181+1,R181)</f>
        <v>0</v>
      </c>
    </row>
    <row r="182" spans="16:19" x14ac:dyDescent="0.75">
      <c r="P182" s="9">
        <v>168</v>
      </c>
      <c r="Q182" s="9">
        <f t="shared" si="14"/>
        <v>27</v>
      </c>
      <c r="R182" s="9">
        <f t="shared" si="15"/>
        <v>6</v>
      </c>
      <c r="S182" s="14" cm="1">
        <f t="array" ref="S182">INDEX('Results-ConceptMap-3'!$I$15:$N$126,Q182+1,R182)</f>
        <v>0</v>
      </c>
    </row>
    <row r="183" spans="16:19" x14ac:dyDescent="0.75">
      <c r="P183" s="9">
        <v>169</v>
      </c>
      <c r="Q183" s="9">
        <f t="shared" si="14"/>
        <v>28</v>
      </c>
      <c r="R183" s="9">
        <f t="shared" si="15"/>
        <v>1</v>
      </c>
      <c r="S183" s="14" cm="1">
        <f t="array" ref="S183">INDEX('Results-ConceptMap-3'!$I$15:$N$126,Q183+1,R183)</f>
        <v>0</v>
      </c>
    </row>
    <row r="184" spans="16:19" x14ac:dyDescent="0.75">
      <c r="P184" s="9">
        <v>170</v>
      </c>
      <c r="Q184" s="9">
        <f t="shared" si="14"/>
        <v>28</v>
      </c>
      <c r="R184" s="9">
        <f t="shared" si="15"/>
        <v>2</v>
      </c>
      <c r="S184" s="14" cm="1">
        <f t="array" ref="S184">INDEX('Results-ConceptMap-3'!$I$15:$N$126,Q184+1,R184)</f>
        <v>0</v>
      </c>
    </row>
    <row r="185" spans="16:19" x14ac:dyDescent="0.75">
      <c r="P185" s="9">
        <v>171</v>
      </c>
      <c r="Q185" s="9">
        <f t="shared" si="14"/>
        <v>28</v>
      </c>
      <c r="R185" s="9">
        <f t="shared" si="15"/>
        <v>3</v>
      </c>
      <c r="S185" s="14" cm="1">
        <f t="array" ref="S185">INDEX('Results-ConceptMap-3'!$I$15:$N$126,Q185+1,R185)</f>
        <v>0</v>
      </c>
    </row>
  </sheetData>
  <autoFilter ref="A14:S14" xr:uid="{F0149D81-AD2D-4F0A-805A-1DBD3AE5846C}"/>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legacyDrawing r:id="rId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56"/>
  <sheetViews>
    <sheetView tabSelected="1" topLeftCell="B1" workbookViewId="0">
      <selection activeCell="B320" sqref="B320:B45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754</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group[=].element[=].target.comment = ##34#intended as the clinical relevant time (i.e. when the specimen was collected)##34#</v>
      </c>
    </row>
    <row r="51" spans="2:2" x14ac:dyDescent="0.75">
      <c r="B51" s="14" t="str">
        <f>IF('Results-ConceptMap-3'!S45=0,"//---END",'Results-ConceptMap-3'!S45)</f>
        <v>* group[=].element[+].code = #Result.observation.dateTime</v>
      </c>
    </row>
    <row r="52" spans="2:2" x14ac:dyDescent="0.75">
      <c r="B52" s="14" t="str">
        <f>IF('Results-ConceptMap-3'!S46=0,"//---END",'Results-ConceptMap-3'!S46)</f>
        <v>* group[=].element[=].display = ##34#A.5.2.1 Observation date##34#</v>
      </c>
    </row>
    <row r="53" spans="2:2" x14ac:dyDescent="0.75">
      <c r="B53" s="14" t="str">
        <f>IF('Results-ConceptMap-3'!S47=0,"//---END",'Results-ConceptMap-3'!S47)</f>
        <v>* group[=].element[=].target.code = #Observation.issued</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#equivalent</v>
      </c>
    </row>
    <row r="56" spans="2:2" x14ac:dyDescent="0.75">
      <c r="B56" s="14" t="str">
        <f>IF('Results-ConceptMap-3'!S50=0,"//---END",'Results-ConceptMap-3'!S50)</f>
        <v>* group[=].element[=].target.comment = ##34#as the date the result is made available.##34#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#Observation.hasMember.code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v>
      </c>
    </row>
    <row r="70" spans="2:2" x14ac:dyDescent="0.75">
      <c r="B70" s="14" t="str">
        <f>IF('Results-ConceptMap-3'!S64=0,"//---END",'Results-ConceptMap-3'!S64)</f>
        <v>* group[=].element[=].display = ##34#A.5.2.3 Observation code##34#</v>
      </c>
    </row>
    <row r="71" spans="2:2" x14ac:dyDescent="0.75">
      <c r="B71" s="14" t="str">
        <f>IF('Results-ConceptMap-3'!S65=0,"//---END",'Results-ConceptMap-3'!S65)</f>
        <v>* group[=].element[=].target.code = #Observation.component.code</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#relatedto</v>
      </c>
    </row>
    <row r="74" spans="2:2" x14ac:dyDescent="0.75">
      <c r="B74" s="14" t="str">
        <f>IF('Results-ConceptMap-3'!S68=0,"//---END",'Results-ConceptMap-3'!S68)</f>
        <v>* group[=].element[=].target.comment = ##34#depends on the type of test##34#</v>
      </c>
    </row>
    <row r="75" spans="2:2" x14ac:dyDescent="0.75">
      <c r="B75" s="14" t="str">
        <f>IF('Results-ConceptMap-3'!S69=0,"//---END",'Results-ConceptMap-3'!S69)</f>
        <v>* group[=].element[+].code = #Result.observation.code.name</v>
      </c>
    </row>
    <row r="76" spans="2:2" x14ac:dyDescent="0.75">
      <c r="B76" s="14" t="str">
        <f>IF('Results-ConceptMap-3'!S70=0,"//---END",'Results-ConceptMap-3'!S70)</f>
        <v>* group[=].element[=].display = ##34#A.5.2.3.1 Observation name##34#</v>
      </c>
    </row>
    <row r="77" spans="2:2" x14ac:dyDescent="0.75">
      <c r="B77" s="14" t="str">
        <f>IF('Results-ConceptMap-3'!S71=0,"//---END",'Results-ConceptMap-3'!S71)</f>
        <v>* group[=].element[=].target.code = #Observation.code.coding.display</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concept.##34#</v>
      </c>
    </row>
    <row r="81" spans="2:2" x14ac:dyDescent="0.75">
      <c r="B81" s="14" t="str">
        <f>IF('Results-ConceptMap-3'!S75=0,"//---END",'Results-ConceptMap-3'!S75)</f>
        <v>* group[=].element[+].code = #Result.observation.code.originalName</v>
      </c>
    </row>
    <row r="82" spans="2:2" x14ac:dyDescent="0.75">
      <c r="B82" s="14" t="str">
        <f>IF('Results-ConceptMap-3'!S76=0,"//---END",'Results-ConceptMap-3'!S76)</f>
        <v>* group[=].element[=].display = ##34#A.5.2.3.2 Observation original name##34#</v>
      </c>
    </row>
    <row r="83" spans="2:2" x14ac:dyDescent="0.75">
      <c r="B83" s="14" t="str">
        <f>IF('Results-ConceptMap-3'!S77=0,"//---END",'Results-ConceptMap-3'!S77)</f>
        <v>* group[=].element[=].target.code = #Observation.code.text</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x14ac:dyDescent="0.75">
      <c r="B86" s="14" t="str">
        <f>IF('Results-ConceptMap-3'!S80=0,"//---END",'Results-ConceptMap-3'!S80)</f>
        <v>* group[=].element[=].target.comment = ##34#The mapping refers to the case "code" mapped to Observation.code. A similar mapping applies to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x14ac:dyDescent="0.75">
      <c r="B92" s="14" t="str">
        <f>IF('Results-ConceptMap-3'!S86=0,"//---END",'Results-ConceptMap-3'!S86)</f>
        <v>* group[=].element[=].target.comment = ##34#The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x14ac:dyDescent="0.75">
      <c r="B116" s="14" t="str">
        <f>IF('Results-ConceptMap-3'!S110=0,"//---END",'Results-ConceptMap-3'!S110)</f>
        <v>* group[=].element[=].target.comment = ##34#With device of type DeviceMeasure.
This resource can be used to capture some information about the setting (including calibration)##34#</v>
      </c>
    </row>
    <row r="117" spans="2:2" x14ac:dyDescent="0.75">
      <c r="B117" s="14" t="str">
        <f>IF('Results-ConceptMap-3'!S111=0,"//---END",'Results-ConceptMap-3'!S111)</f>
        <v>* group[=].element[+].code = #Result.observation.order</v>
      </c>
    </row>
    <row r="118" spans="2:2" x14ac:dyDescent="0.75">
      <c r="B118" s="14" t="str">
        <f>IF('Results-ConceptMap-3'!S112=0,"//---END",'Results-ConceptMap-3'!S112)</f>
        <v>* group[=].element[=].display = ##34#A.5.2.8 Order##34#</v>
      </c>
    </row>
    <row r="119" spans="2:2" x14ac:dyDescent="0.75">
      <c r="B119" s="14" t="str">
        <f>IF('Results-ConceptMap-3'!S113=0,"//---END",'Results-ConceptMap-3'!S113)</f>
        <v>* group[=].element[=].target.code = #Observation.basedOn</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#equivalent</v>
      </c>
    </row>
    <row r="122" spans="2:2" x14ac:dyDescent="0.75">
      <c r="B122" s="14" t="str">
        <f>IF('Results-ConceptMap-3'!S116=0,"//---END",'Results-ConceptMap-3'!S116)</f>
        <v/>
      </c>
    </row>
    <row r="123" spans="2:2" x14ac:dyDescent="0.75">
      <c r="B123" s="14" t="str">
        <f>IF('Results-ConceptMap-3'!S117=0,"//---END",'Results-ConceptMap-3'!S117)</f>
        <v>* group[=].element[+].code = #Result.observation.performer</v>
      </c>
    </row>
    <row r="124" spans="2:2" x14ac:dyDescent="0.75">
      <c r="B124" s="14" t="str">
        <f>IF('Results-ConceptMap-3'!S118=0,"//---END",'Results-ConceptMap-3'!S118)</f>
        <v>* group[=].element[=].display = ##34#A.5.2.9 Performer##34#</v>
      </c>
    </row>
    <row r="125" spans="2:2" x14ac:dyDescent="0.75">
      <c r="B125" s="14" t="str">
        <f>IF('Results-ConceptMap-3'!S119=0,"//---END",'Results-ConceptMap-3'!S119)</f>
        <v>* group[=].element[=].target.code = #Observation.performer</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#Result.observation.reporter</v>
      </c>
    </row>
    <row r="130" spans="2:2" x14ac:dyDescent="0.75">
      <c r="B130" s="14" t="str">
        <f>IF('Results-ConceptMap-3'!S124=0,"//---END",'Results-ConceptMap-3'!S124)</f>
        <v>* group[=].element[=].display = ##34#A.5.2.10 Reporter##34#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#relatedto</v>
      </c>
    </row>
    <row r="134" spans="2:2" x14ac:dyDescent="0.75">
      <c r="B134" s="14" t="str">
        <f>IF('Results-ConceptMap-3'!S128=0,"//---END",'Results-ConceptMap-3'!S128)</f>
        <v>* group[=].element[=].target.comment = ##34#For interpreter: performer.extension:performerFunction = AUT (author)
If the person responsible for validation:  performer.extension:performerFunction = AUTHEN or LA##34#</v>
      </c>
    </row>
    <row r="135" spans="2:2" x14ac:dyDescent="0.75">
      <c r="B135" s="14" t="str">
        <f>IF('Results-ConceptMap-3'!S129=0,"//---END",'Results-ConceptMap-3'!S129)</f>
        <v>* group[=].element[+].code = #Result.observation.result</v>
      </c>
    </row>
    <row r="136" spans="2:2" x14ac:dyDescent="0.75">
      <c r="B136" s="14" t="str">
        <f>IF('Results-ConceptMap-3'!S130=0,"//---END",'Results-ConceptMap-3'!S130)</f>
        <v>* group[=].element[=].display = ##34#A.5.2.11 Observation result##34#</v>
      </c>
    </row>
    <row r="137" spans="2:2" x14ac:dyDescent="0.75">
      <c r="B137" s="14" t="str">
        <f>IF('Results-ConceptMap-3'!S131=0,"//---END",'Results-ConceptMap-3'!S131)</f>
        <v>* group[=].element[=].target.code = #Observation.value[x]</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#equivalent</v>
      </c>
    </row>
    <row r="140" spans="2:2" x14ac:dyDescent="0.75">
      <c r="B140" s="14" t="str">
        <f>IF('Results-ConceptMap-3'!S134=0,"//---END",'Results-ConceptMap-3'!S134)</f>
        <v>* group[=].element[=].target.comment = ##34#depends on the type of test##34#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#Observation.component.value[x]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#Result.observation.interpretation</v>
      </c>
    </row>
    <row r="148" spans="2:2" x14ac:dyDescent="0.75">
      <c r="B148" s="14" t="str">
        <f>IF('Results-ConceptMap-3'!S142=0,"//---END",'Results-ConceptMap-3'!S142)</f>
        <v>* group[=].element[=].display = ##34#A.5.2.12 Observation interpretation##34#</v>
      </c>
    </row>
    <row r="149" spans="2:2" x14ac:dyDescent="0.75">
      <c r="B149" s="14" t="str">
        <f>IF('Results-ConceptMap-3'!S143=0,"//---END",'Results-ConceptMap-3'!S143)</f>
        <v>* group[=].element[=].target.code = #Observation.interpretation</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#Observation.component.interpretation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#Result.observation.description</v>
      </c>
    </row>
    <row r="160" spans="2:2" x14ac:dyDescent="0.75">
      <c r="B160" s="14" t="str">
        <f>IF('Results-ConceptMap-3'!S154=0,"//---END",'Results-ConceptMap-3'!S154)</f>
        <v>* group[=].element[=].display = ##34#A.5.2.13 Result description##34#</v>
      </c>
    </row>
    <row r="161" spans="2:2" x14ac:dyDescent="0.75">
      <c r="B161" s="14" t="str">
        <f>IF('Results-ConceptMap-3'!S155=0,"//---END",'Results-ConceptMap-3'!S155)</f>
        <v>* group[=].element[=].target.code = #Observation.text</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#relatedto</v>
      </c>
    </row>
    <row r="164" spans="2:2" x14ac:dyDescent="0.75">
      <c r="B164" s="14" t="str">
        <f>IF('Results-ConceptMap-3'!S158=0,"//---END",'Results-ConceptMap-3'!S158)</f>
        <v/>
      </c>
    </row>
    <row r="165" spans="2:2" x14ac:dyDescent="0.75">
      <c r="B165" s="14" t="str">
        <f>IF('Results-ConceptMap-3'!S159=0,"//---END",'Results-ConceptMap-3'!S159)</f>
        <v>* group[=].element[+].code = #Result.observation.accreditationStatus</v>
      </c>
    </row>
    <row r="166" spans="2:2" x14ac:dyDescent="0.75">
      <c r="B166" s="14" t="str">
        <f>IF('Results-ConceptMap-3'!S160=0,"//---END",'Results-ConceptMap-3'!S160)</f>
        <v>* group[=].element[=].display = ##34#A.5.2.14 Accreditation status##34#</v>
      </c>
    </row>
    <row r="167" spans="2:2" x14ac:dyDescent="0.75">
      <c r="B167" s="14" t="str">
        <f>IF('Results-ConceptMap-3'!S161=0,"//---END",'Results-ConceptMap-3'!S161)</f>
        <v>* group[=].element[=].target.code = #Observation.performer.qualification</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##34#performer ofType PractitionerRole##34#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#Observation.performer.organization.qualification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Organization##34#</v>
      </c>
    </row>
    <row r="177" spans="2:2" x14ac:dyDescent="0.75">
      <c r="B177" s="14" t="str">
        <f>IF('Results-ConceptMap-3'!S171=0,"//---END",'Results-ConceptMap-3'!S171)</f>
        <v>//---END</v>
      </c>
    </row>
    <row r="178" spans="2:2" x14ac:dyDescent="0.75">
      <c r="B178" s="14" t="str">
        <f>IF('Results-ConceptMap-3'!S172=0,"//---END",'Results-ConceptMap-3'!S172)</f>
        <v>//---END</v>
      </c>
    </row>
    <row r="179" spans="2:2" x14ac:dyDescent="0.75">
      <c r="B179" s="14" t="str">
        <f>IF('Results-ConceptMap-3'!S173=0,"//---END",'Results-ConceptMap-3'!S173)</f>
        <v>//---END</v>
      </c>
    </row>
    <row r="180" spans="2:2" x14ac:dyDescent="0.75">
      <c r="B180" s="14" t="str">
        <f>IF('Results-ConceptMap-3'!S174=0,"//---END",'Results-ConceptMap-3'!S174)</f>
        <v>//---END</v>
      </c>
    </row>
    <row r="181" spans="2:2" x14ac:dyDescent="0.75">
      <c r="B181" s="14" t="str">
        <f>IF('Results-ConceptMap-3'!S175=0,"//---END",'Results-ConceptMap-3'!S175)</f>
        <v>//---END</v>
      </c>
    </row>
    <row r="182" spans="2:2" x14ac:dyDescent="0.75">
      <c r="B182" s="14" t="str">
        <f>IF('Results-ConceptMap-3'!S176=0,"//---END",'Results-ConceptMap-3'!S176)</f>
        <v>//---END</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4" t="str">
        <f>IF('Results-ConceptMap-3'!S180=0,"//---END",'Results-ConceptMap-3'!S180)</f>
        <v>//---END</v>
      </c>
    </row>
    <row r="187" spans="2:2" x14ac:dyDescent="0.75">
      <c r="B187" s="14" t="str">
        <f>IF('Results-ConceptMap-3'!S181=0,"//---END",'Results-ConceptMap-3'!S181)</f>
        <v>//---END</v>
      </c>
    </row>
    <row r="188" spans="2:2" x14ac:dyDescent="0.75">
      <c r="B188" s="14" t="str">
        <f>IF('Results-ConceptMap-3'!S182=0,"//---END",'Results-ConceptMap-3'!S182)</f>
        <v>//---END</v>
      </c>
    </row>
    <row r="189" spans="2:2" x14ac:dyDescent="0.75">
      <c r="B189" s="14" t="str">
        <f>IF('Results-ConceptMap-3'!S183=0,"//---END",'Results-ConceptMap-3'!S183)</f>
        <v>//---END</v>
      </c>
    </row>
    <row r="190" spans="2:2" x14ac:dyDescent="0.75">
      <c r="B190" s="14" t="str">
        <f>IF('Results-ConceptMap-3'!S184=0,"//---END",'Results-ConceptMap-3'!S184)</f>
        <v>//---END</v>
      </c>
    </row>
    <row r="191" spans="2:2" x14ac:dyDescent="0.75">
      <c r="B191" s="14" t="str">
        <f>IF('Results-ConceptMap-3'!S185=0,"//---END",'Results-ConceptMap-3'!S185)</f>
        <v>//---END</v>
      </c>
    </row>
    <row r="192" spans="2:2" x14ac:dyDescent="0.75">
      <c r="B192" s="14" t="str">
        <f>IF('Results-ConceptMap-3'!S186=0,"//---END",'Results-ConceptMap-3'!S186)</f>
        <v>//---END</v>
      </c>
    </row>
    <row r="193" spans="2:7" x14ac:dyDescent="0.75">
      <c r="B193" s="14" t="str">
        <f>IF('Results-ConceptMap-3'!S187=0,"//---END",'Results-ConceptMap-3'!S187)</f>
        <v>//---END</v>
      </c>
    </row>
    <row r="194" spans="2:7" x14ac:dyDescent="0.75">
      <c r="B194" s="1"/>
    </row>
    <row r="195" spans="2:7" x14ac:dyDescent="0.75">
      <c r="B195" s="1"/>
    </row>
    <row r="196" spans="2:7" x14ac:dyDescent="0.75">
      <c r="B196" s="1"/>
    </row>
    <row r="197" spans="2:7" x14ac:dyDescent="0.75">
      <c r="B197" s="1"/>
    </row>
    <row r="198" spans="2:7" x14ac:dyDescent="0.75">
      <c r="B198" s="1"/>
    </row>
    <row r="199" spans="2:7" x14ac:dyDescent="0.75">
      <c r="B199" s="79" t="str">
        <f>"* group[+].source = ##34#"&amp;'Results-ConceptMap-1'!E6&amp;"##34#"</f>
        <v>* group[+].source = ##34#http://hl7.eu/fhir/laboratory/StructureDefinition/Result##34#</v>
      </c>
    </row>
    <row r="200" spans="2:7" x14ac:dyDescent="0.75">
      <c r="B200" s="79" t="str">
        <f>"* group[=].target = ##34#"&amp;'Results-ConceptMap-1'!E7&amp;"##34#"</f>
        <v>* group[=].target = ##34#http://hl7.eu/fhir/laboratory/StructureDefinition/DiagnosticReport-eu-lab##34#</v>
      </c>
    </row>
    <row r="201" spans="2:7" x14ac:dyDescent="0.75">
      <c r="B201" s="81"/>
    </row>
    <row r="202" spans="2:7" x14ac:dyDescent="0.75">
      <c r="B202" s="14" t="str">
        <f>IF('Results-ConceptMap-1'!S15=0,"//---END",'Results-ConceptMap-1'!S15)</f>
        <v>* group[=].element[+].code = #Result.narrative</v>
      </c>
    </row>
    <row r="203" spans="2:7" x14ac:dyDescent="0.75">
      <c r="B203" s="14" t="str">
        <f>IF('Results-ConceptMap-1'!S16=0,"//---END",'Results-ConceptMap-1'!S16)</f>
        <v>* group[=].element[=].display = ##34#A.5.1 Laboratory report narrative##34#</v>
      </c>
    </row>
    <row r="204" spans="2:7" x14ac:dyDescent="0.75">
      <c r="B204" s="14" t="str">
        <f>IF('Results-ConceptMap-1'!S17=0,"//---END",'Results-ConceptMap-1'!S17)</f>
        <v>* group[=].element[=].target.code = #DiagnosticReport</v>
      </c>
    </row>
    <row r="205" spans="2:7" x14ac:dyDescent="0.75">
      <c r="B205" s="14" t="str">
        <f>IF('Results-ConceptMap-1'!S18=0,"//---END",'Results-ConceptMap-1'!S18)</f>
        <v>* group[=].element[=].target.display = ##34###34#</v>
      </c>
    </row>
    <row r="206" spans="2:7" x14ac:dyDescent="0.75">
      <c r="B206" s="14" t="str">
        <f>IF('Results-ConceptMap-1'!S19=0,"//---END",'Results-ConceptMap-1'!S19)</f>
        <v>* group[=].element[=].target.equivalence = #relatedto</v>
      </c>
    </row>
    <row r="207" spans="2:7" x14ac:dyDescent="0.75">
      <c r="B207" s="14" t="str">
        <f>IF('Results-ConceptMap-1'!S20=0,"//---END",'Results-ConceptMap-1'!S20)</f>
        <v/>
      </c>
      <c r="G207" s="10"/>
    </row>
    <row r="208" spans="2:7" x14ac:dyDescent="0.75">
      <c r="B208" s="14" t="str">
        <f>IF('Results-ConceptMap-1'!S21=0,"//---END",'Results-ConceptMap-1'!S21)</f>
        <v>* group[=].element[+].code = #Result.narrative.report</v>
      </c>
    </row>
    <row r="209" spans="2:2" x14ac:dyDescent="0.75">
      <c r="B209" s="14" t="str">
        <f>IF('Results-ConceptMap-1'!S22=0,"//---END",'Results-ConceptMap-1'!S22)</f>
        <v>* group[=].element[=].display = ##34#A.5.1.1 Narrative report##34#</v>
      </c>
    </row>
    <row r="210" spans="2:2" x14ac:dyDescent="0.75">
      <c r="B210" s="14" t="str">
        <f>IF('Results-ConceptMap-1'!S23=0,"//---END",'Results-ConceptMap-1'!S23)</f>
        <v>* group[=].element[=].target.code = #DiagnosticReport.text</v>
      </c>
    </row>
    <row r="211" spans="2:2" x14ac:dyDescent="0.75">
      <c r="B211" s="14" t="str">
        <f>IF('Results-ConceptMap-1'!S24=0,"//---END",'Results-ConceptMap-1'!S24)</f>
        <v>* group[=].element[=].target.display = ##34###34#</v>
      </c>
    </row>
    <row r="212" spans="2:2" x14ac:dyDescent="0.75">
      <c r="B212" s="14" t="str">
        <f>IF('Results-ConceptMap-1'!S25=0,"//---END",'Results-ConceptMap-1'!S25)</f>
        <v>* group[=].element[=].target.equivalence = #relatedto</v>
      </c>
    </row>
    <row r="213" spans="2:2" x14ac:dyDescent="0.75">
      <c r="B213" s="14" t="str">
        <f>IF('Results-ConceptMap-1'!S26=0,"//---END",'Results-ConceptMap-1'!S26)</f>
        <v/>
      </c>
    </row>
    <row r="214" spans="2:2" x14ac:dyDescent="0.75">
      <c r="B214" s="14" t="str">
        <f>IF('Results-ConceptMap-1'!S27=0,"//---END",'Results-ConceptMap-1'!S27)</f>
        <v>* group[=].element[+].code = #Result.narrative.notes</v>
      </c>
    </row>
    <row r="215" spans="2:2" x14ac:dyDescent="0.75">
      <c r="B215" s="14" t="str">
        <f>IF('Results-ConceptMap-1'!S28=0,"//---END",'Results-ConceptMap-1'!S28)</f>
        <v>* group[=].element[=].display = ##34#A.5.1.2 Comments, interpretation and recommendations##34#</v>
      </c>
    </row>
    <row r="216" spans="2:2" x14ac:dyDescent="0.75">
      <c r="B216" s="14" t="str">
        <f>IF('Results-ConceptMap-1'!S29=0,"//---END",'Results-ConceptMap-1'!S29)</f>
        <v>* group[=].element[=].target.code = #DiagnosticReport.conclusion</v>
      </c>
    </row>
    <row r="217" spans="2:2" x14ac:dyDescent="0.75">
      <c r="B217" s="14" t="str">
        <f>IF('Results-ConceptMap-1'!S30=0,"//---END",'Results-ConceptMap-1'!S30)</f>
        <v>* group[=].element[=].target.display = ##34###34#</v>
      </c>
    </row>
    <row r="218" spans="2:2" x14ac:dyDescent="0.75">
      <c r="B218" s="14" t="str">
        <f>IF('Results-ConceptMap-1'!S31=0,"//---END",'Results-ConceptMap-1'!S31)</f>
        <v>* group[=].element[=].target.equivalence = #relatedto</v>
      </c>
    </row>
    <row r="219" spans="2:2" x14ac:dyDescent="0.75">
      <c r="B219" s="14" t="str">
        <f>IF('Results-ConceptMap-1'!S32=0,"//---END",'Results-ConceptMap-1'!S32)</f>
        <v>* group[=].element[=].target.comment = ##34#if related to the overall report conclusions##34#</v>
      </c>
    </row>
    <row r="220" spans="2:2" x14ac:dyDescent="0.75">
      <c r="B220" s="14" t="str">
        <f>IF('Results-ConceptMap-1'!S33=0,"//---END",'Results-ConceptMap-1'!S33)</f>
        <v>* group[=].element[+].code = #Result.observation</v>
      </c>
    </row>
    <row r="221" spans="2:2" x14ac:dyDescent="0.75">
      <c r="B221" s="14" t="str">
        <f>IF('Results-ConceptMap-1'!S34=0,"//---END",'Results-ConceptMap-1'!S34)</f>
        <v>* group[=].element[=].display = ##34#A.5.2 Observation details##34#</v>
      </c>
    </row>
    <row r="222" spans="2:2" x14ac:dyDescent="0.75">
      <c r="B222" s="14" t="str">
        <f>IF('Results-ConceptMap-1'!S35=0,"//---END",'Results-ConceptMap-1'!S35)</f>
        <v>* group[=].element[=].target.code = #DiagnosticReport.result</v>
      </c>
    </row>
    <row r="223" spans="2:2" x14ac:dyDescent="0.75">
      <c r="B223" s="14" t="str">
        <f>IF('Results-ConceptMap-1'!S36=0,"//---END",'Results-ConceptMap-1'!S36)</f>
        <v>* group[=].element[=].target.display = ##34###34#</v>
      </c>
    </row>
    <row r="224" spans="2:2" x14ac:dyDescent="0.75">
      <c r="B224" s="14" t="str">
        <f>IF('Results-ConceptMap-1'!S37=0,"//---END",'Results-ConceptMap-1'!S37)</f>
        <v>* group[=].element[=].target.equivalence = #relatedto</v>
      </c>
    </row>
    <row r="225" spans="2:2" x14ac:dyDescent="0.75">
      <c r="B225" s="14" t="str">
        <f>IF('Results-ConceptMap-1'!S38=0,"//---END",'Results-ConceptMap-1'!S38)</f>
        <v>* group[=].element[=].target.comment = ##34#see details in the Observation group##34#</v>
      </c>
    </row>
    <row r="226" spans="2:2" x14ac:dyDescent="0.75">
      <c r="B226" s="14" t="str">
        <f>IF('Results-ConceptMap-1'!S39=0,"//---END",'Results-ConceptMap-1'!S39)</f>
        <v>* group[=].element[+].code = #Result.observation.dateTime</v>
      </c>
    </row>
    <row r="227" spans="2:2" x14ac:dyDescent="0.75">
      <c r="B227" s="14" t="str">
        <f>IF('Results-ConceptMap-1'!S40=0,"//---END",'Results-ConceptMap-1'!S40)</f>
        <v>* group[=].element[=].display = ##34#A.5.2.1 Observation date##34#</v>
      </c>
    </row>
    <row r="228" spans="2:2" x14ac:dyDescent="0.75">
      <c r="B228" s="14" t="str">
        <f>IF('Results-ConceptMap-1'!S41=0,"//---END",'Results-ConceptMap-1'!S41)</f>
        <v>* group[=].element[=].target.code = #DiagnosticReport.result</v>
      </c>
    </row>
    <row r="229" spans="2:2" x14ac:dyDescent="0.75">
      <c r="B229" s="14" t="str">
        <f>IF('Results-ConceptMap-1'!S42=0,"//---END",'Results-ConceptMap-1'!S42)</f>
        <v>* group[=].element[=].target.display = ##34###34#</v>
      </c>
    </row>
    <row r="230" spans="2:2" x14ac:dyDescent="0.75">
      <c r="B230" s="14" t="str">
        <f>IF('Results-ConceptMap-1'!S43=0,"//---END",'Results-ConceptMap-1'!S43)</f>
        <v>* group[=].element[=].target.equivalence = #relatedto</v>
      </c>
    </row>
    <row r="231" spans="2:2" x14ac:dyDescent="0.75">
      <c r="B231" s="14" t="str">
        <f>IF('Results-ConceptMap-1'!S44=0,"//---END",'Results-ConceptMap-1'!S44)</f>
        <v>* group[=].element[=].target.comment = ##34#see details in the Observation group##34#</v>
      </c>
    </row>
    <row r="232" spans="2:2" x14ac:dyDescent="0.75">
      <c r="B232" s="14" t="str">
        <f>IF('Results-ConceptMap-1'!S45=0,"//---END",'Results-ConceptMap-1'!S45)</f>
        <v>* group[=].element[+].code = #Result.observation.code</v>
      </c>
    </row>
    <row r="233" spans="2:2" x14ac:dyDescent="0.75">
      <c r="B233" s="14" t="str">
        <f>IF('Results-ConceptMap-1'!S46=0,"//---END",'Results-ConceptMap-1'!S46)</f>
        <v>* group[=].element[=].display = ##34#A.5.2.3 Observation code##34#</v>
      </c>
    </row>
    <row r="234" spans="2:2" x14ac:dyDescent="0.75">
      <c r="B234" s="14" t="str">
        <f>IF('Results-ConceptMap-1'!S47=0,"//---END",'Results-ConceptMap-1'!S47)</f>
        <v>* group[=].element[=].target.code = #DiagnosticReport.result</v>
      </c>
    </row>
    <row r="235" spans="2:2" x14ac:dyDescent="0.75">
      <c r="B235" s="14" t="str">
        <f>IF('Results-ConceptMap-1'!S48=0,"//---END",'Results-ConceptMap-1'!S48)</f>
        <v>* group[=].element[=].target.display = ##34###34#</v>
      </c>
    </row>
    <row r="236" spans="2:2" x14ac:dyDescent="0.75">
      <c r="B236" s="14" t="str">
        <f>IF('Results-ConceptMap-1'!S49=0,"//---END",'Results-ConceptMap-1'!S49)</f>
        <v>* group[=].element[=].target.equivalence = #relatedto</v>
      </c>
    </row>
    <row r="237" spans="2:2" x14ac:dyDescent="0.75">
      <c r="B237" s="14" t="str">
        <f>IF('Results-ConceptMap-1'!S50=0,"//---END",'Results-ConceptMap-1'!S50)</f>
        <v>* group[=].element[=].target.comment = ##34#see details in the Observation group##34#</v>
      </c>
    </row>
    <row r="238" spans="2:2" x14ac:dyDescent="0.75">
      <c r="B238" s="14" t="str">
        <f>IF('Results-ConceptMap-1'!S51=0,"//---END",'Results-ConceptMap-1'!S51)</f>
        <v>* group[=].element[+].code = #Result.observation.code.name</v>
      </c>
    </row>
    <row r="239" spans="2:2" x14ac:dyDescent="0.75">
      <c r="B239" s="14" t="str">
        <f>IF('Results-ConceptMap-1'!S52=0,"//---END",'Results-ConceptMap-1'!S52)</f>
        <v>* group[=].element[=].display = ##34#A.5.2.3.1 Observation name##34#</v>
      </c>
    </row>
    <row r="240" spans="2:2" x14ac:dyDescent="0.75">
      <c r="B240" s="14" t="str">
        <f>IF('Results-ConceptMap-1'!S53=0,"//---END",'Results-ConceptMap-1'!S53)</f>
        <v>* group[=].element[=].target.code = #DiagnosticReport.result</v>
      </c>
    </row>
    <row r="241" spans="2:2" x14ac:dyDescent="0.75">
      <c r="B241" s="14" t="str">
        <f>IF('Results-ConceptMap-1'!S54=0,"//---END",'Results-ConceptMap-1'!S54)</f>
        <v>* group[=].element[=].target.display = ##34###34#</v>
      </c>
    </row>
    <row r="242" spans="2:2" x14ac:dyDescent="0.75">
      <c r="B242" s="14" t="str">
        <f>IF('Results-ConceptMap-1'!S55=0,"//---END",'Results-ConceptMap-1'!S55)</f>
        <v>* group[=].element[=].target.equivalence = #relatedto</v>
      </c>
    </row>
    <row r="243" spans="2:2" x14ac:dyDescent="0.75">
      <c r="B243" s="14" t="str">
        <f>IF('Results-ConceptMap-1'!S56=0,"//---END",'Results-ConceptMap-1'!S56)</f>
        <v>* group[=].element[=].target.comment = ##34#see details in the Observation group##34#</v>
      </c>
    </row>
    <row r="244" spans="2:2" x14ac:dyDescent="0.75">
      <c r="B244" s="14" t="str">
        <f>IF('Results-ConceptMap-1'!S57=0,"//---END",'Results-ConceptMap-1'!S57)</f>
        <v>* group[=].element[+].code = #Result.observation.code.originalName</v>
      </c>
    </row>
    <row r="245" spans="2:2" x14ac:dyDescent="0.75">
      <c r="B245" s="14" t="str">
        <f>IF('Results-ConceptMap-1'!S58=0,"//---END",'Results-ConceptMap-1'!S58)</f>
        <v>* group[=].element[=].display = ##34#A.5.2.3.2 Observation original name##34#</v>
      </c>
    </row>
    <row r="246" spans="2:2" x14ac:dyDescent="0.75">
      <c r="B246" s="14" t="str">
        <f>IF('Results-ConceptMap-1'!S59=0,"//---END",'Results-ConceptMap-1'!S59)</f>
        <v>* group[=].element[=].target.code = #DiagnosticReport.result</v>
      </c>
    </row>
    <row r="247" spans="2:2" x14ac:dyDescent="0.75">
      <c r="B247" s="14" t="str">
        <f>IF('Results-ConceptMap-1'!S60=0,"//---END",'Results-ConceptMap-1'!S60)</f>
        <v>* group[=].element[=].target.display = ##34###34#</v>
      </c>
    </row>
    <row r="248" spans="2:2" x14ac:dyDescent="0.75">
      <c r="B248" s="14" t="str">
        <f>IF('Results-ConceptMap-1'!S61=0,"//---END",'Results-ConceptMap-1'!S61)</f>
        <v>* group[=].element[=].target.equivalence = #relatedto</v>
      </c>
    </row>
    <row r="249" spans="2:2" x14ac:dyDescent="0.75">
      <c r="B249" s="14" t="str">
        <f>IF('Results-ConceptMap-1'!S62=0,"//---END",'Results-ConceptMap-1'!S62)</f>
        <v>* group[=].element[=].target.comment = ##34#see details in the Observation group##34#</v>
      </c>
    </row>
    <row r="250" spans="2:2" x14ac:dyDescent="0.75">
      <c r="B250" s="14" t="str">
        <f>IF('Results-ConceptMap-1'!S63=0,"//---END",'Results-ConceptMap-1'!S63)</f>
        <v>* group[=].element[+].code = #Result.observation.code.displayName</v>
      </c>
    </row>
    <row r="251" spans="2:2" x14ac:dyDescent="0.75">
      <c r="B251" s="14" t="str">
        <f>IF('Results-ConceptMap-1'!S64=0,"//---END",'Results-ConceptMap-1'!S64)</f>
        <v>* group[=].element[=].display = ##34#A.5.2.3.3 Observation display name##34#</v>
      </c>
    </row>
    <row r="252" spans="2:2" x14ac:dyDescent="0.75">
      <c r="B252" s="14" t="str">
        <f>IF('Results-ConceptMap-1'!S65=0,"//---END",'Results-ConceptMap-1'!S65)</f>
        <v>* group[=].element[=].target.code = #DiagnosticReport.result</v>
      </c>
    </row>
    <row r="253" spans="2:2" x14ac:dyDescent="0.75">
      <c r="B253" s="14" t="str">
        <f>IF('Results-ConceptMap-1'!S66=0,"//---END",'Results-ConceptMap-1'!S66)</f>
        <v>* group[=].element[=].target.display = ##34###34#</v>
      </c>
    </row>
    <row r="254" spans="2:2" x14ac:dyDescent="0.75">
      <c r="B254" s="14" t="str">
        <f>IF('Results-ConceptMap-1'!S67=0,"//---END",'Results-ConceptMap-1'!S67)</f>
        <v>* group[=].element[=].target.equivalence = #relatedto</v>
      </c>
    </row>
    <row r="255" spans="2:2" x14ac:dyDescent="0.75">
      <c r="B255" s="14" t="str">
        <f>IF('Results-ConceptMap-1'!S68=0,"//---END",'Results-ConceptMap-1'!S68)</f>
        <v>* group[=].element[=].target.comment = ##34#see details in the Observation group##34#</v>
      </c>
    </row>
    <row r="256" spans="2:2" x14ac:dyDescent="0.75">
      <c r="B256" s="14" t="str">
        <f>IF('Results-ConceptMap-1'!S69=0,"//---END",'Results-ConceptMap-1'!S69)</f>
        <v>* group[=].element[+].code = #Result.observation.method</v>
      </c>
    </row>
    <row r="257" spans="2:2" x14ac:dyDescent="0.75">
      <c r="B257" s="14" t="str">
        <f>IF('Results-ConceptMap-1'!S70=0,"//---END",'Results-ConceptMap-1'!S70)</f>
        <v>* group[=].element[=].display = ##34#A.5.2.4 Observation method##34#</v>
      </c>
    </row>
    <row r="258" spans="2:2" x14ac:dyDescent="0.75">
      <c r="B258" s="14" t="str">
        <f>IF('Results-ConceptMap-1'!S71=0,"//---END",'Results-ConceptMap-1'!S71)</f>
        <v>* group[=].element[=].target.code = #DiagnosticReport.result</v>
      </c>
    </row>
    <row r="259" spans="2:2" x14ac:dyDescent="0.75">
      <c r="B259" s="14" t="str">
        <f>IF('Results-ConceptMap-1'!S72=0,"//---END",'Results-ConceptMap-1'!S72)</f>
        <v>* group[=].element[=].target.display = ##34###34#</v>
      </c>
    </row>
    <row r="260" spans="2:2" x14ac:dyDescent="0.75">
      <c r="B260" s="14" t="str">
        <f>IF('Results-ConceptMap-1'!S73=0,"//---END",'Results-ConceptMap-1'!S73)</f>
        <v>* group[=].element[=].target.equivalence = #relatedto</v>
      </c>
    </row>
    <row r="261" spans="2:2" x14ac:dyDescent="0.75">
      <c r="B261" s="14" t="str">
        <f>IF('Results-ConceptMap-1'!S74=0,"//---END",'Results-ConceptMap-1'!S74)</f>
        <v>* group[=].element[=].target.comment = ##34#see details in the Observation group##34#</v>
      </c>
    </row>
    <row r="262" spans="2:2" x14ac:dyDescent="0.75">
      <c r="B262" s="14" t="str">
        <f>IF('Results-ConceptMap-1'!S75=0,"//---END",'Results-ConceptMap-1'!S75)</f>
        <v>* group[=].element[+].code = #Result.observation.device</v>
      </c>
    </row>
    <row r="263" spans="2:2" x14ac:dyDescent="0.75">
      <c r="B263" s="14" t="str">
        <f>IF('Results-ConceptMap-1'!S76=0,"//---END",'Results-ConceptMap-1'!S76)</f>
        <v>* group[=].element[=].display = ##34#A.5.2.5 Observation device##34#</v>
      </c>
    </row>
    <row r="264" spans="2:2" x14ac:dyDescent="0.75">
      <c r="B264" s="14" t="str">
        <f>IF('Results-ConceptMap-1'!S77=0,"//---END",'Results-ConceptMap-1'!S77)</f>
        <v>* group[=].element[=].target.code = #DiagnosticReport.result</v>
      </c>
    </row>
    <row r="265" spans="2:2" x14ac:dyDescent="0.75">
      <c r="B265" s="14" t="str">
        <f>IF('Results-ConceptMap-1'!S78=0,"//---END",'Results-ConceptMap-1'!S78)</f>
        <v>* group[=].element[=].target.display = ##34###34#</v>
      </c>
    </row>
    <row r="266" spans="2:2" x14ac:dyDescent="0.75">
      <c r="B266" s="14" t="str">
        <f>IF('Results-ConceptMap-1'!S79=0,"//---END",'Results-ConceptMap-1'!S79)</f>
        <v>* group[=].element[=].target.equivalence = #relatedto</v>
      </c>
    </row>
    <row r="267" spans="2:2" x14ac:dyDescent="0.75">
      <c r="B267" s="14" t="str">
        <f>IF('Results-ConceptMap-1'!S80=0,"//---END",'Results-ConceptMap-1'!S80)</f>
        <v>* group[=].element[=].target.comment = ##34#see details in the Observation group##34#</v>
      </c>
    </row>
    <row r="268" spans="2:2" x14ac:dyDescent="0.75">
      <c r="B268" s="14" t="str">
        <f>IF('Results-ConceptMap-1'!S81=0,"//---END",'Results-ConceptMap-1'!S81)</f>
        <v>* group[=].element[+].code = #Result.observation.order</v>
      </c>
    </row>
    <row r="269" spans="2:2" x14ac:dyDescent="0.75">
      <c r="B269" s="14" t="str">
        <f>IF('Results-ConceptMap-1'!S82=0,"//---END",'Results-ConceptMap-1'!S82)</f>
        <v>* group[=].element[=].display = ##34#A.5.2.8 Order##34#</v>
      </c>
    </row>
    <row r="270" spans="2:2" x14ac:dyDescent="0.75">
      <c r="B270" s="14" t="str">
        <f>IF('Results-ConceptMap-1'!S83=0,"//---END",'Results-ConceptMap-1'!S83)</f>
        <v>* group[=].element[=].target.code = #DiagnosticReport.result</v>
      </c>
    </row>
    <row r="271" spans="2:2" x14ac:dyDescent="0.75">
      <c r="B271" s="14" t="str">
        <f>IF('Results-ConceptMap-1'!S84=0,"//---END",'Results-ConceptMap-1'!S84)</f>
        <v>* group[=].element[=].target.display = ##34###34#</v>
      </c>
    </row>
    <row r="272" spans="2:2" x14ac:dyDescent="0.75">
      <c r="B272" s="14" t="str">
        <f>IF('Results-ConceptMap-1'!S85=0,"//---END",'Results-ConceptMap-1'!S85)</f>
        <v>* group[=].element[=].target.equivalence = #relatedto</v>
      </c>
    </row>
    <row r="273" spans="2:2" x14ac:dyDescent="0.75">
      <c r="B273" s="14" t="str">
        <f>IF('Results-ConceptMap-1'!S86=0,"//---END",'Results-ConceptMap-1'!S86)</f>
        <v>* group[=].element[=].target.comment = ##34#see details in the Observation group##34#</v>
      </c>
    </row>
    <row r="274" spans="2:2" x14ac:dyDescent="0.75">
      <c r="B274" s="14" t="str">
        <f>IF('Results-ConceptMap-1'!S87=0,"//---END",'Results-ConceptMap-1'!S87)</f>
        <v>* group[=].element[+].code = #Result.observation.performer</v>
      </c>
    </row>
    <row r="275" spans="2:2" x14ac:dyDescent="0.75">
      <c r="B275" s="14" t="str">
        <f>IF('Results-ConceptMap-1'!S88=0,"//---END",'Results-ConceptMap-1'!S88)</f>
        <v>* group[=].element[=].display = ##34#A.5.2.9 Performer##34#</v>
      </c>
    </row>
    <row r="276" spans="2:2" x14ac:dyDescent="0.75">
      <c r="B276" s="14" t="str">
        <f>IF('Results-ConceptMap-1'!S89=0,"//---END",'Results-ConceptMap-1'!S89)</f>
        <v>* group[=].element[=].target.code = #DiagnosticReport.result</v>
      </c>
    </row>
    <row r="277" spans="2:2" x14ac:dyDescent="0.75">
      <c r="B277" s="14" t="str">
        <f>IF('Results-ConceptMap-1'!S90=0,"//---END",'Results-ConceptMap-1'!S90)</f>
        <v>* group[=].element[=].target.display = ##34###34#</v>
      </c>
    </row>
    <row r="278" spans="2:2" x14ac:dyDescent="0.75">
      <c r="B278" s="14" t="str">
        <f>IF('Results-ConceptMap-1'!S91=0,"//---END",'Results-ConceptMap-1'!S91)</f>
        <v>* group[=].element[=].target.equivalence = #relatedto</v>
      </c>
    </row>
    <row r="279" spans="2:2" x14ac:dyDescent="0.75">
      <c r="B279" s="14" t="str">
        <f>IF('Results-ConceptMap-1'!S92=0,"//---END",'Results-ConceptMap-1'!S92)</f>
        <v>* group[=].element[=].target.comment = ##34#see details in the Observation group##34#</v>
      </c>
    </row>
    <row r="280" spans="2:2" x14ac:dyDescent="0.75">
      <c r="B280" s="14" t="str">
        <f>IF('Results-ConceptMap-1'!S93=0,"//---END",'Results-ConceptMap-1'!S93)</f>
        <v>* group[=].element[+].code = #Result.observation.reporter</v>
      </c>
    </row>
    <row r="281" spans="2:2" x14ac:dyDescent="0.75">
      <c r="B281" s="14" t="str">
        <f>IF('Results-ConceptMap-1'!S94=0,"//---END",'Results-ConceptMap-1'!S94)</f>
        <v>* group[=].element[=].display = ##34#A.5.2.10 Reporter##34#</v>
      </c>
    </row>
    <row r="282" spans="2:2" x14ac:dyDescent="0.75">
      <c r="B282" s="14" t="str">
        <f>IF('Results-ConceptMap-1'!S95=0,"//---END",'Results-ConceptMap-1'!S95)</f>
        <v>* group[=].element[=].target.code = #DiagnosticReport.result</v>
      </c>
    </row>
    <row r="283" spans="2:2" x14ac:dyDescent="0.75">
      <c r="B283" s="14" t="str">
        <f>IF('Results-ConceptMap-1'!S96=0,"//---END",'Results-ConceptMap-1'!S96)</f>
        <v>* group[=].element[=].target.display = ##34###34#</v>
      </c>
    </row>
    <row r="284" spans="2:2" x14ac:dyDescent="0.75">
      <c r="B284" s="14" t="str">
        <f>IF('Results-ConceptMap-1'!S97=0,"//---END",'Results-ConceptMap-1'!S97)</f>
        <v>* group[=].element[=].target.equivalence = #relatedto</v>
      </c>
    </row>
    <row r="285" spans="2:2" x14ac:dyDescent="0.75">
      <c r="B285" s="14" t="str">
        <f>IF('Results-ConceptMap-1'!S98=0,"//---END",'Results-ConceptMap-1'!S98)</f>
        <v>* group[=].element[=].target.comment = ##34#see details in the Observation group##34#</v>
      </c>
    </row>
    <row r="286" spans="2:2" x14ac:dyDescent="0.75">
      <c r="B286" s="14" t="str">
        <f>IF('Results-ConceptMap-1'!S99=0,"//---END",'Results-ConceptMap-1'!S99)</f>
        <v>* group[=].element[+].code = #Result.observation.result</v>
      </c>
    </row>
    <row r="287" spans="2:2" x14ac:dyDescent="0.75">
      <c r="B287" s="14" t="str">
        <f>IF('Results-ConceptMap-1'!S100=0,"//---END",'Results-ConceptMap-1'!S100)</f>
        <v>* group[=].element[=].display = ##34#A.5.2.11 Observation result##34#</v>
      </c>
    </row>
    <row r="288" spans="2:2" x14ac:dyDescent="0.75">
      <c r="B288" s="14" t="str">
        <f>IF('Results-ConceptMap-1'!S101=0,"//---END",'Results-ConceptMap-1'!S101)</f>
        <v>* group[=].element[=].target.code = #DiagnosticReport.result</v>
      </c>
    </row>
    <row r="289" spans="2:2" x14ac:dyDescent="0.75">
      <c r="B289" s="14" t="str">
        <f>IF('Results-ConceptMap-1'!S102=0,"//---END",'Results-ConceptMap-1'!S102)</f>
        <v>* group[=].element[=].target.display = ##34###34#</v>
      </c>
    </row>
    <row r="290" spans="2:2" x14ac:dyDescent="0.75">
      <c r="B290" s="14" t="str">
        <f>IF('Results-ConceptMap-1'!S103=0,"//---END",'Results-ConceptMap-1'!S103)</f>
        <v>* group[=].element[=].target.equivalence = #relatedto</v>
      </c>
    </row>
    <row r="291" spans="2:2" x14ac:dyDescent="0.75">
      <c r="B291" s="14" t="str">
        <f>IF('Results-ConceptMap-1'!S104=0,"//---END",'Results-ConceptMap-1'!S104)</f>
        <v>* group[=].element[=].target.comment = ##34#see details in the Observation group##34#</v>
      </c>
    </row>
    <row r="292" spans="2:2" x14ac:dyDescent="0.75">
      <c r="B292" s="14" t="str">
        <f>IF('Results-ConceptMap-1'!S105=0,"//---END",'Results-ConceptMap-1'!S105)</f>
        <v>* group[=].element[+].code = #Result.observation.interpretation</v>
      </c>
    </row>
    <row r="293" spans="2:2" x14ac:dyDescent="0.75">
      <c r="B293" s="14" t="str">
        <f>IF('Results-ConceptMap-1'!S106=0,"//---END",'Results-ConceptMap-1'!S106)</f>
        <v>* group[=].element[=].display = ##34#A.5.2.12 Observation interpretation##34#</v>
      </c>
    </row>
    <row r="294" spans="2:2" x14ac:dyDescent="0.75">
      <c r="B294" s="14" t="str">
        <f>IF('Results-ConceptMap-1'!S107=0,"//---END",'Results-ConceptMap-1'!S107)</f>
        <v>* group[=].element[=].target.code = #DiagnosticReport.result</v>
      </c>
    </row>
    <row r="295" spans="2:2" x14ac:dyDescent="0.75">
      <c r="B295" s="14" t="str">
        <f>IF('Results-ConceptMap-1'!S108=0,"//---END",'Results-ConceptMap-1'!S108)</f>
        <v>* group[=].element[=].target.display = ##34###34#</v>
      </c>
    </row>
    <row r="296" spans="2:2" x14ac:dyDescent="0.75">
      <c r="B296" s="14" t="str">
        <f>IF('Results-ConceptMap-1'!S109=0,"//---END",'Results-ConceptMap-1'!S109)</f>
        <v>* group[=].element[=].target.equivalence = #relatedto</v>
      </c>
    </row>
    <row r="297" spans="2:2" x14ac:dyDescent="0.75">
      <c r="B297" s="14" t="str">
        <f>IF('Results-ConceptMap-1'!S110=0,"//---END",'Results-ConceptMap-1'!S110)</f>
        <v>* group[=].element[=].target.comment = ##34#see details in the Observation group##34#</v>
      </c>
    </row>
    <row r="298" spans="2:2" x14ac:dyDescent="0.75">
      <c r="B298" s="14" t="str">
        <f>IF('Results-ConceptMap-1'!S111=0,"//---END",'Results-ConceptMap-1'!S111)</f>
        <v>* group[=].element[+].code = #Result.observation.description</v>
      </c>
    </row>
    <row r="299" spans="2:2" x14ac:dyDescent="0.75">
      <c r="B299" s="14" t="str">
        <f>IF('Results-ConceptMap-1'!S112=0,"//---END",'Results-ConceptMap-1'!S112)</f>
        <v>* group[=].element[=].display = ##34#A.5.2.13 Result description##34#</v>
      </c>
    </row>
    <row r="300" spans="2:2" x14ac:dyDescent="0.75">
      <c r="B300" s="14" t="str">
        <f>IF('Results-ConceptMap-1'!S113=0,"//---END",'Results-ConceptMap-1'!S113)</f>
        <v>* group[=].element[=].target.code = #DiagnosticReport.result</v>
      </c>
    </row>
    <row r="301" spans="2:2" x14ac:dyDescent="0.75">
      <c r="B301" s="14" t="str">
        <f>IF('Results-ConceptMap-1'!S114=0,"//---END",'Results-ConceptMap-1'!S114)</f>
        <v>* group[=].element[=].target.display = ##34###34#</v>
      </c>
    </row>
    <row r="302" spans="2:2" x14ac:dyDescent="0.75">
      <c r="B302" s="14" t="str">
        <f>IF('Results-ConceptMap-1'!S115=0,"//---END",'Results-ConceptMap-1'!S115)</f>
        <v>* group[=].element[=].target.equivalence = #relatedto</v>
      </c>
    </row>
    <row r="303" spans="2:2" x14ac:dyDescent="0.75">
      <c r="B303" s="14" t="str">
        <f>IF('Results-ConceptMap-1'!S116=0,"//---END",'Results-ConceptMap-1'!S116)</f>
        <v>* group[=].element[=].target.comment = ##34#see details in the Observation group##34#</v>
      </c>
    </row>
    <row r="304" spans="2:2" x14ac:dyDescent="0.75">
      <c r="B304" s="14" t="str">
        <f>IF('Results-ConceptMap-1'!S117=0,"//---END",'Results-ConceptMap-1'!S117)</f>
        <v>* group[=].element[+].code = #Result.observation.accreditationStatus</v>
      </c>
    </row>
    <row r="305" spans="2:2" x14ac:dyDescent="0.75">
      <c r="B305" s="14" t="str">
        <f>IF('Results-ConceptMap-1'!S118=0,"//---END",'Results-ConceptMap-1'!S118)</f>
        <v>* group[=].element[=].display = ##34#A.5.2.14 Accreditation status##34#</v>
      </c>
    </row>
    <row r="306" spans="2:2" x14ac:dyDescent="0.75">
      <c r="B306" s="14" t="str">
        <f>IF('Results-ConceptMap-1'!S119=0,"//---END",'Results-ConceptMap-1'!S119)</f>
        <v>* group[=].element[=].target.code = #DiagnosticReport.result</v>
      </c>
    </row>
    <row r="307" spans="2:2" x14ac:dyDescent="0.75">
      <c r="B307" s="14" t="str">
        <f>IF('Results-ConceptMap-1'!S120=0,"//---END",'Results-ConceptMap-1'!S120)</f>
        <v>* group[=].element[=].target.display = ##34###34#</v>
      </c>
    </row>
    <row r="308" spans="2:2" x14ac:dyDescent="0.75">
      <c r="B308" s="14" t="str">
        <f>IF('Results-ConceptMap-1'!S121=0,"//---END",'Results-ConceptMap-1'!S121)</f>
        <v>* group[=].element[=].target.equivalence = #relatedto</v>
      </c>
    </row>
    <row r="309" spans="2:2" x14ac:dyDescent="0.75">
      <c r="B309" s="14" t="str">
        <f>IF('Results-ConceptMap-1'!S122=0,"//---END",'Results-ConceptMap-1'!S122)</f>
        <v>* group[=].element[=].target.comment = ##34#see details in the Observation group##34#</v>
      </c>
    </row>
    <row r="310" spans="2:2" x14ac:dyDescent="0.75">
      <c r="B310" s="14" t="str">
        <f>IF('Results-ConceptMap-1'!S123=0,"//---END",'Results-ConceptMap-1'!S123)</f>
        <v>//---END</v>
      </c>
    </row>
    <row r="311" spans="2:2" x14ac:dyDescent="0.75">
      <c r="B311" s="14" t="str">
        <f>IF('Results-ConceptMap-1'!S124=0,"//---END",'Results-ConceptMap-1'!S124)</f>
        <v>//---END</v>
      </c>
    </row>
    <row r="312" spans="2:2" x14ac:dyDescent="0.75">
      <c r="B312" s="14" t="str">
        <f>IF('Results-ConceptMap-1'!S125=0,"//---END",'Results-ConceptMap-1'!S125)</f>
        <v>//---END</v>
      </c>
    </row>
    <row r="313" spans="2:2" x14ac:dyDescent="0.75">
      <c r="B313" s="14" t="str">
        <f>IF('Results-ConceptMap-1'!S126=0,"//---END",'Results-ConceptMap-1'!S126)</f>
        <v>//---END</v>
      </c>
    </row>
    <row r="316" spans="2:2" x14ac:dyDescent="0.75">
      <c r="B316" s="77"/>
    </row>
    <row r="317" spans="2:2" x14ac:dyDescent="0.75">
      <c r="B317" s="79" t="str">
        <f>"* group[+].source = ##34#"&amp;'Results-ConceptMap-2'!E6&amp;"##34#"</f>
        <v>* group[+].source = ##34#http://hl7.eu/fhir/laboratory/StructureDefinition/Result##34#</v>
      </c>
    </row>
    <row r="318" spans="2:2" x14ac:dyDescent="0.75">
      <c r="B318" s="79" t="str">
        <f>"* group[=].target = ##34#"&amp;'Results-ConceptMap-2'!E7&amp;"##34#"</f>
        <v>* group[=].target = ##34#http://hl7.eu/fhir/laboratory/StructureDefinition/Composition-eu-lab##34#</v>
      </c>
    </row>
    <row r="319" spans="2:2" x14ac:dyDescent="0.75">
      <c r="B319" s="81"/>
    </row>
    <row r="320" spans="2:2" x14ac:dyDescent="0.75">
      <c r="B320" s="14" t="str">
        <f>IF('Results-ConceptMap-2'!S15=0,"//---END",'Results-ConceptMap-2'!S15)</f>
        <v>* group[=].element[+].code = #Result.narrative</v>
      </c>
    </row>
    <row r="321" spans="2:2" x14ac:dyDescent="0.75">
      <c r="B321" s="14" t="str">
        <f>IF('Results-ConceptMap-2'!S16=0,"//---END",'Results-ConceptMap-2'!S16)</f>
        <v>* group[=].element[=].display = ##34#A.5.1 Laboratory report narrative##34#</v>
      </c>
    </row>
    <row r="322" spans="2:2" x14ac:dyDescent="0.75">
      <c r="B322" s="14" t="str">
        <f>IF('Results-ConceptMap-2'!S17=0,"//---END",'Results-ConceptMap-2'!S17)</f>
        <v>* group[=].element[=].target.code = #Composition</v>
      </c>
    </row>
    <row r="323" spans="2:2" x14ac:dyDescent="0.75">
      <c r="B323" s="14" t="str">
        <f>IF('Results-ConceptMap-2'!S18=0,"//---END",'Results-ConceptMap-2'!S18)</f>
        <v>* group[=].element[=].target.display = ##34###34#</v>
      </c>
    </row>
    <row r="324" spans="2:2" x14ac:dyDescent="0.75">
      <c r="B324" s="14" t="str">
        <f>IF('Results-ConceptMap-2'!S19=0,"//---END",'Results-ConceptMap-2'!S19)</f>
        <v>* group[=].element[=].target.equivalence = #relatedto</v>
      </c>
    </row>
    <row r="325" spans="2:2" x14ac:dyDescent="0.75">
      <c r="B325" s="14" t="str">
        <f>IF('Results-ConceptMap-2'!S20=0,"//---END",'Results-ConceptMap-2'!S20)</f>
        <v/>
      </c>
    </row>
    <row r="326" spans="2:2" x14ac:dyDescent="0.75">
      <c r="B326" s="14" t="str">
        <f>IF('Results-ConceptMap-2'!S21=0,"//---END",'Results-ConceptMap-2'!S21)</f>
        <v>* group[=].element[+].code = #Result.narrative.report</v>
      </c>
    </row>
    <row r="327" spans="2:2" x14ac:dyDescent="0.75">
      <c r="B327" s="14" t="str">
        <f>IF('Results-ConceptMap-2'!S22=0,"//---END",'Results-ConceptMap-2'!S22)</f>
        <v>* group[=].element[=].display = ##34#A.5.1.1 Narrative report##34#</v>
      </c>
    </row>
    <row r="328" spans="2:2" x14ac:dyDescent="0.75">
      <c r="B328" s="14" t="str">
        <f>IF('Results-ConceptMap-2'!S23=0,"//---END",'Results-ConceptMap-2'!S23)</f>
        <v>* group[=].element[=].target.code = #Composition.text</v>
      </c>
    </row>
    <row r="329" spans="2:2" x14ac:dyDescent="0.75">
      <c r="B329" s="14" t="str">
        <f>IF('Results-ConceptMap-2'!S24=0,"//---END",'Results-ConceptMap-2'!S24)</f>
        <v>* group[=].element[=].target.display = ##34###34#</v>
      </c>
    </row>
    <row r="330" spans="2:2" x14ac:dyDescent="0.75">
      <c r="B330" s="14" t="str">
        <f>IF('Results-ConceptMap-2'!S25=0,"//---END",'Results-ConceptMap-2'!S25)</f>
        <v>* group[=].element[=].target.equivalence = #relatedto</v>
      </c>
    </row>
    <row r="331" spans="2:2" x14ac:dyDescent="0.75">
      <c r="B331" s="14" t="str">
        <f>IF('Results-ConceptMap-2'!S26=0,"//---END",'Results-ConceptMap-2'!S26)</f>
        <v/>
      </c>
    </row>
    <row r="332" spans="2:2" x14ac:dyDescent="0.75">
      <c r="B332" s="14" t="str">
        <f>IF('Results-ConceptMap-2'!S27=0,"//---END",'Results-ConceptMap-2'!S27)</f>
        <v>* group[=].element[+].code = #Result.narrative.report</v>
      </c>
    </row>
    <row r="333" spans="2:2" x14ac:dyDescent="0.75">
      <c r="B333" s="14" t="str">
        <f>IF('Results-ConceptMap-2'!S28=0,"//---END",'Results-ConceptMap-2'!S28)</f>
        <v>* group[=].element[=].display = ##34#A.5.1.1 Narrative report##34#</v>
      </c>
    </row>
    <row r="334" spans="2:2" x14ac:dyDescent="0.75">
      <c r="B334" s="14" t="str">
        <f>IF('Results-ConceptMap-2'!S29=0,"//---END",'Results-ConceptMap-2'!S29)</f>
        <v>* group[=].element[=].target.code = #Composition.section:lab-no-subsections.text</v>
      </c>
    </row>
    <row r="335" spans="2:2" x14ac:dyDescent="0.75">
      <c r="B335" s="14" t="str">
        <f>IF('Results-ConceptMap-2'!S30=0,"//---END",'Results-ConceptMap-2'!S30)</f>
        <v>* group[=].element[=].target.display = ##34###34#</v>
      </c>
    </row>
    <row r="336" spans="2:2" x14ac:dyDescent="0.75">
      <c r="B336" s="14" t="str">
        <f>IF('Results-ConceptMap-2'!S31=0,"//---END",'Results-ConceptMap-2'!S31)</f>
        <v>* group[=].element[=].target.equivalence = #relatedto</v>
      </c>
    </row>
    <row r="337" spans="2:2" x14ac:dyDescent="0.75">
      <c r="B337" s="14" t="str">
        <f>IF('Results-ConceptMap-2'!S32=0,"//---END",'Results-ConceptMap-2'!S32)</f>
        <v>* group[=].element[=].target.comment = ##34#if single section##34#</v>
      </c>
    </row>
    <row r="338" spans="2:2" x14ac:dyDescent="0.75">
      <c r="B338" s="14" t="str">
        <f>IF('Results-ConceptMap-2'!S33=0,"//---END",'Results-ConceptMap-2'!S33)</f>
        <v>* group[=].element[+].code = #Result.narrative.report</v>
      </c>
    </row>
    <row r="339" spans="2:2" x14ac:dyDescent="0.75">
      <c r="B339" s="14" t="str">
        <f>IF('Results-ConceptMap-2'!S34=0,"//---END",'Results-ConceptMap-2'!S34)</f>
        <v>* group[=].element[=].display = ##34#A.5.1.1 Narrative report##34#</v>
      </c>
    </row>
    <row r="340" spans="2:2" x14ac:dyDescent="0.75">
      <c r="B340" s="14" t="str">
        <f>IF('Results-ConceptMap-2'!S35=0,"//---END",'Results-ConceptMap-2'!S35)</f>
        <v>* group[=].element[=].target.code = #Composition.section:lab-subsections.section.text</v>
      </c>
    </row>
    <row r="341" spans="2:2" x14ac:dyDescent="0.75">
      <c r="B341" s="14" t="str">
        <f>IF('Results-ConceptMap-2'!S36=0,"//---END",'Results-ConceptMap-2'!S36)</f>
        <v>* group[=].element[=].target.display = ##34###34#</v>
      </c>
    </row>
    <row r="342" spans="2:2" x14ac:dyDescent="0.75">
      <c r="B342" s="14" t="str">
        <f>IF('Results-ConceptMap-2'!S37=0,"//---END",'Results-ConceptMap-2'!S37)</f>
        <v>* group[=].element[=].target.equivalence = #relatedto</v>
      </c>
    </row>
    <row r="343" spans="2:2" x14ac:dyDescent="0.75">
      <c r="B343" s="14" t="str">
        <f>IF('Results-ConceptMap-2'!S38=0,"//---END",'Results-ConceptMap-2'!S38)</f>
        <v>* group[=].element[=].target.comment = ##34#if multiple sections##34#</v>
      </c>
    </row>
    <row r="344" spans="2:2" x14ac:dyDescent="0.75">
      <c r="B344" s="14" t="str">
        <f>IF('Results-ConceptMap-2'!S39=0,"//---END",'Results-ConceptMap-2'!S39)</f>
        <v>* group[=].element[+].code = #Result.narrative.notes</v>
      </c>
    </row>
    <row r="345" spans="2:2" x14ac:dyDescent="0.75">
      <c r="B345" s="14" t="str">
        <f>IF('Results-ConceptMap-2'!S40=0,"//---END",'Results-ConceptMap-2'!S40)</f>
        <v>* group[=].element[=].display = ##34#A.5.1.2 Comments, interpretation and recommendations##34#</v>
      </c>
    </row>
    <row r="346" spans="2:2" x14ac:dyDescent="0.75">
      <c r="B346" s="14" t="str">
        <f>IF('Results-ConceptMap-2'!S41=0,"//---END",'Results-ConceptMap-2'!S41)</f>
        <v>* group[=].element[=].target.code = #Composition.section:lab-no-subsections.text</v>
      </c>
    </row>
    <row r="347" spans="2:2" x14ac:dyDescent="0.75">
      <c r="B347" s="14" t="str">
        <f>IF('Results-ConceptMap-2'!S42=0,"//---END",'Results-ConceptMap-2'!S42)</f>
        <v>* group[=].element[=].target.display = ##34###34#</v>
      </c>
    </row>
    <row r="348" spans="2:2" x14ac:dyDescent="0.75">
      <c r="B348" s="14" t="str">
        <f>IF('Results-ConceptMap-2'!S43=0,"//---END",'Results-ConceptMap-2'!S43)</f>
        <v>* group[=].element[=].target.equivalence = #relatedto</v>
      </c>
    </row>
    <row r="349" spans="2:2" x14ac:dyDescent="0.75">
      <c r="B349" s="14" t="str">
        <f>IF('Results-ConceptMap-2'!S44=0,"//---END",'Results-ConceptMap-2'!S44)</f>
        <v>* group[=].element[=].target.comment = ##34#if single section##34#</v>
      </c>
    </row>
    <row r="350" spans="2:2" x14ac:dyDescent="0.75">
      <c r="B350" s="14" t="str">
        <f>IF('Results-ConceptMap-2'!S45=0,"//---END",'Results-ConceptMap-2'!S45)</f>
        <v>* group[=].element[+].code = #Result.narrative.notes</v>
      </c>
    </row>
    <row r="351" spans="2:2" x14ac:dyDescent="0.75">
      <c r="B351" s="14" t="str">
        <f>IF('Results-ConceptMap-2'!S46=0,"//---END",'Results-ConceptMap-2'!S46)</f>
        <v>* group[=].element[=].display = ##34#A.5.1.2 Comments, interpretation and recommendations##34#</v>
      </c>
    </row>
    <row r="352" spans="2:2" x14ac:dyDescent="0.75">
      <c r="B352" s="14" t="str">
        <f>IF('Results-ConceptMap-2'!S47=0,"//---END",'Results-ConceptMap-2'!S47)</f>
        <v>* group[=].element[=].target.code = #Composition.section:lab-subsections.section.text</v>
      </c>
    </row>
    <row r="353" spans="2:2" x14ac:dyDescent="0.75">
      <c r="B353" s="14" t="str">
        <f>IF('Results-ConceptMap-2'!S48=0,"//---END",'Results-ConceptMap-2'!S48)</f>
        <v>* group[=].element[=].target.display = ##34###34#</v>
      </c>
    </row>
    <row r="354" spans="2:2" x14ac:dyDescent="0.75">
      <c r="B354" s="14" t="str">
        <f>IF('Results-ConceptMap-2'!S49=0,"//---END",'Results-ConceptMap-2'!S49)</f>
        <v>* group[=].element[=].target.equivalence = #relatedto</v>
      </c>
    </row>
    <row r="355" spans="2:2" x14ac:dyDescent="0.75">
      <c r="B355" s="14" t="str">
        <f>IF('Results-ConceptMap-2'!S50=0,"//---END",'Results-ConceptMap-2'!S50)</f>
        <v>* group[=].element[=].target.comment = ##34#if multiple sections##34#</v>
      </c>
    </row>
    <row r="356" spans="2:2" x14ac:dyDescent="0.75">
      <c r="B356" s="14" t="str">
        <f>IF('Results-ConceptMap-2'!S51=0,"//---END",'Results-ConceptMap-2'!S51)</f>
        <v>* group[=].element[+].code = #Result.observation</v>
      </c>
    </row>
    <row r="357" spans="2:2" x14ac:dyDescent="0.75">
      <c r="B357" s="14" t="str">
        <f>IF('Results-ConceptMap-2'!S52=0,"//---END",'Results-ConceptMap-2'!S52)</f>
        <v>* group[=].element[=].display = ##34#A.5.2 Observation details##34#</v>
      </c>
    </row>
    <row r="358" spans="2:2" x14ac:dyDescent="0.75">
      <c r="B358" s="14" t="str">
        <f>IF('Results-ConceptMap-2'!S53=0,"//---END",'Results-ConceptMap-2'!S53)</f>
        <v>* group[=].element[=].target.code = #Composition.section:lab-no-subsections.entry</v>
      </c>
    </row>
    <row r="359" spans="2:2" x14ac:dyDescent="0.75">
      <c r="B359" s="14" t="str">
        <f>IF('Results-ConceptMap-2'!S54=0,"//---END",'Results-ConceptMap-2'!S54)</f>
        <v>* group[=].element[=].target.display = ##34###34#</v>
      </c>
    </row>
    <row r="360" spans="2:2" x14ac:dyDescent="0.75">
      <c r="B360" s="14" t="str">
        <f>IF('Results-ConceptMap-2'!S55=0,"//---END",'Results-ConceptMap-2'!S55)</f>
        <v>* group[=].element[=].target.equivalence = #relatedto</v>
      </c>
    </row>
    <row r="361" spans="2:2" x14ac:dyDescent="0.75">
      <c r="B361" s="14" t="str">
        <f>IF('Results-ConceptMap-2'!S56=0,"//---END",'Results-ConceptMap-2'!S56)</f>
        <v>* group[=].element[=].target.comment = ##34#if single section##34#</v>
      </c>
    </row>
    <row r="362" spans="2:2" x14ac:dyDescent="0.75">
      <c r="B362" s="14" t="str">
        <f>IF('Results-ConceptMap-2'!S57=0,"//---END",'Results-ConceptMap-2'!S57)</f>
        <v>* group[=].element[+].code = #Result.observation</v>
      </c>
    </row>
    <row r="363" spans="2:2" x14ac:dyDescent="0.75">
      <c r="B363" s="14" t="str">
        <f>IF('Results-ConceptMap-2'!S58=0,"//---END",'Results-ConceptMap-2'!S58)</f>
        <v>* group[=].element[=].display = ##34#A.5.2 Observation details##34#</v>
      </c>
    </row>
    <row r="364" spans="2:2" x14ac:dyDescent="0.75">
      <c r="B364" s="14" t="str">
        <f>IF('Results-ConceptMap-2'!S59=0,"//---END",'Results-ConceptMap-2'!S59)</f>
        <v>* group[=].element[=].target.code = #Composition.section:lab-subsections.section.entry</v>
      </c>
    </row>
    <row r="365" spans="2:2" x14ac:dyDescent="0.75">
      <c r="B365" s="14" t="str">
        <f>IF('Results-ConceptMap-2'!S60=0,"//---END",'Results-ConceptMap-2'!S60)</f>
        <v>* group[=].element[=].target.display = ##34###34#</v>
      </c>
    </row>
    <row r="366" spans="2:2" x14ac:dyDescent="0.75">
      <c r="B366" s="14" t="str">
        <f>IF('Results-ConceptMap-2'!S61=0,"//---END",'Results-ConceptMap-2'!S61)</f>
        <v>* group[=].element[=].target.equivalence = #relatedto</v>
      </c>
    </row>
    <row r="367" spans="2:2" x14ac:dyDescent="0.75">
      <c r="B367" s="14" t="str">
        <f>IF('Results-ConceptMap-2'!S62=0,"//---END",'Results-ConceptMap-2'!S62)</f>
        <v>* group[=].element[=].target.comment = ##34#if multiple sections##34#</v>
      </c>
    </row>
    <row r="368" spans="2:2" x14ac:dyDescent="0.75">
      <c r="B368" s="14" t="str">
        <f>IF('Results-ConceptMap-2'!S63=0,"//---END",'Results-ConceptMap-2'!S63)</f>
        <v>* group[=].element[+].code = #Result.observation.dateTime</v>
      </c>
    </row>
    <row r="369" spans="2:2" x14ac:dyDescent="0.75">
      <c r="B369" s="14" t="str">
        <f>IF('Results-ConceptMap-2'!S64=0,"//---END",'Results-ConceptMap-2'!S64)</f>
        <v>* group[=].element[=].display = ##34#A.5.2.1 Observation date##34#</v>
      </c>
    </row>
    <row r="370" spans="2:2" x14ac:dyDescent="0.75">
      <c r="B370" s="14" t="str">
        <f>IF('Results-ConceptMap-2'!S65=0,"//---END",'Results-ConceptMap-2'!S65)</f>
        <v>* group[=].element[=].target.code = #Composition.section:lab-no-subsections.entry</v>
      </c>
    </row>
    <row r="371" spans="2:2" x14ac:dyDescent="0.75">
      <c r="B371" s="14" t="str">
        <f>IF('Results-ConceptMap-2'!S66=0,"//---END",'Results-ConceptMap-2'!S66)</f>
        <v>* group[=].element[=].target.display = ##34###34#</v>
      </c>
    </row>
    <row r="372" spans="2:2" x14ac:dyDescent="0.75">
      <c r="B372" s="14" t="str">
        <f>IF('Results-ConceptMap-2'!S67=0,"//---END",'Results-ConceptMap-2'!S67)</f>
        <v>* group[=].element[=].target.equivalence = #relatedto</v>
      </c>
    </row>
    <row r="373" spans="2:2" x14ac:dyDescent="0.75">
      <c r="B373" s="14" t="str">
        <f>IF('Results-ConceptMap-2'!S68=0,"//---END",'Results-ConceptMap-2'!S68)</f>
        <v>* group[=].element[=].target.comment = ##34#see details in the Observation group##34#</v>
      </c>
    </row>
    <row r="374" spans="2:2" x14ac:dyDescent="0.75">
      <c r="B374" s="14" t="str">
        <f>IF('Results-ConceptMap-2'!S69=0,"//---END",'Results-ConceptMap-2'!S69)</f>
        <v>* group[=].element[+].code = #Result.observation.code</v>
      </c>
    </row>
    <row r="375" spans="2:2" x14ac:dyDescent="0.75">
      <c r="B375" s="14" t="str">
        <f>IF('Results-ConceptMap-2'!S70=0,"//---END",'Results-ConceptMap-2'!S70)</f>
        <v>* group[=].element[=].display = ##34#A.5.2.3 Observation code##34#</v>
      </c>
    </row>
    <row r="376" spans="2:2" x14ac:dyDescent="0.75">
      <c r="B376" s="14" t="str">
        <f>IF('Results-ConceptMap-2'!S71=0,"//---END",'Results-ConceptMap-2'!S71)</f>
        <v>* group[=].element[=].target.code = #Composition.section:lab-no-subsections.entry</v>
      </c>
    </row>
    <row r="377" spans="2:2" x14ac:dyDescent="0.75">
      <c r="B377" s="14" t="str">
        <f>IF('Results-ConceptMap-2'!S72=0,"//---END",'Results-ConceptMap-2'!S72)</f>
        <v>* group[=].element[=].target.display = ##34###34#</v>
      </c>
    </row>
    <row r="378" spans="2:2" x14ac:dyDescent="0.75">
      <c r="B378" s="14" t="str">
        <f>IF('Results-ConceptMap-2'!S73=0,"//---END",'Results-ConceptMap-2'!S73)</f>
        <v>* group[=].element[=].target.equivalence = #relatedto</v>
      </c>
    </row>
    <row r="379" spans="2:2" x14ac:dyDescent="0.75">
      <c r="B379" s="14" t="str">
        <f>IF('Results-ConceptMap-2'!S74=0,"//---END",'Results-ConceptMap-2'!S74)</f>
        <v>* group[=].element[=].target.comment = ##34#see details in the Observation group##34#</v>
      </c>
    </row>
    <row r="380" spans="2:2" x14ac:dyDescent="0.75">
      <c r="B380" s="14" t="str">
        <f>IF('Results-ConceptMap-2'!S75=0,"//---END",'Results-ConceptMap-2'!S75)</f>
        <v>* group[=].element[+].code = #Result.observation.code.name</v>
      </c>
    </row>
    <row r="381" spans="2:2" x14ac:dyDescent="0.75">
      <c r="B381" s="14" t="str">
        <f>IF('Results-ConceptMap-2'!S76=0,"//---END",'Results-ConceptMap-2'!S76)</f>
        <v>* group[=].element[=].display = ##34#A.5.2.3.1 Observation name##34#</v>
      </c>
    </row>
    <row r="382" spans="2:2" x14ac:dyDescent="0.75">
      <c r="B382" s="14" t="str">
        <f>IF('Results-ConceptMap-2'!S77=0,"//---END",'Results-ConceptMap-2'!S77)</f>
        <v>* group[=].element[=].target.code = #Composition.section:lab-no-subsections.entry</v>
      </c>
    </row>
    <row r="383" spans="2:2" x14ac:dyDescent="0.75">
      <c r="B383" s="14" t="str">
        <f>IF('Results-ConceptMap-2'!S78=0,"//---END",'Results-ConceptMap-2'!S78)</f>
        <v>* group[=].element[=].target.display = ##34###34#</v>
      </c>
    </row>
    <row r="384" spans="2:2" x14ac:dyDescent="0.75">
      <c r="B384" s="14" t="str">
        <f>IF('Results-ConceptMap-2'!S79=0,"//---END",'Results-ConceptMap-2'!S79)</f>
        <v>* group[=].element[=].target.equivalence = #relatedto</v>
      </c>
    </row>
    <row r="385" spans="2:2" x14ac:dyDescent="0.75">
      <c r="B385" s="14" t="str">
        <f>IF('Results-ConceptMap-2'!S80=0,"//---END",'Results-ConceptMap-2'!S80)</f>
        <v>* group[=].element[=].target.comment = ##34#see details in the Observation group##34#</v>
      </c>
    </row>
    <row r="386" spans="2:2" x14ac:dyDescent="0.75">
      <c r="B386" s="14" t="str">
        <f>IF('Results-ConceptMap-2'!S81=0,"//---END",'Results-ConceptMap-2'!S81)</f>
        <v>* group[=].element[+].code = #Result.observation.code.originalName</v>
      </c>
    </row>
    <row r="387" spans="2:2" x14ac:dyDescent="0.75">
      <c r="B387" s="14" t="str">
        <f>IF('Results-ConceptMap-2'!S82=0,"//---END",'Results-ConceptMap-2'!S82)</f>
        <v>* group[=].element[=].display = ##34#A.5.2.3.2 Observation original name##34#</v>
      </c>
    </row>
    <row r="388" spans="2:2" x14ac:dyDescent="0.75">
      <c r="B388" s="14" t="str">
        <f>IF('Results-ConceptMap-2'!S83=0,"//---END",'Results-ConceptMap-2'!S83)</f>
        <v>* group[=].element[=].target.code = #Composition.section:lab-no-subsections.entry</v>
      </c>
    </row>
    <row r="389" spans="2:2" x14ac:dyDescent="0.75">
      <c r="B389" s="14" t="str">
        <f>IF('Results-ConceptMap-2'!S84=0,"//---END",'Results-ConceptMap-2'!S84)</f>
        <v>* group[=].element[=].target.display = ##34###34#</v>
      </c>
    </row>
    <row r="390" spans="2:2" x14ac:dyDescent="0.75">
      <c r="B390" s="14" t="str">
        <f>IF('Results-ConceptMap-2'!S85=0,"//---END",'Results-ConceptMap-2'!S85)</f>
        <v>* group[=].element[=].target.equivalence = #relatedto</v>
      </c>
    </row>
    <row r="391" spans="2:2" x14ac:dyDescent="0.75">
      <c r="B391" s="14" t="str">
        <f>IF('Results-ConceptMap-2'!S86=0,"//---END",'Results-ConceptMap-2'!S86)</f>
        <v>* group[=].element[=].target.comment = ##34#see details in the Observation group##34#</v>
      </c>
    </row>
    <row r="392" spans="2:2" x14ac:dyDescent="0.75">
      <c r="B392" s="14" t="str">
        <f>IF('Results-ConceptMap-2'!S87=0,"//---END",'Results-ConceptMap-2'!S87)</f>
        <v>* group[=].element[+].code = #Result.observation.code.displayName</v>
      </c>
    </row>
    <row r="393" spans="2:2" x14ac:dyDescent="0.75">
      <c r="B393" s="14" t="str">
        <f>IF('Results-ConceptMap-2'!S88=0,"//---END",'Results-ConceptMap-2'!S88)</f>
        <v>* group[=].element[=].display = ##34#A.5.2.3.3 Observation display name##34#</v>
      </c>
    </row>
    <row r="394" spans="2:2" x14ac:dyDescent="0.75">
      <c r="B394" s="14" t="str">
        <f>IF('Results-ConceptMap-2'!S89=0,"//---END",'Results-ConceptMap-2'!S89)</f>
        <v>* group[=].element[=].target.code = #Composition.section:lab-no-subsections.entry</v>
      </c>
    </row>
    <row r="395" spans="2:2" x14ac:dyDescent="0.75">
      <c r="B395" s="14" t="str">
        <f>IF('Results-ConceptMap-2'!S90=0,"//---END",'Results-ConceptMap-2'!S90)</f>
        <v>* group[=].element[=].target.display = ##34###34#</v>
      </c>
    </row>
    <row r="396" spans="2:2" x14ac:dyDescent="0.75">
      <c r="B396" s="14" t="str">
        <f>IF('Results-ConceptMap-2'!S91=0,"//---END",'Results-ConceptMap-2'!S91)</f>
        <v>* group[=].element[=].target.equivalence = #relatedto</v>
      </c>
    </row>
    <row r="397" spans="2:2" x14ac:dyDescent="0.75">
      <c r="B397" s="14" t="str">
        <f>IF('Results-ConceptMap-2'!S92=0,"//---END",'Results-ConceptMap-2'!S92)</f>
        <v>* group[=].element[=].target.comment = ##34#see details in the Observation group##34#</v>
      </c>
    </row>
    <row r="398" spans="2:2" x14ac:dyDescent="0.75">
      <c r="B398" s="14" t="str">
        <f>IF('Results-ConceptMap-2'!S93=0,"//---END",'Results-ConceptMap-2'!S93)</f>
        <v>* group[=].element[+].code = #Result.observation.method</v>
      </c>
    </row>
    <row r="399" spans="2:2" x14ac:dyDescent="0.75">
      <c r="B399" s="14" t="str">
        <f>IF('Results-ConceptMap-2'!S94=0,"//---END",'Results-ConceptMap-2'!S94)</f>
        <v>* group[=].element[=].display = ##34#A.5.2.4 Observation method##34#</v>
      </c>
    </row>
    <row r="400" spans="2:2" x14ac:dyDescent="0.75">
      <c r="B400" s="14" t="str">
        <f>IF('Results-ConceptMap-2'!S95=0,"//---END",'Results-ConceptMap-2'!S95)</f>
        <v>* group[=].element[=].target.code = #Composition.section:lab-no-subsections.entry</v>
      </c>
    </row>
    <row r="401" spans="2:2" x14ac:dyDescent="0.75">
      <c r="B401" s="14" t="str">
        <f>IF('Results-ConceptMap-2'!S96=0,"//---END",'Results-ConceptMap-2'!S96)</f>
        <v>* group[=].element[=].target.display = ##34###34#</v>
      </c>
    </row>
    <row r="402" spans="2:2" x14ac:dyDescent="0.75">
      <c r="B402" s="14" t="str">
        <f>IF('Results-ConceptMap-2'!S97=0,"//---END",'Results-ConceptMap-2'!S97)</f>
        <v>* group[=].element[=].target.equivalence = #relatedto</v>
      </c>
    </row>
    <row r="403" spans="2:2" x14ac:dyDescent="0.75">
      <c r="B403" s="14" t="str">
        <f>IF('Results-ConceptMap-2'!S98=0,"//---END",'Results-ConceptMap-2'!S98)</f>
        <v>* group[=].element[=].target.comment = ##34#see details in the Observation group##34#</v>
      </c>
    </row>
    <row r="404" spans="2:2" x14ac:dyDescent="0.75">
      <c r="B404" s="14" t="str">
        <f>IF('Results-ConceptMap-2'!S99=0,"//---END",'Results-ConceptMap-2'!S99)</f>
        <v>* group[=].element[+].code = #Result.observation.device</v>
      </c>
    </row>
    <row r="405" spans="2:2" x14ac:dyDescent="0.75">
      <c r="B405" s="14" t="str">
        <f>IF('Results-ConceptMap-2'!S100=0,"//---END",'Results-ConceptMap-2'!S100)</f>
        <v>* group[=].element[=].display = ##34#A.5.2.5 Observation device##34#</v>
      </c>
    </row>
    <row r="406" spans="2:2" x14ac:dyDescent="0.75">
      <c r="B406" s="14" t="str">
        <f>IF('Results-ConceptMap-2'!S101=0,"//---END",'Results-ConceptMap-2'!S101)</f>
        <v>* group[=].element[=].target.code = #Composition.section:lab-no-subsections.entry</v>
      </c>
    </row>
    <row r="407" spans="2:2" x14ac:dyDescent="0.75">
      <c r="B407" s="14" t="str">
        <f>IF('Results-ConceptMap-2'!S102=0,"//---END",'Results-ConceptMap-2'!S102)</f>
        <v>* group[=].element[=].target.display = ##34###34#</v>
      </c>
    </row>
    <row r="408" spans="2:2" x14ac:dyDescent="0.75">
      <c r="B408" s="14" t="str">
        <f>IF('Results-ConceptMap-2'!S103=0,"//---END",'Results-ConceptMap-2'!S103)</f>
        <v>* group[=].element[=].target.equivalence = #relatedto</v>
      </c>
    </row>
    <row r="409" spans="2:2" x14ac:dyDescent="0.75">
      <c r="B409" s="14" t="str">
        <f>IF('Results-ConceptMap-2'!S104=0,"//---END",'Results-ConceptMap-2'!S104)</f>
        <v>* group[=].element[=].target.comment = ##34#see details in the Observation group##34#</v>
      </c>
    </row>
    <row r="410" spans="2:2" x14ac:dyDescent="0.75">
      <c r="B410" s="14" t="str">
        <f>IF('Results-ConceptMap-2'!S105=0,"//---END",'Results-ConceptMap-2'!S105)</f>
        <v>* group[=].element[+].code = #Result.observation.order</v>
      </c>
    </row>
    <row r="411" spans="2:2" x14ac:dyDescent="0.75">
      <c r="B411" s="14" t="str">
        <f>IF('Results-ConceptMap-2'!S106=0,"//---END",'Results-ConceptMap-2'!S106)</f>
        <v>* group[=].element[=].display = ##34#A.5.2.8 Order##34#</v>
      </c>
    </row>
    <row r="412" spans="2:2" x14ac:dyDescent="0.75">
      <c r="B412" s="14" t="str">
        <f>IF('Results-ConceptMap-2'!S107=0,"//---END",'Results-ConceptMap-2'!S107)</f>
        <v>* group[=].element[=].target.code = #Composition.section:lab-no-subsections.entry</v>
      </c>
    </row>
    <row r="413" spans="2:2" x14ac:dyDescent="0.75">
      <c r="B413" s="14" t="str">
        <f>IF('Results-ConceptMap-2'!S108=0,"//---END",'Results-ConceptMap-2'!S108)</f>
        <v>* group[=].element[=].target.display = ##34###34#</v>
      </c>
    </row>
    <row r="414" spans="2:2" x14ac:dyDescent="0.75">
      <c r="B414" s="14" t="str">
        <f>IF('Results-ConceptMap-2'!S109=0,"//---END",'Results-ConceptMap-2'!S109)</f>
        <v>* group[=].element[=].target.equivalence = #relatedto</v>
      </c>
    </row>
    <row r="415" spans="2:2" x14ac:dyDescent="0.75">
      <c r="B415" s="14" t="str">
        <f>IF('Results-ConceptMap-2'!S110=0,"//---END",'Results-ConceptMap-2'!S110)</f>
        <v>* group[=].element[=].target.comment = ##34#see details in the Observation group##34#</v>
      </c>
    </row>
    <row r="416" spans="2:2" x14ac:dyDescent="0.75">
      <c r="B416" s="14" t="str">
        <f>IF('Results-ConceptMap-2'!S111=0,"//---END",'Results-ConceptMap-2'!S111)</f>
        <v>* group[=].element[+].code = #Result.observation.performer</v>
      </c>
    </row>
    <row r="417" spans="2:2" x14ac:dyDescent="0.75">
      <c r="B417" s="14" t="str">
        <f>IF('Results-ConceptMap-2'!S112=0,"//---END",'Results-ConceptMap-2'!S112)</f>
        <v>* group[=].element[=].display = ##34#A.5.2.9 Performer##34#</v>
      </c>
    </row>
    <row r="418" spans="2:2" x14ac:dyDescent="0.75">
      <c r="B418" s="14" t="str">
        <f>IF('Results-ConceptMap-2'!S113=0,"//---END",'Results-ConceptMap-2'!S113)</f>
        <v>* group[=].element[=].target.code = #Composition.section:lab-no-subsections.entry</v>
      </c>
    </row>
    <row r="419" spans="2:2" x14ac:dyDescent="0.75">
      <c r="B419" s="14" t="str">
        <f>IF('Results-ConceptMap-2'!S114=0,"//---END",'Results-ConceptMap-2'!S114)</f>
        <v>* group[=].element[=].target.display = ##34###34#</v>
      </c>
    </row>
    <row r="420" spans="2:2" x14ac:dyDescent="0.75">
      <c r="B420" s="14" t="str">
        <f>IF('Results-ConceptMap-2'!S115=0,"//---END",'Results-ConceptMap-2'!S115)</f>
        <v>* group[=].element[=].target.equivalence = #relatedto</v>
      </c>
    </row>
    <row r="421" spans="2:2" x14ac:dyDescent="0.75">
      <c r="B421" s="14" t="str">
        <f>IF('Results-ConceptMap-2'!S116=0,"//---END",'Results-ConceptMap-2'!S116)</f>
        <v>* group[=].element[=].target.comment = ##34#see details in the Observation group##34#</v>
      </c>
    </row>
    <row r="422" spans="2:2" x14ac:dyDescent="0.75">
      <c r="B422" s="14" t="str">
        <f>IF('Results-ConceptMap-2'!S117=0,"//---END",'Results-ConceptMap-2'!S117)</f>
        <v>* group[=].element[+].code = #Result.observation.reporter</v>
      </c>
    </row>
    <row r="423" spans="2:2" x14ac:dyDescent="0.75">
      <c r="B423" s="14" t="str">
        <f>IF('Results-ConceptMap-2'!S118=0,"//---END",'Results-ConceptMap-2'!S118)</f>
        <v>* group[=].element[=].display = ##34#A.5.2.10 Reporter##34#</v>
      </c>
    </row>
    <row r="424" spans="2:2" x14ac:dyDescent="0.75">
      <c r="B424" s="14" t="str">
        <f>IF('Results-ConceptMap-2'!S119=0,"//---END",'Results-ConceptMap-2'!S119)</f>
        <v>* group[=].element[=].target.code = #Composition.section:lab-no-subsections.entry</v>
      </c>
    </row>
    <row r="425" spans="2:2" x14ac:dyDescent="0.75">
      <c r="B425" s="14" t="str">
        <f>IF('Results-ConceptMap-2'!S120=0,"//---END",'Results-ConceptMap-2'!S120)</f>
        <v>* group[=].element[=].target.display = ##34###34#</v>
      </c>
    </row>
    <row r="426" spans="2:2" x14ac:dyDescent="0.75">
      <c r="B426" s="14" t="str">
        <f>IF('Results-ConceptMap-2'!S121=0,"//---END",'Results-ConceptMap-2'!S121)</f>
        <v>* group[=].element[=].target.equivalence = #relatedto</v>
      </c>
    </row>
    <row r="427" spans="2:2" x14ac:dyDescent="0.75">
      <c r="B427" s="14" t="str">
        <f>IF('Results-ConceptMap-2'!S122=0,"//---END",'Results-ConceptMap-2'!S122)</f>
        <v>* group[=].element[=].target.comment = ##34#see details in the Observation group##34#</v>
      </c>
    </row>
    <row r="428" spans="2:2" x14ac:dyDescent="0.75">
      <c r="B428" s="14" t="str">
        <f>IF('Results-ConceptMap-2'!S123=0,"//---END",'Results-ConceptMap-2'!S123)</f>
        <v>* group[=].element[+].code = #Result.observation.result</v>
      </c>
    </row>
    <row r="429" spans="2:2" x14ac:dyDescent="0.75">
      <c r="B429" s="14" t="str">
        <f>IF('Results-ConceptMap-2'!S124=0,"//---END",'Results-ConceptMap-2'!S124)</f>
        <v>* group[=].element[=].display = ##34#A.5.2.11 Observation result##34#</v>
      </c>
    </row>
    <row r="430" spans="2:2" x14ac:dyDescent="0.75">
      <c r="B430" s="14" t="str">
        <f>IF('Results-ConceptMap-2'!S125=0,"//---END",'Results-ConceptMap-2'!S125)</f>
        <v>* group[=].element[=].target.code = #Composition.section:lab-no-subsections.entry</v>
      </c>
    </row>
    <row r="431" spans="2:2" x14ac:dyDescent="0.75">
      <c r="B431" s="14" t="str">
        <f>IF('Results-ConceptMap-2'!S126=0,"//---END",'Results-ConceptMap-2'!S126)</f>
        <v>* group[=].element[=].target.display = ##34###34#</v>
      </c>
    </row>
    <row r="432" spans="2:2" x14ac:dyDescent="0.75">
      <c r="B432" s="14" t="str">
        <f>IF('Results-ConceptMap-2'!S127=0,"//---END",'Results-ConceptMap-2'!S127)</f>
        <v>* group[=].element[=].target.equivalence = #relatedto</v>
      </c>
    </row>
    <row r="433" spans="2:2" x14ac:dyDescent="0.75">
      <c r="B433" s="14" t="str">
        <f>IF('Results-ConceptMap-2'!S128=0,"//---END",'Results-ConceptMap-2'!S128)</f>
        <v>* group[=].element[=].target.comment = ##34#see details in the Observation group##34#</v>
      </c>
    </row>
    <row r="434" spans="2:2" x14ac:dyDescent="0.75">
      <c r="B434" s="14" t="str">
        <f>IF('Results-ConceptMap-2'!S129=0,"//---END",'Results-ConceptMap-2'!S129)</f>
        <v>* group[=].element[+].code = #Result.observation.interpretation</v>
      </c>
    </row>
    <row r="435" spans="2:2" x14ac:dyDescent="0.75">
      <c r="B435" s="14" t="str">
        <f>IF('Results-ConceptMap-2'!S130=0,"//---END",'Results-ConceptMap-2'!S130)</f>
        <v>* group[=].element[=].display = ##34#A.5.2.12 Observation interpretation##34#</v>
      </c>
    </row>
    <row r="436" spans="2:2" x14ac:dyDescent="0.75">
      <c r="B436" s="14" t="str">
        <f>IF('Results-ConceptMap-2'!S131=0,"//---END",'Results-ConceptMap-2'!S131)</f>
        <v>* group[=].element[=].target.code = #Composition.section:lab-no-subsections.entry</v>
      </c>
    </row>
    <row r="437" spans="2:2" x14ac:dyDescent="0.75">
      <c r="B437" s="14" t="str">
        <f>IF('Results-ConceptMap-2'!S132=0,"//---END",'Results-ConceptMap-2'!S132)</f>
        <v>* group[=].element[=].target.display = ##34###34#</v>
      </c>
    </row>
    <row r="438" spans="2:2" x14ac:dyDescent="0.75">
      <c r="B438" s="14" t="str">
        <f>IF('Results-ConceptMap-2'!S133=0,"//---END",'Results-ConceptMap-2'!S133)</f>
        <v>* group[=].element[=].target.equivalence = #relatedto</v>
      </c>
    </row>
    <row r="439" spans="2:2" x14ac:dyDescent="0.75">
      <c r="B439" s="14" t="str">
        <f>IF('Results-ConceptMap-2'!S134=0,"//---END",'Results-ConceptMap-2'!S134)</f>
        <v>* group[=].element[=].target.comment = ##34#see details in the Observation group##34#</v>
      </c>
    </row>
    <row r="440" spans="2:2" x14ac:dyDescent="0.75">
      <c r="B440" s="14" t="str">
        <f>IF('Results-ConceptMap-2'!S135=0,"//---END",'Results-ConceptMap-2'!S135)</f>
        <v>* group[=].element[+].code = #Result.observation.description</v>
      </c>
    </row>
    <row r="441" spans="2:2" x14ac:dyDescent="0.75">
      <c r="B441" s="14" t="str">
        <f>IF('Results-ConceptMap-2'!S136=0,"//---END",'Results-ConceptMap-2'!S136)</f>
        <v>* group[=].element[=].display = ##34#A.5.2.13 Result description##34#</v>
      </c>
    </row>
    <row r="442" spans="2:2" x14ac:dyDescent="0.75">
      <c r="B442" s="14" t="str">
        <f>IF('Results-ConceptMap-2'!S137=0,"//---END",'Results-ConceptMap-2'!S137)</f>
        <v>* group[=].element[=].target.code = #Composition.section:lab-no-subsections.entry</v>
      </c>
    </row>
    <row r="443" spans="2:2" x14ac:dyDescent="0.75">
      <c r="B443" s="14" t="str">
        <f>IF('Results-ConceptMap-2'!S138=0,"//---END",'Results-ConceptMap-2'!S138)</f>
        <v>* group[=].element[=].target.display = ##34###34#</v>
      </c>
    </row>
    <row r="444" spans="2:2" x14ac:dyDescent="0.75">
      <c r="B444" s="14" t="str">
        <f>IF('Results-ConceptMap-2'!S139=0,"//---END",'Results-ConceptMap-2'!S139)</f>
        <v>* group[=].element[=].target.equivalence = #relatedto</v>
      </c>
    </row>
    <row r="445" spans="2:2" x14ac:dyDescent="0.75">
      <c r="B445" s="14" t="str">
        <f>IF('Results-ConceptMap-2'!S140=0,"//---END",'Results-ConceptMap-2'!S140)</f>
        <v>* group[=].element[=].target.comment = ##34#see details in the Observation group##34#</v>
      </c>
    </row>
    <row r="446" spans="2:2" x14ac:dyDescent="0.75">
      <c r="B446" s="14" t="str">
        <f>IF('Results-ConceptMap-2'!S141=0,"//---END",'Results-ConceptMap-2'!S141)</f>
        <v>* group[=].element[+].code = #Result.observation.accreditationStatus</v>
      </c>
    </row>
    <row r="447" spans="2:2" x14ac:dyDescent="0.75">
      <c r="B447" s="14" t="str">
        <f>IF('Results-ConceptMap-2'!S142=0,"//---END",'Results-ConceptMap-2'!S142)</f>
        <v>* group[=].element[=].display = ##34#A.5.2.14 Accreditation status##34#</v>
      </c>
    </row>
    <row r="448" spans="2:2" x14ac:dyDescent="0.75">
      <c r="B448" s="14" t="str">
        <f>IF('Results-ConceptMap-2'!S143=0,"//---END",'Results-ConceptMap-2'!S143)</f>
        <v>* group[=].element[=].target.code = #Composition.section:lab-no-subsections.entry</v>
      </c>
    </row>
    <row r="449" spans="2:2" x14ac:dyDescent="0.75">
      <c r="B449" s="14" t="str">
        <f>IF('Results-ConceptMap-2'!S144=0,"//---END",'Results-ConceptMap-2'!S144)</f>
        <v>* group[=].element[=].target.display = ##34###34#</v>
      </c>
    </row>
    <row r="450" spans="2:2" x14ac:dyDescent="0.75">
      <c r="B450" s="14" t="str">
        <f>IF('Results-ConceptMap-2'!S145=0,"//---END",'Results-ConceptMap-2'!S145)</f>
        <v>* group[=].element[=].target.equivalence = #relatedto</v>
      </c>
    </row>
    <row r="451" spans="2:2" x14ac:dyDescent="0.75">
      <c r="B451" s="14" t="str">
        <f>IF('Results-ConceptMap-2'!S146=0,"//---END",'Results-ConceptMap-2'!S146)</f>
        <v>* group[=].element[=].target.comment = ##34#see details in the Observation group##34#</v>
      </c>
    </row>
    <row r="452" spans="2:2" x14ac:dyDescent="0.75">
      <c r="B452" s="14" t="str">
        <f>IF('Results-ConceptMap-2'!S147=0,"//---END",'Results-ConceptMap-2'!S147)</f>
        <v>//---END</v>
      </c>
    </row>
    <row r="453" spans="2:2" x14ac:dyDescent="0.75">
      <c r="B453" s="14" t="str">
        <f>IF('Results-ConceptMap-2'!S148=0,"//---END",'Results-ConceptMap-2'!S148)</f>
        <v>//---END</v>
      </c>
    </row>
    <row r="454" spans="2:2" x14ac:dyDescent="0.75">
      <c r="B454" s="14" t="str">
        <f>IF('Results-ConceptMap-2'!S149=0,"//---END",'Results-ConceptMap-2'!S149)</f>
        <v>//---END</v>
      </c>
    </row>
    <row r="455" spans="2:2" x14ac:dyDescent="0.75">
      <c r="B455" s="14" t="str">
        <f>IF('Results-ConceptMap-2'!S150=0,"//---END",'Results-ConceptMap-2'!S150)</f>
        <v>//---END</v>
      </c>
    </row>
    <row r="456" spans="2:2" x14ac:dyDescent="0.75">
      <c r="B456"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2024-02-09T18:36:23Z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