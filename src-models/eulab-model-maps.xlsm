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CE9C6C25-90C3-4C73-9AAA-02477155C6BB}" xr6:coauthVersionLast="47" xr6:coauthVersionMax="47" xr10:uidLastSave="{00000000-0000-0000-0000-000000000000}"/>
  <bookViews>
    <workbookView xWindow="-90" yWindow="-90" windowWidth="19380" windowHeight="10260" firstSheet="34" activeTab="36"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65" l="1"/>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26" i="157" l="1" a="1"/>
  <c r="S26" i="157" s="1"/>
  <c r="B31" i="158" s="1"/>
  <c r="S38" i="157" a="1"/>
  <c r="S38" i="157" s="1"/>
  <c r="B43" i="158" s="1"/>
  <c r="S32" i="151" a="1"/>
  <c r="S32" i="151" s="1"/>
  <c r="B112" i="156"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<sst xmlns="http://schemas.openxmlformats.org/spreadsheetml/2006/main" count="2480" uniqueCount="960">
  <si>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</si>
  <si>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</si>
  <si>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</si>
  <si>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</si>
  <si>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</si>
  <si>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</si>
  <si>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</si>
  <si>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</si>
  <si>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</si>
  <si>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</si>
  <si>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</si>
  <si>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</si>
  <si>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</si>
  <si>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</si>
  <si>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</si>
  <si>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</si>
  <si>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</si>
  <si>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</si>
  <si>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</si>
  <si>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</si>
  <si>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</si>
  <si>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</si>
  <si>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</si>
  <si>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</si>
  <si>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</si>
  <si>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</si>
  <si>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</si>
  <si>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</si>
  <si>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</si>
  <si>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</si>
  <si>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</si>
  <si>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</si>
  <si>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</si>
  <si>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</si>
  <si>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</si>
  <si>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</si>
  <si>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</si>
  <si>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</si>
  <si>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</si>
  <si>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</si>
  <si>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</si>
  <si>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</si>
  <si>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</si>
  <si>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</si>
  <si>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</si>
  <si>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</si>
  <si>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</si>
  <si>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</si>
  <si>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</si>
  <si>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</si>
  <si>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</si>
  <si>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</si>
  <si>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</si>
  <si>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</si>
  <si>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</si>
  <si>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</si>
  <si>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</si>
  <si>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</si>
  <si>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</si>
  <si>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</si>
  <si>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</si>
  <si>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</si>
  <si>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</si>
  <si>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</si>
  <si>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</si>
  <si>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</si>
  <si>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</si>
  <si>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</si>
  <si>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</si>
  <si>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</si>
  <si>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</si>
  <si>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</si>
  <si>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</si>
  <si>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</si>
  <si>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</si>
  <si>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</si>
  <si>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</si>
  <si>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</si>
  <si>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</si>
  <si>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</si>
  <si>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</si>
  <si>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</si>
  <si>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</si>
  <si>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</si>
  <si>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</si>
  <si>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</si>
  <si>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</si>
  <si>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</si>
  <si>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</si>
  <si>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</si>
  <si>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</si>
  <si>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</si>
  <si>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</si>
  <si>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</si>
  <si>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</si>
  <si>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</si>
  <si>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</si>
  <si>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</si>
  <si>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</si>
  <si>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</si>
  <si>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</si>
  <si>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</si>
  <si>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</si>
  <si>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</si>
  <si>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</si>
  <si>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</si>
  <si>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</si>
  <si>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</si>
  <si>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</si>
  <si>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</si>
  <si>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</si>
  <si>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</si>
  <si>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</si>
  <si>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</si>
  <si>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</si>
  <si>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</si>
  <si>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</si>
  <si>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</si>
  <si>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</si>
  <si>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</si>
  <si>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</si>
  <si>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</si>
  <si>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</si>
  <si>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</si>
  <si>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</si>
  <si>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</si>
  <si>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</si>
  <si>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</si>
  <si>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</si>
  <si>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</si>
  <si>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</si>
  <si>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</si>
  <si>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</si>
  <si>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</si>
  <si>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</si>
  <si>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</si>
  <si>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</si>
  <si>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</si>
  <si>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</si>
  <si>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</si>
  <si>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</si>
  <si>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</si>
  <si>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</si>
  <si>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</si>
  <si>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</si>
  <si>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</si>
  <si>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</si>
  <si>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</si>
  <si>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</si>
  <si>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</si>
  <si>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</si>
  <si>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</si>
  <si>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</si>
  <si>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</si>
  <si>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</si>
  <si>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</si>
  <si>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</si>
  <si>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</si>
  <si>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</si>
  <si>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</si>
  <si>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</si>
  <si>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</si>
  <si>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</si>
  <si>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</si>
  <si>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</si>
  <si>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</si>
  <si>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</si>
  <si>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</si>
  <si>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</si>
  <si>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</si>
  <si>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</si>
  <si>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</si>
  <si>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</si>
  <si>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</si>
  <si>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</si>
  <si>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</si>
  <si>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</si>
  <si>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</si>
  <si>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</si>
  <si>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</si>
  <si>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</si>
  <si>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</si>
  <si>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</si>
  <si>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</si>
  <si>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</si>
  <si>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</si>
  <si>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</si>
  <si>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</si>
  <si>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</si>
  <si>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</si>
  <si>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</si>
  <si>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</si>
  <si>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</si>
  <si>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</si>
  <si>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</si>
  <si>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</si>
  <si>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</si>
  <si>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</si>
  <si>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</si>
  <si>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</si>
  <si>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</si>
  <si>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</si>
  <si>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</si>
  <si>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</si>
  <si>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</si>
  <si>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</si>
  <si>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</si>
  <si>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</si>
  <si>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</si>
  <si>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</si>
  <si>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</si>
  <si>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</si>
  <si>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</si>
  <si>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</si>
  <si>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</si>
  <si>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</si>
  <si>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</si>
  <si>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</si>
  <si>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</si>
  <si>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</si>
  <si>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</si>
  <si>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</si>
  <si>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</si>
  <si>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</si>
  <si>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</si>
  <si>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</si>
  <si>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</si>
  <si>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</si>
  <si>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</si>
  <si>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</si>
  <si>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</si>
  <si>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</si>
  <si>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</si>
  <si>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</si>
  <si>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</si>
  <si>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</si>
  <si>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</si>
  <si>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</si>
  <si>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</si>
  <si>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</si>
  <si>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</si>
  <si>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</si>
  <si>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</si>
  <si>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</si>
  <si>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</si>
  <si>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</si>
  <si>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</si>
  <si>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</si>
  <si>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</si>
  <si>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</si>
  <si>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</si>
  <si>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</si>
  <si>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</si>
  <si>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</si>
  <si>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</si>
  <si>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</si>
  <si>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</si>
  <si>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</si>
  <si>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</si>
  <si>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</si>
  <si>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</si>
  <si>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</si>
  <si>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</si>
  <si>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</si>
  <si>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</si>
  <si>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</si>
  <si>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</si>
  <si>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</si>
  <si>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</si>
  <si>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</si>
  <si>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</si>
  <si>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</si>
  <si>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</si>
  <si>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</si>
  <si>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</si>
  <si>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</si>
  <si>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</si>
  <si>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</si>
  <si>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</si>
  <si>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</si>
  <si>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</si>
  <si>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</si>
  <si>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</si>
  <si>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</si>
  <si>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</si>
  <si>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</si>
  <si>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</si>
  <si>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</si>
  <si>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</si>
  <si>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</si>
  <si>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</si>
  <si>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</si>
  <si>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</si>
  <si>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</si>
  <si>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</si>
  <si>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</si>
  <si>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</si>
  <si>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</si>
  <si>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</si>
  <si>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</si>
  <si>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</si>
  <si>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</si>
  <si>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</si>
  <si>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</si>
  <si>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</si>
  <si>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</si>
  <si>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</si>
  <si>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</si>
  <si>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</si>
  <si>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</si>
  <si>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</si>
  <si>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</si>
  <si>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</si>
  <si>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</si>
  <si>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</si>
  <si>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</si>
  <si>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</si>
  <si>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</si>
  <si>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</si>
  <si>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</si>
  <si>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</si>
  <si>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</si>
  <si>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</si>
  <si>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</si>
  <si>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</si>
  <si>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</si>
  <si>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</si>
  <si>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</si>
  <si>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</si>
  <si>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</si>
  <si>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</si>
  <si>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</si>
  <si>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</si>
  <si>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</si>
  <si>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</si>
  <si>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</si>
  <si>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</si>
  <si>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</si>
  <si>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</si>
  <si>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</si>
  <si>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</si>
  <si>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</si>
  <si>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</si>
  <si>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</si>
  <si>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</si>
  <si>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</si>
  <si>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</si>
  <si>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</si>
  <si>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</si>
  <si>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</si>
  <si>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</si>
  <si>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</si>
  <si>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</si>
  <si>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</si>
  <si>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</si>
  <si>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</si>
  <si>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</si>
  <si>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</si>
  <si>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</si>
  <si>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</si>
  <si>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</si>
  <si>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</si>
  <si>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</si>
  <si>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</si>
  <si>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</si>
  <si>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</si>
  <si>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</si>
  <si>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</si>
  <si>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</si>
  <si>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</si>
  <si>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</si>
  <si>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</si>
  <si>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</si>
  <si>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</si>
  <si>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</si>
  <si>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</si>
  <si>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</si>
  <si>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</si>
  <si>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</si>
  <si>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</si>
  <si>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</si>
  <si>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</si>
  <si>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</si>
  <si>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</si>
  <si>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</si>
  <si>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</si>
  <si>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</si>
  <si>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</si>
  <si>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</si>
  <si>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</si>
  <si>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</si>
  <si>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</si>
  <si>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</si>
  <si>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</si>
  <si>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</si>
  <si>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</si>
  <si>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</si>
  <si>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</si>
  <si>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</si>
  <si>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</si>
  <si>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</si>
  <si>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</si>
  <si>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</si>
  <si>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</si>
  <si>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</si>
  <si>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</si>
  <si>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</si>
  <si>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</si>
  <si>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</si>
  <si>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</si>
  <si>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</si>
  <si>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</si>
  <si>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</si>
  <si>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</si>
  <si>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</si>
  <si>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</si>
  <si>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</si>
  <si>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</si>
  <si>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</si>
  <si>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</si>
  <si>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</si>
  <si>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</si>
  <si>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</si>
  <si>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</si>
  <si>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</si>
  <si>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</si>
  <si>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</si>
  <si>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</si>
  <si>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</si>
  <si>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</si>
  <si>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</si>
  <si>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</si>
  <si>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</si>
  <si>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</si>
  <si>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</si>
  <si>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</si>
  <si>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</si>
  <si>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</si>
  <si>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</si>
  <si>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</si>
  <si>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</si>
  <si>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</si>
  <si>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</si>
  <si>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</si>
  <si>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</si>
  <si>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</si>
  <si>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</si>
  <si>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</si>
  <si>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</si>
  <si>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</si>
  <si>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</si>
  <si>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</si>
  <si>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</si>
  <si>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</si>
  <si>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</si>
  <si>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</si>
  <si>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</si>
  <si>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</si>
  <si>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</si>
  <si>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</si>
  <si>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</si>
  <si>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</si>
  <si>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</si>
  <si>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</si>
  <si>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</si>
  <si>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</si>
  <si>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</si>
  <si>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</si>
  <si>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</si>
  <si>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</si>
  <si>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</si>
  <si>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</si>
  <si>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</si>
  <si>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</si>
  <si>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</si>
  <si>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</si>
  <si>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</si>
  <si>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</si>
  <si>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</si>
  <si>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</si>
  <si>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</si>
  <si>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</si>
  <si>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</si>
  <si>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</si>
  <si>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</si>
  <si>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</si>
  <si>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</si>
  <si>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</si>
  <si>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</si>
  <si>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</si>
  <si>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</si>
  <si>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</si>
  <si>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</si>
  <si>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</si>
  <si>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</si>
  <si>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</si>
  <si>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</si>
  <si>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</si>
  <si>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</si>
  <si>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</si>
  <si>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</si>
  <si>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</si>
  <si>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</si>
  <si>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</si>
  <si>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</si>
  <si>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</si>
  <si>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</si>
  <si>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</si>
  <si>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</si>
  <si>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</si>
  <si>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</si>
  <si>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</si>
  <si>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</si>
  <si>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</si>
  <si>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</si>
  <si>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</si>
  <si>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</si>
  <si>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</si>
  <si>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</si>
  <si>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</si>
  <si>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</si>
  <si>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</si>
  <si>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</si>
  <si>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</si>
  <si>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</si>
  <si>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</si>
  <si>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</si>
  <si>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</si>
  <si>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</si>
  <si>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</si>
  <si>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</si>
  <si>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</si>
  <si>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</si>
  <si>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</si>
  <si>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</si>
  <si>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</si>
  <si>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</si>
  <si>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</si>
  <si>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</si>
  <si>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</si>
  <si>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</si>
  <si>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</si>
  <si>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</si>
  <si>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</si>
  <si>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</si>
  <si>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</si>
  <si>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</si>
  <si>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</si>
  <si>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</si>
  <si>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</si>
  <si>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</si>
  <si>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</si>
  <si>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</si>
  <si>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</si>
  <si>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</si>
  <si>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</si>
  <si>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</si>
  <si>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</si>
  <si>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</si>
  <si>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</si>
  <si>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</si>
  <si>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</si>
  <si>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</si>
  <si>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</si>
  <si>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</si>
  <si>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</si>
  <si>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</si>
  <si>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</si>
  <si>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</si>
  <si>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</si>
  <si>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</si>
  <si>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</si>
  <si>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</si>
  <si>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</si>
  <si>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</si>
  <si>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</si>
  <si>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</si>
  <si>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</si>
  <si>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</si>
  <si>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</si>
  <si>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</si>
  <si>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</si>
  <si>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</si>
  <si>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</si>
  <si>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</si>
  <si>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</si>
  <si>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</si>
  <si>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</si>
  <si>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</si>
  <si>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</si>
  <si>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</si>
  <si>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</si>
  <si>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</si>
  <si>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</si>
  <si>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</si>
  <si>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</si>
  <si>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</si>
  <si>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</si>
  <si>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</si>
  <si>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</si>
  <si>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</si>
  <si>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</si>
  <si>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</si>
  <si>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</si>
  <si>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</si>
  <si>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</si>
  <si>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</si>
  <si>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</si>
  <si>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</si>
  <si>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</si>
  <si>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</si>
  <si>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</si>
  <si>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</si>
  <si>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</si>
  <si>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</si>
  <si>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</si>
  <si>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</si>
  <si>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</si>
  <si>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</si>
  <si>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</si>
  <si>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</si>
  <si>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</si>
  <si>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</si>
  <si>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</si>
  <si>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</si>
  <si>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</si>
  <si>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</si>
  <si>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</si>
  <si>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</si>
  <si>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</si>
  <si>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</si>
  <si>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</si>
  <si>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</si>
  <si>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</si>
  <si>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</si>
  <si>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</si>
  <si>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</si>
  <si>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</si>
  <si>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</si>
  <si>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</si>
  <si>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</si>
  <si>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</si>
  <si>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</si>
  <si>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</si>
  <si>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</si>
  <si>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</si>
  <si>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</si>
  <si>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</si>
  <si>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</si>
  <si>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</si>
  <si>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</si>
  <si>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</si>
  <si>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</si>
  <si>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</si>
  <si>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</si>
  <si>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</si>
  <si>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</si>
  <si>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</si>
  <si>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</si>
  <si>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</si>
  <si>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</si>
  <si>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</si>
  <si>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</si>
  <si>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</si>
  <si>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</si>
  <si>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</si>
  <si>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</si>
  <si>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</si>
  <si>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</si>
  <si>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</si>
  <si>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</si>
  <si>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</si>
  <si>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</si>
  <si>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</si>
  <si>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</si>
  <si>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</si>
  <si>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</si>
  <si>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</si>
  <si>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</si>
  <si>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</si>
  <si>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</si>
  <si>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</si>
  <si>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</si>
  <si>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</si>
  <si>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</si>
  <si>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</si>
  <si>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</si>
  <si>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</si>
  <si>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</si>
  <si>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</si>
  <si>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</si>
  <si>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</si>
  <si>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</si>
  <si>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</si>
  <si>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</si>
  <si>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</si>
  <si>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</si>
  <si>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</si>
  <si>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</si>
  <si>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</si>
  <si>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</si>
  <si>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</si>
  <si>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</si>
  <si>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</si>
  <si>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</si>
  <si>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</si>
  <si>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</si>
  <si>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</si>
  <si>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</si>
  <si>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</si>
  <si>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</si>
  <si>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</si>
  <si>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</si>
  <si>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</si>
  <si>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</si>
  <si>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</si>
  <si>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</si>
  <si>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</si>
  <si>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</si>
  <si>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time</t>
  </si>
  <si>
    <t>Composition.attester.where(mode='professional')</t>
  </si>
  <si>
    <t>party.resolve().identifier</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</si>
  <si>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</si>
  <si>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</si>
  <si>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</si>
  <si>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</si>
  <si>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</si>
  <si>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</si>
  <si>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</si>
  <si>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</si>
  <si>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</si>
  <si>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</si>
  <si>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</si>
  <si>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</si>
  <si>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</si>
  <si>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</si>
  <si>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</si>
  <si>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</si>
  <si>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</si>
  <si>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</si>
  <si>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</si>
  <si>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</si>
  <si>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</si>
  <si>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</si>
  <si>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</si>
  <si>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</si>
  <si>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</si>
  <si>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</si>
  <si>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</si>
  <si>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</si>
  <si>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</si>
  <si>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</si>
  <si>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</si>
  <si>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</si>
  <si>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</si>
  <si>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</si>
  <si>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</si>
  <si>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</si>
  <si>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</si>
  <si>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</si>
  <si>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</si>
  <si>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</si>
  <si>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</si>
  <si>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</si>
  <si>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</si>
  <si>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</si>
  <si>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</si>
  <si>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</si>
  <si>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</si>
  <si>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</si>
  <si>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</si>
  <si>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</si>
  <si>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</si>
  <si>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</si>
  <si>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</si>
  <si>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</si>
  <si>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</si>
  <si>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</si>
  <si>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</si>
  <si>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</si>
  <si>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</si>
  <si>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</si>
  <si>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</si>
  <si>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</si>
  <si>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</si>
  <si>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</si>
  <si>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</si>
  <si>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</si>
  <si>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</si>
  <si>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</si>
  <si>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</si>
  <si>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</si>
  <si>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</si>
  <si>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</si>
  <si>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</si>
  <si>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</si>
  <si>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</si>
  <si>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</si>
  <si>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</si>
  <si>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</si>
  <si>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</si>
  <si>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</si>
  <si>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</si>
  <si>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</si>
  <si>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</si>
  <si>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</si>
  <si>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</si>
  <si>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</si>
  <si>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</si>
  <si>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</si>
  <si>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</si>
  <si>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</si>
  <si>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</si>
  <si>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</si>
  <si>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</si>
  <si>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</si>
  <si>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</si>
  <si>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</si>
  <si>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</si>
  <si>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</si>
  <si>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</si>
  <si>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</si>
  <si>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</si>
  <si>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</si>
  <si>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</si>
  <si>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</si>
  <si>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</si>
  <si>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</si>
  <si>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</si>
  <si>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</si>
  <si>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</si>
  <si>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</si>
  <si>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</si>
  <si>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</si>
  <si>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</si>
  <si>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</si>
  <si>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</si>
  <si>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</si>
  <si>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</si>
  <si>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</si>
  <si>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</si>
  <si>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</si>
  <si>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</si>
  <si>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</si>
  <si>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</si>
  <si>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</si>
  <si>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</si>
  <si>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</si>
  <si>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</si>
  <si>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</si>
  <si>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</si>
  <si>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</si>
  <si>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</si>
  <si>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</si>
  <si>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</si>
  <si>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</si>
  <si>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</si>
  <si>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</si>
  <si>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</si>
  <si>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</si>
  <si>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</si>
  <si>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</si>
  <si>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</si>
  <si>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</si>
  <si>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</si>
  <si>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</si>
  <si>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</si>
  <si>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</si>
  <si>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</si>
  <si>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</si>
  <si>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</si>
  <si>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</si>
  <si>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</si>
  <si>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</si>
  <si>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</si>
  <si>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</si>
  <si>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</si>
  <si>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</si>
  <si>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</si>
  <si>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</si>
  <si>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</si>
  <si>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</si>
  <si>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</si>
  <si>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</si>
  <si>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</si>
  <si>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</si>
  <si>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</si>
  <si>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</si>
  <si>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</si>
  <si>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</si>
  <si>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</si>
  <si>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</si>
  <si>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</si>
  <si>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</si>
  <si>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</si>
  <si>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</si>
  <si>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</si>
  <si>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</si>
  <si>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</si>
  <si>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</si>
  <si>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</si>
  <si>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</si>
  <si>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</si>
  <si>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</si>
  <si>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</si>
  <si>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</si>
  <si>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</si>
  <si>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</si>
  <si>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</si>
  <si>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</si>
  <si>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</si>
  <si>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</si>
  <si>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</si>
  <si>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</si>
  <si>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</si>
  <si>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</si>
  <si>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</si>
  <si>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</si>
  <si>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</si>
  <si>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</si>
  <si>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interpreter: 
resultsInterpreter.resolve().ofType(Practitioner).name</t>
  </si>
  <si>
    <t>resultsInterpreter.Practitioner.name</t>
  </si>
  <si>
    <t>If the author is the interpreter: resultsInterpreter.resolve().ofType(PractitionerRole).Practitioner.resolve().name</t>
  </si>
  <si>
    <t>If the author is the interpreter: resultsInterpreter.resolve().ofType(PractitionerRole).organization.resolve()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</si>
  <si>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</si>
  <si>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</si>
  <si>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</si>
  <si>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</si>
  <si>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author.ofType(Practitioner).name</t>
  </si>
  <si>
    <t>author.Practitioner.name</t>
  </si>
  <si>
    <t>author.ofType(PractitionerRole).Practitioner.resolve().name</t>
  </si>
  <si>
    <t>author.ofType(PractitionerRole).organization.resolve()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</si>
  <si>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</si>
  <si>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</si>
  <si>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</si>
  <si>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</si>
  <si>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</si>
  <si>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</si>
  <si>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</si>
  <si>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</si>
  <si>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party.resolve().ofType(Practitioner).name</t>
  </si>
  <si>
    <t>attester.where(mode='professional').party.resolve().ofType(Practitioner).name</t>
  </si>
  <si>
    <t>party.resolve().ofType(PractitionerRole).Practitioner.resolve().name</t>
  </si>
  <si>
    <t>attester.where(mode='professional').party.resolve().ofType(PractitionerRole).Practitioner.resolve().name</t>
  </si>
  <si>
    <t>party.resolve().ofType(PractitionerRole).organization.resolve()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</si>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</sst>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853</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883</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830</v>
      </c>
      <c r="C16" s="9" t="s">
        <v>828</v>
      </c>
      <c r="D16" s="9" t="s">
        <v>829</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852</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834</v>
      </c>
      <c r="C21" s="9" t="s">
        <v>832</v>
      </c>
      <c r="D21" s="14" t="s">
        <v>833</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835</v>
      </c>
      <c r="D22" s="14" t="s">
        <v>831</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840</v>
      </c>
      <c r="C23" s="89" t="s">
        <v>836</v>
      </c>
      <c r="D23" s="90" t="s">
        <v>841</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843</v>
      </c>
      <c r="C24" s="91" t="s">
        <v>837</v>
      </c>
      <c r="D24" s="92" t="s">
        <v>842</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844</v>
      </c>
      <c r="C25" s="91" t="s">
        <v>838</v>
      </c>
      <c r="D25" s="92" t="s">
        <v>839</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845</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7"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t="s">
        <v>634</v>
      </c>
    </row>
    <row r="4" spans="1:19" x14ac:dyDescent="0.75">
      <c r="B4" s="73" t="s">
        <v>19</v>
      </c>
      <c r="C4" s="54" t="s">
        <v>822</v>
      </c>
      <c r="D4" s="73" t="s">
        <v>645</v>
      </c>
      <c r="E4" s="84" t="s">
        <v>809</v>
      </c>
    </row>
    <row r="5" spans="1:19" x14ac:dyDescent="0.75">
      <c r="B5" s="73" t="s">
        <v>13</v>
      </c>
      <c r="C5" s="10" t="s">
        <v>640</v>
      </c>
      <c r="D5" s="73"/>
      <c r="E5" s="10"/>
    </row>
    <row r="6" spans="1:19" x14ac:dyDescent="0.75">
      <c r="B6" s="73" t="s">
        <v>35</v>
      </c>
      <c r="C6" s="72" t="s">
        <v>634</v>
      </c>
      <c r="D6" s="73" t="s">
        <v>641</v>
      </c>
      <c r="E6" s="117" t="s">
        <v>634</v>
      </c>
      <c r="F6" s="117"/>
      <c r="G6" s="117"/>
    </row>
    <row r="7" spans="1:19" x14ac:dyDescent="0.75">
      <c r="B7" s="73" t="s">
        <v>18</v>
      </c>
      <c r="C7" s="80" t="s">
        <v>637</v>
      </c>
      <c r="D7" s="73" t="s">
        <v>642</v>
      </c>
      <c r="E7" s="117" t="s">
        <v>643</v>
      </c>
      <c r="F7" s="117"/>
      <c r="G7" s="117"/>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766</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770</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767</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752</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846</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873</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899</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847</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850</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763</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768</v>
      </c>
      <c r="E36" s="14"/>
      <c r="F36" s="75" t="s">
        <v>619</v>
      </c>
      <c r="G36" s="14" t="s">
        <v>735</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809</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769</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770</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771</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773</v>
      </c>
      <c r="E20" s="9"/>
      <c r="F20" s="75" t="s">
        <v>618</v>
      </c>
      <c r="G20" s="82" t="s">
        <v>772</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773</v>
      </c>
      <c r="E21" s="9"/>
      <c r="F21" s="75" t="s">
        <v>618</v>
      </c>
      <c r="G21" s="82" t="s">
        <v>774</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846</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874</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899</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848</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847</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849</v>
      </c>
      <c r="E32" s="14"/>
      <c r="F32" s="75" t="s">
        <v>618</v>
      </c>
      <c r="G32" s="75" t="s">
        <v>851</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769</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775</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761</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776</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762</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882</v>
      </c>
      <c r="I6" s="26" t="str">
        <f>CONCATENATE("Title: ##34#",B6,"##34#")</f>
        <v>Title: ##34#A1.1, A1.2 - Subject of care##34#</v>
      </c>
    </row>
    <row r="7" spans="1:11" ht="15.5" thickBot="1" x14ac:dyDescent="0.9">
      <c r="A7" s="20" t="s">
        <v>5</v>
      </c>
      <c r="B7" s="21" t="s">
        <v>884</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824</v>
      </c>
      <c r="D3" s="73" t="s">
        <v>644</v>
      </c>
      <c r="E3" s="117" t="s">
        <v>660</v>
      </c>
      <c r="F3" s="117"/>
      <c r="G3" s="117"/>
    </row>
    <row r="4" spans="1:19" x14ac:dyDescent="0.75">
      <c r="B4" s="73" t="s">
        <v>19</v>
      </c>
      <c r="C4" s="54" t="s">
        <v>823</v>
      </c>
      <c r="D4" s="73" t="s">
        <v>645</v>
      </c>
      <c r="E4" s="118" t="s">
        <v>661</v>
      </c>
      <c r="F4" s="117"/>
      <c r="G4" s="117"/>
    </row>
    <row r="5" spans="1:19" x14ac:dyDescent="0.75">
      <c r="B5" s="73" t="s">
        <v>13</v>
      </c>
      <c r="C5" s="10" t="s">
        <v>669</v>
      </c>
      <c r="D5" s="73"/>
      <c r="E5" s="10"/>
    </row>
    <row r="6" spans="1:19" x14ac:dyDescent="0.75">
      <c r="B6" s="73" t="s">
        <v>35</v>
      </c>
      <c r="C6" s="72" t="s">
        <v>634</v>
      </c>
      <c r="D6" s="73" t="s">
        <v>641</v>
      </c>
      <c r="E6" s="117" t="s">
        <v>660</v>
      </c>
      <c r="F6" s="117"/>
      <c r="G6" s="117"/>
    </row>
    <row r="7" spans="1:19" x14ac:dyDescent="0.75">
      <c r="B7" s="73" t="s">
        <v>18</v>
      </c>
      <c r="C7" s="80" t="s">
        <v>637</v>
      </c>
      <c r="D7" s="73" t="s">
        <v>642</v>
      </c>
      <c r="E7" s="118" t="s">
        <v>661</v>
      </c>
      <c r="F7" s="117"/>
      <c r="G7" s="117"/>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894</v>
      </c>
      <c r="I6" s="26" t="str">
        <f>CONCATENATE("Title: ##34#",B6,"##34#")</f>
        <v>Title: ##34#A.1.3 - Health insurance and payment information##34#</v>
      </c>
    </row>
    <row r="7" spans="1:11" ht="15.5" customHeight="1" thickBot="1" x14ac:dyDescent="0.9">
      <c r="A7" s="20" t="s">
        <v>5</v>
      </c>
      <c r="B7" s="21" t="s">
        <v>885</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18" t="s">
        <v>673</v>
      </c>
      <c r="F3" s="117"/>
      <c r="G3" s="117"/>
    </row>
    <row r="4" spans="1:19" x14ac:dyDescent="0.75">
      <c r="B4" s="73" t="s">
        <v>19</v>
      </c>
      <c r="C4" s="54" t="s">
        <v>876</v>
      </c>
      <c r="D4" s="73" t="s">
        <v>645</v>
      </c>
      <c r="E4" s="118" t="s">
        <v>809</v>
      </c>
      <c r="F4" s="117"/>
      <c r="G4" s="117"/>
    </row>
    <row r="5" spans="1:19" x14ac:dyDescent="0.75">
      <c r="B5" s="73" t="s">
        <v>13</v>
      </c>
      <c r="C5" s="10" t="s">
        <v>678</v>
      </c>
      <c r="D5" s="73"/>
      <c r="E5" s="10"/>
    </row>
    <row r="6" spans="1:19" x14ac:dyDescent="0.75">
      <c r="B6" s="73" t="s">
        <v>35</v>
      </c>
      <c r="C6" s="72" t="s">
        <v>634</v>
      </c>
      <c r="D6" s="73" t="s">
        <v>641</v>
      </c>
      <c r="E6" s="118" t="s">
        <v>673</v>
      </c>
      <c r="F6" s="117"/>
      <c r="G6" s="117"/>
    </row>
    <row r="7" spans="1:19" x14ac:dyDescent="0.75">
      <c r="B7" s="73" t="s">
        <v>18</v>
      </c>
      <c r="C7" s="80" t="s">
        <v>637</v>
      </c>
      <c r="D7" s="73" t="s">
        <v>642</v>
      </c>
      <c r="E7" s="118" t="s">
        <v>672</v>
      </c>
      <c r="F7" s="117"/>
      <c r="G7" s="117"/>
    </row>
    <row r="8" spans="1:19" ht="44.25" x14ac:dyDescent="0.75">
      <c r="B8" s="73" t="s">
        <v>635</v>
      </c>
      <c r="C8" s="10" t="s">
        <v>679</v>
      </c>
      <c r="D8" s="73"/>
      <c r="E8" s="10"/>
      <c r="I8" s="14" t="s">
        <v>607</v>
      </c>
      <c r="J8" s="14" t="s">
        <v>608</v>
      </c>
      <c r="K8" s="14" t="s">
        <v>609</v>
      </c>
      <c r="L8" s="14" t="s">
        <v>610</v>
      </c>
      <c r="M8" s="9" t="s">
        <v>611</v>
      </c>
      <c r="P8" s="69" t="s">
        <v>612</v>
      </c>
      <c r="Q8" s="69">
        <v>6</v>
      </c>
    </row>
    <row r="9" spans="1:19" ht="29.5" x14ac:dyDescent="0.75">
      <c r="B9" s="73" t="s">
        <v>636</v>
      </c>
      <c r="C9" s="1" t="s">
        <v>680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340</v>
      </c>
      <c r="E14" s="8"/>
      <c r="F14" s="9"/>
      <c r="G14" s="9" t="s">
        <v>777</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778</v>
      </c>
      <c r="E16" s="9"/>
      <c r="F16" s="75" t="s">
        <v>618</v>
      </c>
      <c r="G16" s="9" t="s">
        <v>674</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779</v>
      </c>
      <c r="E17" s="9"/>
      <c r="F17" s="75" t="s">
        <v>618</v>
      </c>
      <c r="G17" s="9" t="s">
        <v>675</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780</v>
      </c>
      <c r="E18" s="9"/>
      <c r="F18" s="75" t="s">
        <v>618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781</v>
      </c>
      <c r="E19" s="9"/>
      <c r="F19" s="75" t="s">
        <v>618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676</v>
      </c>
      <c r="E20" s="9"/>
      <c r="F20" s="75" t="s">
        <v>618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782</v>
      </c>
      <c r="E21" s="9"/>
      <c r="F21" s="75" t="s">
        <v>618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19" t="str">
        <f>'Payer-ConceptMap-1'!E3</f>
        <v>http://hl7.eu/fhir/laboratory/StructureDefinition/Payer</v>
      </c>
      <c r="F3" s="120"/>
      <c r="G3" s="120"/>
    </row>
    <row r="4" spans="1:19" x14ac:dyDescent="0.75">
      <c r="B4" s="73" t="s">
        <v>19</v>
      </c>
      <c r="C4" s="54" t="str">
        <f>'Payer-ConceptMap-1'!C4</f>
        <v>payer2FHIR-eu-lab</v>
      </c>
      <c r="D4" s="73" t="s">
        <v>645</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18" t="str">
        <f>E3</f>
        <v>http://hl7.eu/fhir/laboratory/StructureDefinition/Payer</v>
      </c>
      <c r="F6" s="117"/>
      <c r="G6" s="117"/>
    </row>
    <row r="7" spans="1:19" x14ac:dyDescent="0.75">
      <c r="B7" s="73" t="s">
        <v>18</v>
      </c>
      <c r="C7" s="80" t="str">
        <f>'Payer-ConceptMap-1'!C7</f>
        <v>http://hl7.eu/fhir/laboratory</v>
      </c>
      <c r="D7" s="73" t="s">
        <v>642</v>
      </c>
      <c r="E7" s="118" t="s">
        <v>661</v>
      </c>
      <c r="F7" s="117"/>
      <c r="G7" s="117"/>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17</v>
      </c>
      <c r="E14" s="8"/>
      <c r="F14" s="75" t="s">
        <v>620</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620</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620</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620</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620</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619</v>
      </c>
      <c r="G21" s="75" t="s">
        <v>897</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677</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875</v>
      </c>
      <c r="I6" s="26" t="str">
        <f>CONCATENATE("Title: ##34#",B6,"##34#")</f>
        <v>Title: ##34#A.1.4 - Information recipient##34#</v>
      </c>
    </row>
    <row r="7" spans="1:11" ht="59" x14ac:dyDescent="0.75">
      <c r="A7" s="46" t="s">
        <v>5</v>
      </c>
      <c r="B7" s="58" t="s">
        <v>886</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861</v>
      </c>
      <c r="D11" s="60" t="s">
        <v>862</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866</v>
      </c>
      <c r="C12" s="9" t="s">
        <v>863</v>
      </c>
      <c r="D12" s="14" t="s">
        <v>864</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865</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854</v>
      </c>
      <c r="D30" s="1" t="s">
        <v>64</v>
      </c>
      <c r="E30" s="1" t="s">
        <v>858</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855</v>
      </c>
      <c r="D31" t="s">
        <v>857</v>
      </c>
      <c r="E31" s="1" t="s">
        <v>859</v>
      </c>
      <c r="F31" t="s">
        <v>860</v>
      </c>
      <c r="H31" t="str">
        <f t="shared" ref="H31:H32" si="4">C31&amp;" "&amp;D31</f>
        <v>A.1.4.5 Country</v>
      </c>
      <c r="I31" s="1" t="str">
        <f t="shared" si="3"/>
        <v>Country of the recipient. - Preferred system(s): ISO 3166</v>
      </c>
    </row>
    <row r="32" spans="2:9" ht="192.5" thickBot="1" x14ac:dyDescent="0.9">
      <c r="C32" s="36" t="s">
        <v>856</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911</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912</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913</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914</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915</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s="118" t="s">
        <v>682</v>
      </c>
      <c r="F3" s="117"/>
      <c r="G3" s="117"/>
    </row>
    <row r="4" spans="1:19" x14ac:dyDescent="0.75">
      <c r="B4" s="73" t="s">
        <v>19</v>
      </c>
      <c r="C4" s="54" t="s">
        <v>877</v>
      </c>
      <c r="D4" s="73" t="s">
        <v>645</v>
      </c>
      <c r="E4" s="84" t="s">
        <v>685</v>
      </c>
    </row>
    <row r="5" spans="1:19" x14ac:dyDescent="0.75">
      <c r="B5" s="73" t="s">
        <v>13</v>
      </c>
      <c r="C5" s="10" t="s">
        <v>681</v>
      </c>
      <c r="D5" s="73"/>
      <c r="E5" s="10"/>
    </row>
    <row r="6" spans="1:19" x14ac:dyDescent="0.75">
      <c r="B6" s="73" t="s">
        <v>35</v>
      </c>
      <c r="C6" s="72" t="s">
        <v>682</v>
      </c>
      <c r="D6" s="73" t="s">
        <v>641</v>
      </c>
      <c r="E6" s="118" t="s">
        <v>682</v>
      </c>
      <c r="F6" s="117"/>
      <c r="G6" s="117"/>
    </row>
    <row r="7" spans="1:19" x14ac:dyDescent="0.75">
      <c r="B7" s="73" t="s">
        <v>18</v>
      </c>
      <c r="C7" s="80" t="s">
        <v>637</v>
      </c>
      <c r="D7" s="73" t="s">
        <v>642</v>
      </c>
      <c r="E7" s="118" t="s">
        <v>685</v>
      </c>
      <c r="F7" s="117"/>
      <c r="G7" s="117"/>
    </row>
    <row r="8" spans="1:19" ht="44.25" x14ac:dyDescent="0.75">
      <c r="B8" s="73" t="s">
        <v>635</v>
      </c>
      <c r="C8" s="10" t="s">
        <v>683</v>
      </c>
      <c r="D8" s="73"/>
      <c r="E8"/>
      <c r="I8" s="14" t="s">
        <v>607</v>
      </c>
      <c r="J8" s="14" t="s">
        <v>608</v>
      </c>
      <c r="K8" s="14" t="s">
        <v>609</v>
      </c>
      <c r="L8" s="14" t="s">
        <v>610</v>
      </c>
      <c r="M8" s="9" t="s">
        <v>611</v>
      </c>
      <c r="P8" s="69" t="s">
        <v>612</v>
      </c>
      <c r="Q8" s="69">
        <v>6</v>
      </c>
    </row>
    <row r="9" spans="1:19" ht="29.5" x14ac:dyDescent="0.75">
      <c r="B9" s="73" t="s">
        <v>636</v>
      </c>
      <c r="C9" s="1" t="s">
        <v>684</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'A1.4 Recipient'!B5</f>
        <v>Recipient</v>
      </c>
      <c r="C14" s="9"/>
      <c r="D14" t="s">
        <v>770</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783</v>
      </c>
      <c r="E15" s="62"/>
      <c r="F15" s="75" t="s">
        <v>618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784</v>
      </c>
      <c r="E16" s="62"/>
      <c r="F16" s="75" t="s">
        <v>618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785</v>
      </c>
      <c r="E17" s="9"/>
      <c r="F17" s="75" t="s">
        <v>618</v>
      </c>
      <c r="G17" s="75" t="s">
        <v>867</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786</v>
      </c>
      <c r="E18" s="9"/>
      <c r="F18" s="75" t="s">
        <v>618</v>
      </c>
      <c r="G18" s="75" t="s">
        <v>868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870</v>
      </c>
      <c r="E19" s="9"/>
      <c r="F19" s="75" t="s">
        <v>619</v>
      </c>
      <c r="G19" s="75" t="s">
        <v>869</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872</v>
      </c>
      <c r="E20" s="9"/>
      <c r="F20" s="75" t="s">
        <v>619</v>
      </c>
      <c r="G20" s="75" t="s">
        <v>869</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871</v>
      </c>
      <c r="E21" s="9"/>
      <c r="F21" s="75" t="s">
        <v>619</v>
      </c>
      <c r="G21" s="75" t="s">
        <v>869</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686</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893</v>
      </c>
      <c r="I6" s="26" t="str">
        <f>CONCATENATE("Title: ##34#",B6,"##34#")</f>
        <v>Title: ##34#A.1.5 - Author##34#</v>
      </c>
    </row>
    <row r="7" spans="1:11" ht="45" customHeight="1" x14ac:dyDescent="0.75">
      <c r="A7" s="46" t="s">
        <v>5</v>
      </c>
      <c r="B7" s="58" t="s">
        <v>887</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916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84" t="s">
        <v>691</v>
      </c>
    </row>
    <row r="4" spans="1:19" x14ac:dyDescent="0.75">
      <c r="B4" s="73" t="s">
        <v>19</v>
      </c>
      <c r="C4" s="54" t="s">
        <v>816</v>
      </c>
      <c r="D4" s="73" t="s">
        <v>645</v>
      </c>
      <c r="E4" s="118" t="s">
        <v>809</v>
      </c>
      <c r="F4" s="117"/>
      <c r="G4" s="117"/>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73.75" x14ac:dyDescent="0.75">
      <c r="A15" s="23"/>
      <c r="B15" s="62" t="s">
        <v>647</v>
      </c>
      <c r="C15" s="62" t="s">
        <v>387</v>
      </c>
      <c r="D15" s="14" t="s">
        <v>767</v>
      </c>
      <c r="E15" s="62"/>
      <c r="F15" s="75" t="s">
        <v>619</v>
      </c>
      <c r="G15" s="75" t="s">
        <v>656</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787</v>
      </c>
      <c r="E16" s="9"/>
      <c r="F16" s="75" t="s">
        <v>619</v>
      </c>
      <c r="G16" s="75" t="s">
        <v>656</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788</v>
      </c>
      <c r="E17" s="9"/>
      <c r="F17" s="75" t="s">
        <v>619</v>
      </c>
      <c r="G17" s="82" t="s">
        <v>920</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921</v>
      </c>
      <c r="E18" s="9"/>
      <c r="F18" s="75" t="s">
        <v>619</v>
      </c>
      <c r="G18" s="75" t="s">
        <v>922</v>
      </c>
      <c r="H18" s="76"/>
      <c r="I18" s="14" t="str">
        <f t="shared" si="14"/>
        <v>* group[=].element[+].code = #Author.name</v>
      </c>
      <c r="J18" s="14" t="str">
        <f t="shared" si="15"/>
        <v>* group[=].element[=].display = ##34#A.1.5.2 Author name##34#</v>
      </c>
      <c r="K18" s="14" t="str">
        <f t="shared" si="16"/>
        <v>* group[=].element[=].target.code = #DiagnosticReport.resultsInterpreter.Practitioner.name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resultsInterpreter.resolve().ofType(PractitionerRole).Practitioner.resolve().name##34#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789</v>
      </c>
      <c r="E19" s="9"/>
      <c r="F19" s="75" t="s">
        <v>619</v>
      </c>
      <c r="G19" s="75" t="s">
        <v>923</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resultsInterpreter.resolve().ofType(PractitionerRole).Practitioner.resolve().name##34#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687</v>
      </c>
      <c r="D3" s="73" t="s">
        <v>644</v>
      </c>
      <c r="E3" s="84" t="s">
        <v>691</v>
      </c>
    </row>
    <row r="4" spans="1:19" x14ac:dyDescent="0.75">
      <c r="B4" s="73" t="s">
        <v>19</v>
      </c>
      <c r="C4" s="54" t="s">
        <v>688</v>
      </c>
      <c r="D4" s="73" t="s">
        <v>645</v>
      </c>
      <c r="E4" t="str">
        <f>'Author-ConceptMap-1'!E4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7" t="s">
        <v>643</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752</v>
      </c>
      <c r="E15" s="62"/>
      <c r="F15" s="75" t="s">
        <v>619</v>
      </c>
      <c r="G15" s="75" t="s">
        <v>695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790</v>
      </c>
      <c r="E16" s="9"/>
      <c r="F16" s="75" t="s">
        <v>619</v>
      </c>
      <c r="G16" s="75" t="s">
        <v>695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791</v>
      </c>
      <c r="E17" s="9"/>
      <c r="F17" s="75" t="s">
        <v>619</v>
      </c>
      <c r="G17" s="75" t="s">
        <v>924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925</v>
      </c>
      <c r="E18" s="9"/>
      <c r="F18" s="75" t="s">
        <v>619</v>
      </c>
      <c r="G18" s="75" t="s">
        <v>926</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792</v>
      </c>
      <c r="E19" s="9"/>
      <c r="F19" s="75" t="s">
        <v>619</v>
      </c>
      <c r="G19" s="75" t="s">
        <v>927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84" t="s">
        <v>691</v>
      </c>
    </row>
    <row r="4" spans="1:19" x14ac:dyDescent="0.75">
      <c r="B4" s="73" t="s">
        <v>19</v>
      </c>
      <c r="C4" s="54" t="s">
        <v>816</v>
      </c>
      <c r="D4" s="73" t="s">
        <v>645</v>
      </c>
      <c r="E4" t="str">
        <f>'Author-ConceptMap-2'!E4</f>
        <v>http://hl7.eu/fhir/laboratory/StructureDefinition/Bundle-eu-lab</v>
      </c>
    </row>
    <row r="5" spans="1:19" x14ac:dyDescent="0.75">
      <c r="B5" s="73" t="s">
        <v>13</v>
      </c>
      <c r="C5" s="10" t="s">
        <v>692</v>
      </c>
      <c r="D5" s="73"/>
      <c r="E5" s="10"/>
    </row>
    <row r="6" spans="1:19" x14ac:dyDescent="0.75">
      <c r="B6" s="73" t="s">
        <v>35</v>
      </c>
      <c r="C6" s="72"/>
      <c r="D6" s="73" t="s">
        <v>641</v>
      </c>
      <c r="E6" s="118" t="s">
        <v>691</v>
      </c>
      <c r="F6" s="117"/>
      <c r="G6" s="117"/>
    </row>
    <row r="7" spans="1:19" x14ac:dyDescent="0.75">
      <c r="B7" s="73" t="s">
        <v>18</v>
      </c>
      <c r="C7" s="80"/>
      <c r="D7" s="73" t="s">
        <v>642</v>
      </c>
      <c r="E7" s="118" t="s">
        <v>648</v>
      </c>
      <c r="F7" s="117"/>
      <c r="G7" s="117"/>
    </row>
    <row r="8" spans="1:19" ht="44.25" x14ac:dyDescent="0.75">
      <c r="B8" s="73" t="s">
        <v>635</v>
      </c>
      <c r="C8" s="10" t="s">
        <v>689</v>
      </c>
      <c r="D8" s="73"/>
      <c r="E8" s="10"/>
      <c r="I8" s="14" t="s">
        <v>607</v>
      </c>
      <c r="J8" s="14" t="s">
        <v>608</v>
      </c>
      <c r="K8" s="14" t="s">
        <v>609</v>
      </c>
      <c r="L8" s="14" t="s">
        <v>610</v>
      </c>
      <c r="M8" s="9" t="s">
        <v>611</v>
      </c>
      <c r="P8" s="69" t="s">
        <v>612</v>
      </c>
      <c r="Q8" s="69">
        <v>6</v>
      </c>
    </row>
    <row r="9" spans="1:19" ht="29.5" x14ac:dyDescent="0.75">
      <c r="B9" s="73" t="s">
        <v>636</v>
      </c>
      <c r="C9" s="1" t="s">
        <v>690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793</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794</v>
      </c>
      <c r="E16" s="9"/>
      <c r="F16" s="75" t="s">
        <v>618</v>
      </c>
      <c r="G16" s="75" t="s">
        <v>928</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929</v>
      </c>
      <c r="E17" s="9"/>
      <c r="F17" s="75" t="s">
        <v>618</v>
      </c>
      <c r="G17" s="14" t="s">
        <v>930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##34#author.ofType(PractitionerRole).Practitioner.resolve().name##34#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795</v>
      </c>
      <c r="E18" s="9"/>
      <c r="F18" s="75" t="s">
        <v>618</v>
      </c>
      <c r="G18" s="14" t="s">
        <v>931</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##34#author.ofType(PractitionerRole).Practitioner.resolve().name##34#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693</v>
      </c>
    </row>
    <row r="3" spans="2:7" x14ac:dyDescent="0.75">
      <c r="B3" s="33" t="s">
        <v>37</v>
      </c>
    </row>
    <row r="4" spans="2:7" x14ac:dyDescent="0.75">
      <c r="B4" s="77" t="str">
        <f>"Instance: "&amp;'Author-ConceptMap-1'!C4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624</v>
      </c>
    </row>
    <row r="11" spans="2:7" x14ac:dyDescent="0.75">
      <c r="B11" s="77" t="s">
        <v>625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##34#author.ofType(PractitionerRole).Practitioner.resolve().name##34#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resultsInterpreter.resolve().ofType(PractitionerRole).Practitioner.resolve().name##34#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x14ac:dyDescent="0.75">
      <c r="B82" s="14" t="str">
        <f>IF('Author-ConceptMap-1'!S44=0,"//---END",'Author-ConceptMap-1'!S44)</f>
        <v>* group[=].element[=].target.comment = ##34#If the author is the interpreter: resultsInterpreter.resolve().ofType(PractitionerRole).organization.resolve()##34#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x14ac:dyDescent="0.75">
      <c r="B112" s="14" t="str">
        <f>IF('Author-ConceptMap-2'!S32=0,"//---END",'Author-ConceptMap-2'!S32)</f>
        <v>* group[=].element[=].target.comment = ##34#If the author is the performer: performer.resolve().ofType(PractitionerRole).Practitioner.resolve().nameù##34#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895</v>
      </c>
      <c r="I6" s="26" t="str">
        <f>CONCATENATE("Title: ##34#",B6,"##34#")</f>
        <v>Title: ##34#A.1.6 - Legal authenticator##34#</v>
      </c>
    </row>
    <row r="7" spans="1:11" ht="44.25" x14ac:dyDescent="0.75">
      <c r="A7" s="46" t="s">
        <v>5</v>
      </c>
      <c r="B7" s="58" t="s">
        <v>888</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932</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933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934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935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916</v>
      </c>
    </row>
    <row r="31" spans="1:15" x14ac:dyDescent="0.75">
      <c r="C31" s="9" t="s">
        <v>917</v>
      </c>
      <c r="E31" s="22"/>
    </row>
    <row r="32" spans="1:15" x14ac:dyDescent="0.75">
      <c r="C32" s="9" t="s">
        <v>918</v>
      </c>
    </row>
    <row r="33" spans="3:3" x14ac:dyDescent="0.75">
      <c r="C33" s="9" t="s">
        <v>919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707</v>
      </c>
      <c r="D3" s="73" t="s">
        <v>644</v>
      </c>
      <c r="E3" s="118" t="str">
        <f>"http://hl7.eu/fhir/laboratory/StructureDefinition/"&amp;'A1.6 LegalAuth'!B5</f>
        <v>http://hl7.eu/fhir/laboratory/StructureDefinition/LegalAuthenticator</v>
      </c>
      <c r="F3" s="117"/>
      <c r="G3" s="117"/>
    </row>
    <row r="4" spans="1:19" x14ac:dyDescent="0.75">
      <c r="B4" s="73" t="s">
        <v>19</v>
      </c>
      <c r="C4" s="54" t="s">
        <v>878</v>
      </c>
      <c r="D4" s="73" t="s">
        <v>645</v>
      </c>
      <c r="E4" s="118" t="s">
        <v>648</v>
      </c>
      <c r="F4" s="117"/>
      <c r="G4" s="117"/>
    </row>
    <row r="5" spans="1:19" x14ac:dyDescent="0.75">
      <c r="B5" s="73" t="s">
        <v>13</v>
      </c>
      <c r="C5" s="10" t="s">
        <v>681</v>
      </c>
      <c r="D5" s="73"/>
      <c r="E5" s="10"/>
    </row>
    <row r="6" spans="1:19" x14ac:dyDescent="0.75">
      <c r="B6" s="73" t="s">
        <v>35</v>
      </c>
      <c r="C6" s="72"/>
      <c r="D6" s="73" t="s">
        <v>641</v>
      </c>
      <c r="E6" s="118" t="str">
        <f>E3</f>
        <v>http://hl7.eu/fhir/laboratory/StructureDefinition/LegalAuthenticator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696</v>
      </c>
      <c r="D8" s="73"/>
      <c r="E8"/>
      <c r="I8" s="14" t="s">
        <v>607</v>
      </c>
      <c r="J8" s="14" t="s">
        <v>608</v>
      </c>
      <c r="K8" s="14" t="s">
        <v>609</v>
      </c>
      <c r="L8" s="14" t="s">
        <v>610</v>
      </c>
      <c r="M8" s="9" t="s">
        <v>611</v>
      </c>
      <c r="P8" s="69" t="s">
        <v>612</v>
      </c>
      <c r="Q8" s="69">
        <v>6</v>
      </c>
    </row>
    <row r="9" spans="1:19" ht="29.5" x14ac:dyDescent="0.75">
      <c r="B9" s="73" t="s">
        <v>636</v>
      </c>
      <c r="C9" s="1" t="s">
        <v>697</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718</v>
      </c>
      <c r="I14" s="14"/>
      <c r="J14" s="9"/>
      <c r="K14" s="9"/>
      <c r="L14" s="9"/>
      <c r="M14" s="71"/>
      <c r="N14" s="74"/>
    </row>
    <row r="15" spans="1:19" ht="73.75" x14ac:dyDescent="0.75">
      <c r="A15" s="23"/>
      <c r="B15" s="9" t="str">
        <f>'A1.6 LegalAuth'!B8</f>
        <v>identifier</v>
      </c>
      <c r="C15" s="9" t="str">
        <f>'A1.6 LegalAuth'!C8</f>
        <v>A.1.6.1 Legal authenticator identifier</v>
      </c>
      <c r="D15" s="14" t="s">
        <v>796</v>
      </c>
      <c r="E15" s="9"/>
      <c r="F15" s="75" t="s">
        <v>618</v>
      </c>
      <c r="G15" t="s">
        <v>797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798</v>
      </c>
      <c r="E16" s="9"/>
      <c r="F16" s="75" t="s">
        <v>618</v>
      </c>
      <c r="G16" s="14" t="s">
        <v>936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937</v>
      </c>
      <c r="E17" s="9"/>
      <c r="F17" s="75" t="s">
        <v>618</v>
      </c>
      <c r="G17" s="14" t="s">
        <v>938</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799</v>
      </c>
      <c r="E18" s="9"/>
      <c r="F18" s="75" t="s">
        <v>618</v>
      </c>
      <c r="G18" s="14" t="s">
        <v>939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800</v>
      </c>
      <c r="E19" s="9"/>
      <c r="F19" s="75" t="s">
        <v>618</v>
      </c>
      <c r="G19" s="14" t="s">
        <v>801</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tabSelected="1"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694</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896</v>
      </c>
      <c r="I6" s="26" t="str">
        <f>CONCATENATE("Title: ##34#",B6,"##34#")</f>
        <v>Title: ##34#A.1.7 - Result validator##34#</v>
      </c>
    </row>
    <row r="7" spans="1:11" x14ac:dyDescent="0.75">
      <c r="A7" s="46" t="s">
        <v>5</v>
      </c>
      <c r="B7" s="58" t="s">
        <v>889</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932</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933</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934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935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711</v>
      </c>
      <c r="D3" s="73" t="s">
        <v>644</v>
      </c>
      <c r="E3" s="118" t="str">
        <f>"http://hl7.eu/fhir/laboratory/StructureDefinition/"&amp;'A1.7 Validator'!B5</f>
        <v>http://hl7.eu/fhir/laboratory/StructureDefinition/Validator</v>
      </c>
      <c r="F3" s="117"/>
      <c r="G3" s="117"/>
    </row>
    <row r="4" spans="1:19" x14ac:dyDescent="0.75">
      <c r="B4" s="73" t="s">
        <v>19</v>
      </c>
      <c r="C4" s="54" t="s">
        <v>879</v>
      </c>
      <c r="D4" s="73" t="s">
        <v>645</v>
      </c>
      <c r="E4" s="118" t="s">
        <v>648</v>
      </c>
      <c r="F4" s="117"/>
      <c r="G4" s="117"/>
    </row>
    <row r="5" spans="1:19" x14ac:dyDescent="0.75">
      <c r="B5" s="73" t="s">
        <v>13</v>
      </c>
      <c r="C5" s="10" t="s">
        <v>698</v>
      </c>
      <c r="D5" s="73"/>
      <c r="E5" s="10"/>
    </row>
    <row r="6" spans="1:19" x14ac:dyDescent="0.75">
      <c r="B6" s="73" t="s">
        <v>35</v>
      </c>
      <c r="C6" s="72"/>
      <c r="D6" s="73" t="s">
        <v>641</v>
      </c>
      <c r="E6" s="118" t="str">
        <f>E3</f>
        <v>http://hl7.eu/fhir/laboratory/StructureDefinition/Validator</v>
      </c>
      <c r="F6" s="117"/>
      <c r="G6" s="117"/>
    </row>
    <row r="7" spans="1:19" x14ac:dyDescent="0.75">
      <c r="B7" s="73" t="s">
        <v>18</v>
      </c>
      <c r="C7" s="80"/>
      <c r="D7" s="73" t="s">
        <v>642</v>
      </c>
      <c r="E7" s="118" t="str">
        <f>E4</f>
        <v>http://hl7.eu/fhir/laboratory/StructureDefinition/Composition-eu-lab</v>
      </c>
      <c r="F7" s="117"/>
      <c r="G7" s="117"/>
    </row>
    <row r="8" spans="1:19" ht="44.25" x14ac:dyDescent="0.75">
      <c r="B8" s="73" t="s">
        <v>635</v>
      </c>
      <c r="C8" s="10" t="s">
        <v>699</v>
      </c>
      <c r="D8" s="73"/>
      <c r="E8"/>
      <c r="I8" s="14" t="s">
        <v>607</v>
      </c>
      <c r="J8" s="14" t="s">
        <v>608</v>
      </c>
      <c r="K8" s="14" t="s">
        <v>609</v>
      </c>
      <c r="L8" s="14" t="s">
        <v>610</v>
      </c>
      <c r="M8" s="9" t="s">
        <v>611</v>
      </c>
      <c r="P8" s="69" t="s">
        <v>612</v>
      </c>
      <c r="Q8" s="69">
        <v>6</v>
      </c>
    </row>
    <row r="9" spans="1:19" ht="29.5" x14ac:dyDescent="0.75">
      <c r="B9" s="73" t="s">
        <v>636</v>
      </c>
      <c r="C9" s="1" t="s">
        <v>700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720</v>
      </c>
      <c r="E14" s="8"/>
      <c r="F14" s="9"/>
      <c r="G14" t="s">
        <v>720</v>
      </c>
      <c r="I14" s="14"/>
      <c r="J14" s="9"/>
      <c r="K14" s="9"/>
      <c r="L14" s="9"/>
      <c r="M14" s="71"/>
      <c r="N14" s="74"/>
    </row>
    <row r="15" spans="1:19" ht="88.5" x14ac:dyDescent="0.75">
      <c r="A15" s="23"/>
      <c r="B15" s="9" t="str">
        <f>'A1.7 Validator'!B8</f>
        <v>identifier</v>
      </c>
      <c r="C15" s="9" t="str">
        <f>'A1.7 Validator'!C8</f>
        <v>A.1.7.1 Result validator identifier</v>
      </c>
      <c r="D15" s="14" t="s">
        <v>721</v>
      </c>
      <c r="E15" s="14" t="s">
        <v>796</v>
      </c>
      <c r="F15" s="75" t="s">
        <v>618</v>
      </c>
      <c r="G15" t="s">
        <v>802</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940</v>
      </c>
      <c r="E16" s="14" t="s">
        <v>798</v>
      </c>
      <c r="F16" s="75" t="s">
        <v>618</v>
      </c>
      <c r="G16" s="14" t="s">
        <v>941</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942</v>
      </c>
      <c r="E17" s="14" t="s">
        <v>937</v>
      </c>
      <c r="F17" s="75" t="s">
        <v>618</v>
      </c>
      <c r="G17" s="14" t="s">
        <v>943</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#Composition.attester.where(mode='professional').party.resolve().ofType(PractitionerRole).Practitioner.resolve().name</v>
      </c>
      <c r="L17" s="14" t="str">
        <f t="shared" si="8"/>
        <v>* group[=].element[=].target.display = ##34#attester.party.Practitioner.name##34#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944</v>
      </c>
      <c r="E18" s="14" t="s">
        <v>799</v>
      </c>
      <c r="F18" s="75" t="s">
        <v>618</v>
      </c>
      <c r="G18" s="14" t="s">
        <v>945</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719</v>
      </c>
      <c r="E19" s="9" t="s">
        <v>800</v>
      </c>
      <c r="F19" s="75" t="s">
        <v>618</v>
      </c>
      <c r="G19" s="14" t="s">
        <v>803</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#Composition.attester.where(mode='professional').party.resolve().ofType(PractitionerRole).Practitioner.resolve().name</v>
      </c>
    </row>
    <row r="30" spans="1:19" x14ac:dyDescent="0.75">
      <c r="P30" s="9">
        <v>16</v>
      </c>
      <c r="Q30" s="9">
        <f t="shared" si="11"/>
        <v>2</v>
      </c>
      <c r="R30" s="9">
        <f t="shared" si="12"/>
        <v>4</v>
      </c>
      <c r="S30" s="14" t="str" cm="1">
        <f t="array" ref="S30">INDEX('Validator-ConceptMap-1'!$I$15:$N$99,Q30+1,R30)</f>
        <v>* group[=].element[=].target.display = ##34#attester.party.Practitioner.name##34#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#Composition.attester.where(mode='professional').party.resolve().ofType(PractitionerRole).Practitioner.resolve().name</v>
      </c>
    </row>
    <row r="35" spans="2:2" x14ac:dyDescent="0.75">
      <c r="B35" s="14" t="str">
        <f>IF('Validator-ConceptMap-1'!S30=0,"//---END",'Validator-ConceptMap-1'!S30)</f>
        <v>* group[=].element[=].target.display = ##34#attester.party.Practitioner.name##34#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702</v>
      </c>
      <c r="I6" s="26" t="str">
        <f>CONCATENATE("Title: ##34#",B6,"##34#")</f>
        <v>Title: ##34#A2, A3 - Order##34#</v>
      </c>
    </row>
    <row r="7" spans="1:11" x14ac:dyDescent="0.75">
      <c r="A7" s="46" t="s">
        <v>5</v>
      </c>
      <c r="B7" s="19" t="s">
        <v>890</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946</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947</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948</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949</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950</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951</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708</v>
      </c>
      <c r="D3" s="73" t="s">
        <v>644</v>
      </c>
      <c r="E3" t="str">
        <f>"http://hl7.eu/fhir/laboratory/StructureDefinition/"&amp;'A2 Order'!B5</f>
        <v>http://hl7.eu/fhir/laboratory/StructureDefinition/Order</v>
      </c>
    </row>
    <row r="4" spans="1:19" x14ac:dyDescent="0.75">
      <c r="B4" s="73" t="s">
        <v>19</v>
      </c>
      <c r="C4" s="54" t="s">
        <v>880</v>
      </c>
      <c r="D4" s="73" t="s">
        <v>645</v>
      </c>
      <c r="E4" s="117" t="s">
        <v>672</v>
      </c>
      <c r="F4" s="117"/>
      <c r="G4" s="117"/>
    </row>
    <row r="5" spans="1:19" x14ac:dyDescent="0.75">
      <c r="B5" s="73" t="s">
        <v>13</v>
      </c>
      <c r="C5" s="10" t="s">
        <v>709</v>
      </c>
      <c r="D5" s="73"/>
      <c r="E5" s="10"/>
    </row>
    <row r="6" spans="1:19" x14ac:dyDescent="0.75">
      <c r="B6" s="73" t="s">
        <v>35</v>
      </c>
      <c r="C6" s="72" t="s">
        <v>634</v>
      </c>
      <c r="D6" s="73" t="s">
        <v>641</v>
      </c>
      <c r="E6" s="117" t="str">
        <f>E3</f>
        <v>http://hl7.eu/fhir/laboratory/StructureDefinition/Order</v>
      </c>
      <c r="F6" s="117"/>
      <c r="G6" s="117"/>
    </row>
    <row r="7" spans="1:19" x14ac:dyDescent="0.75">
      <c r="B7" s="73" t="s">
        <v>18</v>
      </c>
      <c r="C7" s="80" t="s">
        <v>637</v>
      </c>
      <c r="D7" s="73" t="s">
        <v>642</v>
      </c>
      <c r="E7" s="117" t="s">
        <v>672</v>
      </c>
      <c r="F7" s="117"/>
      <c r="G7" s="117"/>
    </row>
    <row r="8" spans="1:19" ht="44.25" x14ac:dyDescent="0.75">
      <c r="B8" s="73" t="s">
        <v>635</v>
      </c>
      <c r="C8" s="10" t="s">
        <v>709</v>
      </c>
      <c r="D8" s="73"/>
      <c r="E8" s="10"/>
      <c r="I8" s="14" t="s">
        <v>607</v>
      </c>
      <c r="J8" s="14" t="s">
        <v>608</v>
      </c>
      <c r="K8" s="14" t="s">
        <v>609</v>
      </c>
      <c r="L8" s="14" t="s">
        <v>610</v>
      </c>
      <c r="M8" s="9" t="s">
        <v>611</v>
      </c>
      <c r="P8" s="69" t="s">
        <v>612</v>
      </c>
      <c r="Q8" s="69">
        <v>6</v>
      </c>
    </row>
    <row r="9" spans="1:19" ht="29.5" x14ac:dyDescent="0.75">
      <c r="B9" s="73" t="s">
        <v>636</v>
      </c>
      <c r="C9" s="1" t="s">
        <v>710</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713</v>
      </c>
      <c r="E17" s="9"/>
      <c r="F17" s="75" t="s">
        <v>619</v>
      </c>
      <c r="G17" s="75" t="s">
        <v>714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715</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804</v>
      </c>
      <c r="E19" s="9"/>
      <c r="F19" s="75" t="s">
        <v>619</v>
      </c>
      <c r="G19" s="75" t="s">
        <v>714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805</v>
      </c>
      <c r="E20" s="9"/>
      <c r="F20" s="75" t="s">
        <v>619</v>
      </c>
      <c r="G20" s="14" t="s">
        <v>952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953</v>
      </c>
      <c r="E21" s="9"/>
      <c r="F21" s="75" t="s">
        <v>619</v>
      </c>
      <c r="G21" s="14" t="s">
        <v>954</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806</v>
      </c>
      <c r="E22" s="9"/>
      <c r="F22" s="75" t="s">
        <v>619</v>
      </c>
      <c r="G22" s="14" t="s">
        <v>955</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807</v>
      </c>
      <c r="E23" s="9"/>
      <c r="F23" s="75" t="s">
        <v>619</v>
      </c>
      <c r="G23" s="14" t="s">
        <v>956</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806</v>
      </c>
      <c r="E24" s="9"/>
      <c r="F24" s="75" t="s">
        <v>619</v>
      </c>
      <c r="G24" s="14" t="s">
        <v>957</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808</v>
      </c>
      <c r="E25" s="9"/>
      <c r="F25" s="75" t="s">
        <v>618</v>
      </c>
      <c r="G25" s="14" t="s">
        <v>958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716</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717</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716</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703</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826</v>
      </c>
      <c r="I6" s="26" t="str">
        <f>CONCATENATE("Title: ##34#",B6,"##34#")</f>
        <v>Title: ##34#A.4 - Specimen information##34#</v>
      </c>
    </row>
    <row r="7" spans="1:11" x14ac:dyDescent="0.75">
      <c r="A7" s="46" t="s">
        <v>5</v>
      </c>
      <c r="B7" s="19" t="s">
        <v>891</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730</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722</v>
      </c>
      <c r="D3" s="73" t="s">
        <v>644</v>
      </c>
      <c r="E3" s="84" t="str">
        <f>"http://hl7.eu/fhir/laboratory/StructureDefinition/"&amp;'A.4 Specimen'!B5</f>
        <v>http://hl7.eu/fhir/laboratory/StructureDefinition/SpecimenLab</v>
      </c>
    </row>
    <row r="4" spans="1:19" x14ac:dyDescent="0.75">
      <c r="B4" s="73" t="s">
        <v>19</v>
      </c>
      <c r="C4" s="54" t="s">
        <v>881</v>
      </c>
      <c r="D4" s="73" t="s">
        <v>645</v>
      </c>
      <c r="E4" s="118" t="s">
        <v>910</v>
      </c>
      <c r="F4" s="117"/>
      <c r="G4" s="117"/>
    </row>
    <row r="5" spans="1:19" x14ac:dyDescent="0.75">
      <c r="B5" s="73" t="s">
        <v>13</v>
      </c>
      <c r="C5" s="10" t="s">
        <v>723</v>
      </c>
      <c r="D5" s="73"/>
      <c r="E5" s="10"/>
    </row>
    <row r="6" spans="1:19" x14ac:dyDescent="0.75">
      <c r="B6" s="73" t="s">
        <v>35</v>
      </c>
      <c r="C6" s="72"/>
      <c r="D6" s="73" t="s">
        <v>641</v>
      </c>
      <c r="E6" s="118" t="str">
        <f>E3</f>
        <v>http://hl7.eu/fhir/laboratory/StructureDefinition/SpecimenLab</v>
      </c>
      <c r="F6" s="117"/>
      <c r="G6" s="117"/>
    </row>
    <row r="7" spans="1:19" x14ac:dyDescent="0.75">
      <c r="B7" s="73" t="s">
        <v>18</v>
      </c>
      <c r="C7" s="80"/>
      <c r="D7" s="73" t="s">
        <v>642</v>
      </c>
      <c r="E7" s="118" t="s">
        <v>910</v>
      </c>
      <c r="F7" s="117"/>
      <c r="G7" s="117"/>
    </row>
    <row r="8" spans="1:19" ht="44.25" x14ac:dyDescent="0.75">
      <c r="B8" s="73" t="s">
        <v>635</v>
      </c>
      <c r="C8" s="53" t="s">
        <v>724</v>
      </c>
      <c r="D8" s="73"/>
      <c r="E8" s="10"/>
      <c r="I8" s="14" t="s">
        <v>607</v>
      </c>
      <c r="J8" s="14" t="s">
        <v>608</v>
      </c>
      <c r="K8" s="14" t="s">
        <v>609</v>
      </c>
      <c r="L8" s="14" t="s">
        <v>610</v>
      </c>
      <c r="M8" s="9" t="s">
        <v>611</v>
      </c>
      <c r="P8" s="69" t="s">
        <v>612</v>
      </c>
      <c r="Q8" s="69">
        <v>6</v>
      </c>
    </row>
    <row r="9" spans="1:19" ht="29.5" x14ac:dyDescent="0.75">
      <c r="B9" s="73" t="s">
        <v>636</v>
      </c>
      <c r="C9" s="14" t="s">
        <v>725</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726</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827</v>
      </c>
      <c r="E16" s="9"/>
      <c r="F16" s="75" t="s">
        <v>619</v>
      </c>
      <c r="G16" s="75" t="s">
        <v>898</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727</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729</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731</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909</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908</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906</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732</v>
      </c>
      <c r="E23" s="9"/>
      <c r="F23" s="75" t="s">
        <v>619</v>
      </c>
      <c r="G23" s="96" t="s">
        <v>907</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732</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733</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734</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825</v>
      </c>
      <c r="I6" s="26" t="str">
        <f>CONCATENATE("Title: ##34#",B6,"##34#")</f>
        <v>Title: ##34#A.5 - Results data elements##34#</v>
      </c>
    </row>
    <row r="7" spans="1:11" x14ac:dyDescent="0.75">
      <c r="A7" s="46" t="s">
        <v>5</v>
      </c>
      <c r="B7" s="14" t="s">
        <v>892</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84" t="str">
        <f>"http://hl7.eu/fhir/laboratory/StructureDefinition/"&amp;'A.5 Results'!B5</f>
        <v>http://hl7.eu/fhir/laboratory/StructureDefinition/Result</v>
      </c>
    </row>
    <row r="4" spans="1:19" x14ac:dyDescent="0.75">
      <c r="B4" s="73" t="s">
        <v>19</v>
      </c>
      <c r="C4" s="54" t="s">
        <v>821</v>
      </c>
      <c r="D4" s="73" t="s">
        <v>645</v>
      </c>
      <c r="E4" s="118" t="s">
        <v>809</v>
      </c>
      <c r="F4" s="117"/>
      <c r="G4" s="117"/>
    </row>
    <row r="5" spans="1:19" x14ac:dyDescent="0.75">
      <c r="B5" s="73" t="s">
        <v>13</v>
      </c>
      <c r="C5" s="10" t="s">
        <v>736</v>
      </c>
      <c r="D5" s="73"/>
      <c r="E5"/>
    </row>
    <row r="6" spans="1:19" x14ac:dyDescent="0.75">
      <c r="B6" s="73" t="s">
        <v>35</v>
      </c>
      <c r="C6" s="72"/>
      <c r="D6" s="73" t="s">
        <v>641</v>
      </c>
      <c r="E6" s="118" t="str">
        <f>E3</f>
        <v>http://hl7.eu/fhir/laboratory/StructureDefinition/Result</v>
      </c>
      <c r="F6" s="117"/>
      <c r="G6" s="117"/>
    </row>
    <row r="7" spans="1:19" x14ac:dyDescent="0.75">
      <c r="B7" s="73" t="s">
        <v>18</v>
      </c>
      <c r="C7" s="80"/>
      <c r="D7" s="73" t="s">
        <v>642</v>
      </c>
      <c r="E7" s="118" t="s">
        <v>643</v>
      </c>
      <c r="F7" s="117"/>
      <c r="G7" s="117"/>
    </row>
    <row r="8" spans="1:19" ht="44.25" x14ac:dyDescent="0.75">
      <c r="B8" s="73" t="s">
        <v>635</v>
      </c>
      <c r="C8" s="53" t="s">
        <v>737</v>
      </c>
      <c r="D8" s="73"/>
      <c r="E8" s="10"/>
      <c r="I8" s="14" t="s">
        <v>607</v>
      </c>
      <c r="J8" s="14" t="s">
        <v>608</v>
      </c>
      <c r="K8" s="14" t="s">
        <v>609</v>
      </c>
      <c r="L8" s="14" t="s">
        <v>610</v>
      </c>
      <c r="M8" s="9" t="s">
        <v>611</v>
      </c>
      <c r="P8" s="69" t="s">
        <v>612</v>
      </c>
      <c r="Q8" s="69">
        <v>6</v>
      </c>
    </row>
    <row r="9" spans="1:19" ht="29.5" x14ac:dyDescent="0.75">
      <c r="B9" s="73" t="s">
        <v>636</v>
      </c>
      <c r="C9" s="14" t="s">
        <v>738</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739</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740</v>
      </c>
      <c r="E17" s="9"/>
      <c r="F17" s="75" t="s">
        <v>619</v>
      </c>
      <c r="G17" s="75" t="s">
        <v>744</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741</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741</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741</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741</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741</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741</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741</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741</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741</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741</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741</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741</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741</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741</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741</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648</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739</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745</v>
      </c>
      <c r="E17" s="9"/>
      <c r="F17" s="75" t="s">
        <v>619</v>
      </c>
      <c r="G17" s="75" t="s">
        <v>742</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746</v>
      </c>
      <c r="E18" s="9"/>
      <c r="F18" s="75" t="s">
        <v>619</v>
      </c>
      <c r="G18" s="75" t="s">
        <v>743</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745</v>
      </c>
      <c r="E19" s="9"/>
      <c r="F19" s="75" t="s">
        <v>619</v>
      </c>
      <c r="G19" s="75" t="s">
        <v>742</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746</v>
      </c>
      <c r="E20" s="9"/>
      <c r="F20" s="75" t="s">
        <v>619</v>
      </c>
      <c r="G20" s="75" t="s">
        <v>743</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761</v>
      </c>
      <c r="E21" s="9"/>
      <c r="F21" s="75" t="s">
        <v>619</v>
      </c>
      <c r="G21" s="75" t="s">
        <v>742</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762</v>
      </c>
      <c r="E22" s="9"/>
      <c r="F22" s="75" t="s">
        <v>619</v>
      </c>
      <c r="G22" s="75" t="s">
        <v>743</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761</v>
      </c>
      <c r="E23" s="9"/>
      <c r="F23" s="75" t="s">
        <v>619</v>
      </c>
      <c r="G23" s="75" t="s">
        <v>741</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761</v>
      </c>
      <c r="E24" s="9"/>
      <c r="F24" s="75" t="s">
        <v>619</v>
      </c>
      <c r="G24" s="75" t="s">
        <v>741</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761</v>
      </c>
      <c r="E25" s="9"/>
      <c r="F25" s="75" t="s">
        <v>619</v>
      </c>
      <c r="G25" s="75" t="s">
        <v>741</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761</v>
      </c>
      <c r="E26" s="9"/>
      <c r="F26" s="75" t="s">
        <v>619</v>
      </c>
      <c r="G26" s="75" t="s">
        <v>741</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761</v>
      </c>
      <c r="E27" s="9"/>
      <c r="F27" s="75" t="s">
        <v>619</v>
      </c>
      <c r="G27" s="75" t="s">
        <v>741</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761</v>
      </c>
      <c r="E28" s="9"/>
      <c r="F28" s="75" t="s">
        <v>619</v>
      </c>
      <c r="G28" s="75" t="s">
        <v>741</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761</v>
      </c>
      <c r="E29" s="14"/>
      <c r="F29" s="75" t="s">
        <v>619</v>
      </c>
      <c r="G29" s="75" t="s">
        <v>741</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761</v>
      </c>
      <c r="E30" s="14"/>
      <c r="F30" s="75" t="s">
        <v>619</v>
      </c>
      <c r="G30" s="75" t="s">
        <v>741</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761</v>
      </c>
      <c r="E31" s="14"/>
      <c r="F31" s="75" t="s">
        <v>619</v>
      </c>
      <c r="G31" s="75" t="s">
        <v>741</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761</v>
      </c>
      <c r="E32" s="14"/>
      <c r="F32" s="75" t="s">
        <v>619</v>
      </c>
      <c r="G32" s="75" t="s">
        <v>741</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761</v>
      </c>
      <c r="E33" s="14"/>
      <c r="F33" s="75" t="s">
        <v>619</v>
      </c>
      <c r="G33" s="75" t="s">
        <v>741</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761</v>
      </c>
      <c r="E34" s="14"/>
      <c r="F34" s="75" t="s">
        <v>619</v>
      </c>
      <c r="G34" s="75" t="s">
        <v>741</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761</v>
      </c>
      <c r="E35" s="14"/>
      <c r="F35" s="75" t="s">
        <v>619</v>
      </c>
      <c r="G35" s="75" t="s">
        <v>741</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761</v>
      </c>
      <c r="E36" s="14"/>
      <c r="F36" s="75" t="s">
        <v>619</v>
      </c>
      <c r="G36" s="75" t="s">
        <v>741</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18" t="str">
        <f>'Results-ConceptMap-1'!E6</f>
        <v>http://hl7.eu/fhir/laboratory/StructureDefinition/Result</v>
      </c>
      <c r="F6" s="117"/>
      <c r="G6" s="117"/>
    </row>
    <row r="7" spans="1:19" ht="15.5" thickBot="1" x14ac:dyDescent="0.9">
      <c r="B7" s="73" t="s">
        <v>18</v>
      </c>
      <c r="C7" s="85">
        <f>'Results-ConceptMap-1'!C7</f>
        <v>0</v>
      </c>
      <c r="D7" s="73" t="s">
        <v>642</v>
      </c>
      <c r="E7" s="118" t="s">
        <v>747</v>
      </c>
      <c r="F7" s="117"/>
      <c r="G7" s="117"/>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748</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749</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758</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811</v>
      </c>
      <c r="E21" s="9"/>
      <c r="F21" s="75" t="s">
        <v>619</v>
      </c>
      <c r="G21" s="75" t="s">
        <v>758</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810</v>
      </c>
      <c r="E22" s="9"/>
      <c r="F22" s="75" t="s">
        <v>619</v>
      </c>
      <c r="G22" s="75" t="s">
        <v>758</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755</v>
      </c>
      <c r="E23" s="9"/>
      <c r="F23" s="75" t="s">
        <v>618</v>
      </c>
      <c r="G23" s="82" t="s">
        <v>813</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754</v>
      </c>
      <c r="E24" s="9"/>
      <c r="F24" s="75" t="s">
        <v>618</v>
      </c>
      <c r="G24" s="82" t="s">
        <v>813</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755</v>
      </c>
      <c r="E25" s="9"/>
      <c r="F25" s="75" t="s">
        <v>618</v>
      </c>
      <c r="G25" s="82" t="s">
        <v>814</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812</v>
      </c>
      <c r="E26" s="9"/>
      <c r="F26" s="75" t="s">
        <v>618</v>
      </c>
      <c r="G26" s="82" t="s">
        <v>815</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750</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751</v>
      </c>
      <c r="E28" s="14"/>
      <c r="F28" s="75" t="s">
        <v>619</v>
      </c>
      <c r="G28" s="82" t="s">
        <v>903</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900</v>
      </c>
      <c r="E29" s="14"/>
      <c r="F29" s="75" t="s">
        <v>619</v>
      </c>
      <c r="G29" s="82" t="s">
        <v>904</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751</v>
      </c>
      <c r="E30" s="14"/>
      <c r="F30" s="75" t="s">
        <v>619</v>
      </c>
      <c r="G30" s="96" t="s">
        <v>901</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902</v>
      </c>
      <c r="E31" s="14"/>
      <c r="F31" s="75" t="s">
        <v>619</v>
      </c>
      <c r="G31" s="96" t="s">
        <v>905</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763</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752</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752</v>
      </c>
      <c r="E34" s="14"/>
      <c r="F34" s="75" t="s">
        <v>619</v>
      </c>
      <c r="G34" s="82" t="s">
        <v>818</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756</v>
      </c>
      <c r="E35" s="14"/>
      <c r="F35" s="75" t="s">
        <v>618</v>
      </c>
      <c r="G35" s="75" t="s">
        <v>758</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757</v>
      </c>
      <c r="E36" s="14"/>
      <c r="F36" s="75" t="s">
        <v>618</v>
      </c>
      <c r="G36" s="75" t="s">
        <v>758</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753</v>
      </c>
      <c r="E37" s="14"/>
      <c r="F37" s="75" t="s">
        <v>618</v>
      </c>
      <c r="G37" s="83" t="s">
        <v>758</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759</v>
      </c>
      <c r="E38" s="14"/>
      <c r="F38" s="75" t="s">
        <v>618</v>
      </c>
      <c r="G38" s="83" t="s">
        <v>758</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739</v>
      </c>
      <c r="E39" s="14"/>
      <c r="F39" s="75" t="s">
        <v>619</v>
      </c>
      <c r="G39" s="88" t="s">
        <v>728</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764</v>
      </c>
      <c r="E40" s="14"/>
      <c r="F40" s="75" t="s">
        <v>619</v>
      </c>
      <c r="G40" s="83" t="s">
        <v>959</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765</v>
      </c>
      <c r="E41" s="14"/>
      <c r="F41" s="75" t="s">
        <v>619</v>
      </c>
      <c r="G41" s="83" t="s">
        <v>819</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760</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2023-11-25T14:55:24Z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