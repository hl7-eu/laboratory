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CEABEEE6-45BD-4413-82F9-CE5482FBBD63}" xr6:coauthVersionLast="47" xr6:coauthVersionMax="47" xr10:uidLastSave="{00000000-0000-0000-0000-000000000000}"/>
  <bookViews>
    <workbookView xWindow="-90" yWindow="-21710" windowWidth="38620" windowHeight="21100" firstSheet="50" activeTab="51"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2" r:id="rId19"/>
    <sheet name="Payer-CM-fsh" sheetId="145" r:id="rId20"/>
    <sheet name="A1.4 Recipient" sheetId="115" r:id="rId21"/>
    <sheet name="Recipient-Map-1" sheetId="116" r:id="rId22"/>
    <sheet name="Recipient-fsh" sheetId="117" r:id="rId23"/>
    <sheet name="Recipient-ConceptMap-1" sheetId="146" r:id="rId24"/>
    <sheet name="Recipient-CM-fsh" sheetId="147" r:id="rId25"/>
    <sheet name="A1.5 Author" sheetId="124" r:id="rId26"/>
    <sheet name="Author-Map-1" sheetId="125" r:id="rId27"/>
    <sheet name="Author-fsh" sheetId="126" r:id="rId28"/>
    <sheet name="Author-ConceptMap-1" sheetId="148" r:id="rId29"/>
    <sheet name="Author-ConceptMap-2" sheetId="151" r:id="rId30"/>
    <sheet name="Author-ConceptMap-3" sheetId="153" r:id="rId31"/>
    <sheet name="Author-CM-fsh" sheetId="156" r:id="rId32"/>
    <sheet name="A1.6 LegalAuth" sheetId="121" r:id="rId33"/>
    <sheet name="LegalAuth-Map-1" sheetId="122" r:id="rId34"/>
    <sheet name="LegalAuth-fsh" sheetId="123" r:id="rId35"/>
    <sheet name="LegalAuth-ConceptMap-1" sheetId="154" r:id="rId36"/>
    <sheet name="LegalAuth-CM-fsh" sheetId="155" r:id="rId37"/>
    <sheet name="A1.7 Validator" sheetId="118" r:id="rId38"/>
    <sheet name="Validator-Map-1" sheetId="119" r:id="rId39"/>
    <sheet name="Validator-fsh" sheetId="120" r:id="rId40"/>
    <sheet name="Validator-ConceptMap-1" sheetId="157" r:id="rId41"/>
    <sheet name="Validator-CM-fsh" sheetId="158" r:id="rId42"/>
    <sheet name="A2 Order" sheetId="128" r:id="rId43"/>
    <sheet name="Order-Map-1" sheetId="129" r:id="rId44"/>
    <sheet name="Order-fsh" sheetId="130" r:id="rId45"/>
    <sheet name="Order-ConceptMap-1" sheetId="159" r:id="rId46"/>
    <sheet name="Order-CM-fsh" sheetId="161" r:id="rId47"/>
    <sheet name="A.4 Specimen" sheetId="131" r:id="rId48"/>
    <sheet name="Specimen-Map-1" sheetId="132" r:id="rId49"/>
    <sheet name="Specimen-fsh" sheetId="133" r:id="rId50"/>
    <sheet name="Specimen-ConceptMap-1" sheetId="162" r:id="rId51"/>
    <sheet name="Specimen-CM-fsh" sheetId="165" r:id="rId52"/>
    <sheet name="A.5 Results" sheetId="134" r:id="rId53"/>
    <sheet name="Results-Map-1" sheetId="135" r:id="rId54"/>
    <sheet name="Results-fsh" sheetId="136" r:id="rId55"/>
    <sheet name="Results-ConceptMap-1" sheetId="168" r:id="rId56"/>
    <sheet name="Results-ConceptMap-2" sheetId="169" r:id="rId57"/>
    <sheet name="Results-ConceptMap-3" sheetId="170" r:id="rId58"/>
    <sheet name="Results-CM-fsh" sheetId="171" r:id="rId59"/>
  </sheets>
  <externalReferences>
    <externalReference r:id="rId60"/>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73" i="162" l="1"/>
  <c r="S73" i="162" s="1" a="1"/>
  <c r="S73" i="162" s="1"/>
  <c r="B77" i="165" s="1"/>
  <c r="R73" i="162"/>
  <c r="Q74" i="162"/>
  <c r="R74" i="162"/>
  <c r="S74" i="162" a="1"/>
  <c r="S74" i="162"/>
  <c r="B78" i="165" s="1"/>
  <c r="Q75" i="162"/>
  <c r="S75" i="162" s="1" a="1"/>
  <c r="S75" i="162" s="1"/>
  <c r="B79" i="165" s="1"/>
  <c r="R75" i="162"/>
  <c r="Q76" i="162"/>
  <c r="R76" i="162"/>
  <c r="S76" i="162" a="1"/>
  <c r="S76" i="162"/>
  <c r="Q77" i="162"/>
  <c r="S77" i="162" s="1" a="1"/>
  <c r="S77" i="162" s="1"/>
  <c r="B81" i="165" s="1"/>
  <c r="R77" i="162"/>
  <c r="Q78" i="162"/>
  <c r="R78" i="162"/>
  <c r="S78" i="162" a="1"/>
  <c r="S78" i="162"/>
  <c r="B82" i="165" s="1"/>
  <c r="Q79" i="162"/>
  <c r="S79" i="162" s="1" a="1"/>
  <c r="S79" i="162" s="1"/>
  <c r="B83" i="165" s="1"/>
  <c r="R79" i="162"/>
  <c r="Q80" i="162"/>
  <c r="R80" i="162"/>
  <c r="S80" i="162" a="1"/>
  <c r="S80" i="162" s="1"/>
  <c r="B84" i="165" s="1"/>
  <c r="Q81" i="162"/>
  <c r="S81" i="162" s="1" a="1"/>
  <c r="S81" i="162" s="1"/>
  <c r="B85" i="165" s="1"/>
  <c r="R81" i="162"/>
  <c r="Q82" i="162"/>
  <c r="R82" i="162"/>
  <c r="S82" i="162" a="1"/>
  <c r="S82" i="162"/>
  <c r="B86" i="165" s="1"/>
  <c r="Q83" i="162"/>
  <c r="S83" i="162" s="1" a="1"/>
  <c r="S83" i="162" s="1"/>
  <c r="B87" i="165" s="1"/>
  <c r="R83" i="162"/>
  <c r="Q84" i="162"/>
  <c r="R84" i="162"/>
  <c r="S84" i="162" a="1"/>
  <c r="S84" i="162"/>
  <c r="Q85" i="162"/>
  <c r="S85" i="162" s="1" a="1"/>
  <c r="S85" i="162" s="1"/>
  <c r="R85" i="162"/>
  <c r="Q86" i="162"/>
  <c r="R86" i="162"/>
  <c r="S86" i="162" a="1"/>
  <c r="S86" i="162"/>
  <c r="Q25" i="162"/>
  <c r="S25" i="162" s="1" a="1"/>
  <c r="S25" i="162" s="1"/>
  <c r="B29" i="165" s="1"/>
  <c r="R25" i="162"/>
  <c r="Q26" i="162"/>
  <c r="S26" i="162" s="1" a="1"/>
  <c r="S26" i="162" s="1"/>
  <c r="B30" i="165" s="1"/>
  <c r="R26" i="162"/>
  <c r="Q27" i="162"/>
  <c r="S27" i="162" s="1" a="1"/>
  <c r="S27" i="162" s="1"/>
  <c r="B31" i="165" s="1"/>
  <c r="R27" i="162"/>
  <c r="Q28" i="162"/>
  <c r="S28" i="162" s="1" a="1"/>
  <c r="S28" i="162" s="1"/>
  <c r="B32" i="165" s="1"/>
  <c r="R28" i="162"/>
  <c r="Q29" i="162"/>
  <c r="S29" i="162" s="1" a="1"/>
  <c r="S29" i="162" s="1"/>
  <c r="B33" i="165" s="1"/>
  <c r="R29" i="162"/>
  <c r="Q30" i="162"/>
  <c r="S30" i="162" s="1" a="1"/>
  <c r="S30" i="162" s="1"/>
  <c r="B34" i="165" s="1"/>
  <c r="R30" i="162"/>
  <c r="Q31" i="162"/>
  <c r="S31" i="162" s="1" a="1"/>
  <c r="S31" i="162" s="1"/>
  <c r="B35" i="165" s="1"/>
  <c r="R31" i="162"/>
  <c r="Q32" i="162"/>
  <c r="S32" i="162" s="1" a="1"/>
  <c r="S32" i="162" s="1"/>
  <c r="B36" i="165" s="1"/>
  <c r="R32" i="162"/>
  <c r="Q33" i="162"/>
  <c r="S33" i="162" s="1" a="1"/>
  <c r="S33" i="162" s="1"/>
  <c r="B37" i="165" s="1"/>
  <c r="R33" i="162"/>
  <c r="Q34" i="162"/>
  <c r="S34" i="162" s="1" a="1"/>
  <c r="S34" i="162" s="1"/>
  <c r="B38" i="165" s="1"/>
  <c r="R34" i="162"/>
  <c r="Q35" i="162"/>
  <c r="S35" i="162" s="1" a="1"/>
  <c r="S35" i="162" s="1"/>
  <c r="B39" i="165" s="1"/>
  <c r="R35" i="162"/>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B45" i="165"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B52" i="165" s="1"/>
  <c r="R48" i="162"/>
  <c r="Q49" i="162"/>
  <c r="S49" i="162" s="1" a="1"/>
  <c r="S49" i="162" s="1"/>
  <c r="B53" i="165" s="1"/>
  <c r="R49" i="162"/>
  <c r="Q50" i="162"/>
  <c r="S50" i="162" s="1" a="1"/>
  <c r="S50" i="162" s="1"/>
  <c r="B54" i="165" s="1"/>
  <c r="R50" i="162"/>
  <c r="Q51" i="162"/>
  <c r="S51" i="162" s="1" a="1"/>
  <c r="S51" i="162" s="1"/>
  <c r="B55" i="165" s="1"/>
  <c r="R51" i="162"/>
  <c r="Q52" i="162"/>
  <c r="S52" i="162" s="1" a="1"/>
  <c r="S52" i="162" s="1"/>
  <c r="B56" i="165" s="1"/>
  <c r="R52" i="162"/>
  <c r="Q53" i="162"/>
  <c r="S53" i="162" s="1" a="1"/>
  <c r="S53" i="162" s="1"/>
  <c r="B57" i="165" s="1"/>
  <c r="R53" i="162"/>
  <c r="Q54" i="162"/>
  <c r="S54" i="162" s="1" a="1"/>
  <c r="S54" i="162" s="1"/>
  <c r="B58" i="165" s="1"/>
  <c r="R54" i="162"/>
  <c r="Q55" i="162"/>
  <c r="S55" i="162" s="1" a="1"/>
  <c r="S55" i="162" s="1"/>
  <c r="B59" i="165" s="1"/>
  <c r="R55" i="162"/>
  <c r="Q56" i="162"/>
  <c r="S56" i="162" s="1" a="1"/>
  <c r="S56" i="162" s="1"/>
  <c r="B60" i="165" s="1"/>
  <c r="R56" i="162"/>
  <c r="Q57" i="162"/>
  <c r="S57" i="162" s="1" a="1"/>
  <c r="S57" i="162" s="1"/>
  <c r="B61" i="165" s="1"/>
  <c r="R57" i="162"/>
  <c r="Q58" i="162"/>
  <c r="S58" i="162" s="1" a="1"/>
  <c r="S58" i="162" s="1"/>
  <c r="B62" i="165" s="1"/>
  <c r="R58" i="162"/>
  <c r="Q59" i="162"/>
  <c r="S59" i="162" s="1" a="1"/>
  <c r="S59" i="162" s="1"/>
  <c r="B63" i="165" s="1"/>
  <c r="R59" i="162"/>
  <c r="Q60" i="162"/>
  <c r="S60" i="162" s="1" a="1"/>
  <c r="S60" i="162" s="1"/>
  <c r="B64" i="165" s="1"/>
  <c r="R60" i="162"/>
  <c r="Q61" i="162"/>
  <c r="S61" i="162" s="1" a="1"/>
  <c r="S61" i="162" s="1"/>
  <c r="B65" i="165" s="1"/>
  <c r="R61" i="162"/>
  <c r="Q62" i="162"/>
  <c r="S62" i="162" s="1" a="1"/>
  <c r="S62" i="162" s="1"/>
  <c r="B66" i="165" s="1"/>
  <c r="R62" i="162"/>
  <c r="Q63" i="162"/>
  <c r="S63" i="162" s="1" a="1"/>
  <c r="S63" i="162" s="1"/>
  <c r="B67" i="165" s="1"/>
  <c r="R63" i="162"/>
  <c r="Q64" i="162"/>
  <c r="S64" i="162" s="1" a="1"/>
  <c r="S64" i="162" s="1"/>
  <c r="B68" i="165" s="1"/>
  <c r="R64" i="162"/>
  <c r="Q65" i="162"/>
  <c r="S65" i="162" s="1" a="1"/>
  <c r="S65" i="162" s="1"/>
  <c r="B69" i="165" s="1"/>
  <c r="R65" i="162"/>
  <c r="Q66" i="162"/>
  <c r="S66" i="162" s="1" a="1"/>
  <c r="S66" i="162" s="1"/>
  <c r="B70" i="165" s="1"/>
  <c r="R66" i="162"/>
  <c r="Q67" i="162"/>
  <c r="S67" i="162" s="1" a="1"/>
  <c r="S67" i="162" s="1"/>
  <c r="B71" i="165" s="1"/>
  <c r="R67" i="162"/>
  <c r="Q68" i="162"/>
  <c r="S68" i="162" s="1" a="1"/>
  <c r="S68" i="162" s="1"/>
  <c r="B72" i="165" s="1"/>
  <c r="R68" i="162"/>
  <c r="Q69" i="162"/>
  <c r="S69" i="162" s="1" a="1"/>
  <c r="S69" i="162" s="1"/>
  <c r="B73" i="165" s="1"/>
  <c r="R69" i="162"/>
  <c r="Q70" i="162"/>
  <c r="S70" i="162" s="1" a="1"/>
  <c r="S70" i="162" s="1"/>
  <c r="B74" i="165" s="1"/>
  <c r="R70" i="162"/>
  <c r="Q71" i="162"/>
  <c r="S71" i="162" s="1" a="1"/>
  <c r="S71" i="162" s="1"/>
  <c r="B75" i="165" s="1"/>
  <c r="R71" i="162"/>
  <c r="Q72" i="162"/>
  <c r="S72" i="162" s="1" a="1"/>
  <c r="S72" i="162" s="1"/>
  <c r="B76" i="165" s="1"/>
  <c r="R72" i="162"/>
  <c r="Q22" i="162"/>
  <c r="R22" i="162"/>
  <c r="S22" i="162" a="1"/>
  <c r="S22" i="162" s="1"/>
  <c r="B26" i="165" s="1"/>
  <c r="Q23" i="162"/>
  <c r="S23" i="162" s="1" a="1"/>
  <c r="S23" i="162" s="1"/>
  <c r="B27" i="165" s="1"/>
  <c r="R23" i="162"/>
  <c r="Q24" i="162"/>
  <c r="R24" i="162"/>
  <c r="S24" i="162" a="1"/>
  <c r="S24" i="162" s="1"/>
  <c r="B28" i="165" s="1"/>
  <c r="Q16" i="162"/>
  <c r="S16" i="162" s="1" a="1"/>
  <c r="S16" i="162" s="1"/>
  <c r="B20" i="165" s="1"/>
  <c r="R16" i="162"/>
  <c r="Q17" i="162"/>
  <c r="S17" i="162" s="1" a="1"/>
  <c r="S17" i="162" s="1"/>
  <c r="B21" i="165" s="1"/>
  <c r="R17" i="162"/>
  <c r="Q18" i="162"/>
  <c r="S18" i="162" s="1" a="1"/>
  <c r="S18" i="162" s="1"/>
  <c r="B22" i="165" s="1"/>
  <c r="R18" i="162"/>
  <c r="Q19" i="162"/>
  <c r="S19" i="162" s="1" a="1"/>
  <c r="S19" i="162" s="1"/>
  <c r="B23" i="165" s="1"/>
  <c r="R19" i="162"/>
  <c r="Q20" i="162"/>
  <c r="S20" i="162" s="1" a="1"/>
  <c r="S20" i="162" s="1"/>
  <c r="B24" i="165" s="1"/>
  <c r="R20" i="162"/>
  <c r="Q21" i="162"/>
  <c r="S21" i="162" s="1" a="1"/>
  <c r="S21" i="162" s="1"/>
  <c r="B25" i="165" s="1"/>
  <c r="R21" i="162"/>
  <c r="B80" i="165"/>
  <c r="N15"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B22" i="162"/>
  <c r="C22" i="162"/>
  <c r="B184" i="171"/>
  <c r="B185" i="171"/>
  <c r="B170" i="171"/>
  <c r="B171" i="171"/>
  <c r="B172" i="171"/>
  <c r="B173" i="171"/>
  <c r="B174" i="171"/>
  <c r="B175" i="171"/>
  <c r="B176" i="171"/>
  <c r="B177" i="171"/>
  <c r="B178" i="171"/>
  <c r="B179" i="171"/>
  <c r="B180" i="171"/>
  <c r="B181" i="171"/>
  <c r="B182" i="171"/>
  <c r="B183" i="171"/>
  <c r="B151" i="171"/>
  <c r="B152" i="171"/>
  <c r="B153" i="171"/>
  <c r="B154" i="171"/>
  <c r="B155" i="171"/>
  <c r="B156" i="171"/>
  <c r="B157" i="171"/>
  <c r="B158" i="171"/>
  <c r="B159" i="171"/>
  <c r="B160" i="171"/>
  <c r="B161" i="171"/>
  <c r="B162" i="171"/>
  <c r="B163" i="171"/>
  <c r="B164" i="171"/>
  <c r="B165" i="171"/>
  <c r="B166" i="171"/>
  <c r="B167" i="171"/>
  <c r="B168" i="171"/>
  <c r="B169" i="171"/>
  <c r="B23" i="171"/>
  <c r="B24" i="171"/>
  <c r="B25" i="171"/>
  <c r="B26" i="171"/>
  <c r="B27" i="171"/>
  <c r="B28" i="171"/>
  <c r="B29" i="171"/>
  <c r="B30" i="171"/>
  <c r="B31" i="171"/>
  <c r="B32" i="171"/>
  <c r="B33" i="171"/>
  <c r="B34" i="171"/>
  <c r="B35" i="171"/>
  <c r="B36" i="171"/>
  <c r="B37" i="171"/>
  <c r="B38" i="171"/>
  <c r="B39" i="171"/>
  <c r="B40" i="171"/>
  <c r="B41" i="171"/>
  <c r="B42" i="171"/>
  <c r="B43" i="171"/>
  <c r="B44" i="171"/>
  <c r="B45" i="171"/>
  <c r="B46" i="171"/>
  <c r="B47" i="171"/>
  <c r="B48" i="171"/>
  <c r="B49" i="171"/>
  <c r="B50" i="171"/>
  <c r="B51" i="171"/>
  <c r="B52" i="171"/>
  <c r="B53" i="171"/>
  <c r="B54" i="171"/>
  <c r="B55" i="171"/>
  <c r="B56" i="171"/>
  <c r="B57" i="171"/>
  <c r="B58" i="171"/>
  <c r="B59" i="171"/>
  <c r="B60" i="171"/>
  <c r="B61" i="171"/>
  <c r="B62" i="171"/>
  <c r="B63" i="171"/>
  <c r="B64" i="171"/>
  <c r="B65" i="171"/>
  <c r="B66" i="171"/>
  <c r="B67" i="171"/>
  <c r="B68" i="171"/>
  <c r="B69" i="171"/>
  <c r="B70" i="171"/>
  <c r="B71" i="171"/>
  <c r="B72" i="171"/>
  <c r="B73" i="171"/>
  <c r="B74" i="171"/>
  <c r="B75" i="171"/>
  <c r="B76" i="171"/>
  <c r="B77" i="171"/>
  <c r="B78" i="171"/>
  <c r="B79" i="171"/>
  <c r="B80" i="171"/>
  <c r="B81" i="171"/>
  <c r="B82" i="171"/>
  <c r="B83" i="171"/>
  <c r="B84" i="171"/>
  <c r="B85" i="171"/>
  <c r="B86" i="171"/>
  <c r="B87" i="171"/>
  <c r="B88" i="171"/>
  <c r="B89" i="171"/>
  <c r="B90" i="171"/>
  <c r="B91" i="171"/>
  <c r="B92" i="171"/>
  <c r="B93" i="171"/>
  <c r="B94" i="171"/>
  <c r="B95" i="171"/>
  <c r="B96" i="171"/>
  <c r="B97" i="171"/>
  <c r="B98" i="171"/>
  <c r="B99" i="171"/>
  <c r="B100" i="171"/>
  <c r="B101" i="171"/>
  <c r="B102" i="171"/>
  <c r="B103" i="171"/>
  <c r="B104" i="171"/>
  <c r="B105" i="171"/>
  <c r="B106" i="171"/>
  <c r="B107" i="171"/>
  <c r="B108" i="171"/>
  <c r="B109" i="171"/>
  <c r="B110" i="171"/>
  <c r="B111" i="171"/>
  <c r="B112" i="171"/>
  <c r="B113" i="171"/>
  <c r="B114" i="171"/>
  <c r="B115" i="171"/>
  <c r="B116" i="171"/>
  <c r="B117" i="171"/>
  <c r="B118" i="171"/>
  <c r="B119" i="171"/>
  <c r="B120" i="171"/>
  <c r="B121" i="171"/>
  <c r="B122" i="171"/>
  <c r="B123" i="171"/>
  <c r="B124" i="171"/>
  <c r="B125" i="171"/>
  <c r="B126" i="171"/>
  <c r="B127" i="171"/>
  <c r="B128" i="171"/>
  <c r="B129" i="171"/>
  <c r="B130" i="171"/>
  <c r="B131" i="171"/>
  <c r="B132" i="171"/>
  <c r="B133" i="171"/>
  <c r="B134" i="171"/>
  <c r="B135" i="171"/>
  <c r="B136" i="171"/>
  <c r="B137" i="171"/>
  <c r="B138" i="171"/>
  <c r="B139" i="171"/>
  <c r="B140" i="171"/>
  <c r="B141" i="171"/>
  <c r="B142" i="171"/>
  <c r="B143" i="171"/>
  <c r="B144" i="171"/>
  <c r="B145" i="171"/>
  <c r="B146" i="171"/>
  <c r="B147" i="171"/>
  <c r="B148" i="171"/>
  <c r="B149" i="171"/>
  <c r="B150" i="171"/>
  <c r="Q173" i="170"/>
  <c r="S173" i="170" s="1" a="1"/>
  <c r="S173" i="170" s="1"/>
  <c r="R173" i="170"/>
  <c r="Q174" i="170"/>
  <c r="S174" i="170" s="1" a="1"/>
  <c r="S174" i="170" s="1"/>
  <c r="R174" i="170"/>
  <c r="Q175" i="170"/>
  <c r="S175" i="170" s="1" a="1"/>
  <c r="S175" i="170" s="1"/>
  <c r="R175" i="170"/>
  <c r="Q176" i="170"/>
  <c r="S176" i="170" s="1" a="1"/>
  <c r="S176" i="170" s="1"/>
  <c r="R176" i="170"/>
  <c r="Q177" i="170"/>
  <c r="S177" i="170" s="1" a="1"/>
  <c r="S177" i="170" s="1"/>
  <c r="R177" i="170"/>
  <c r="Q178" i="170"/>
  <c r="S178" i="170" s="1" a="1"/>
  <c r="S178" i="170" s="1"/>
  <c r="R178" i="170"/>
  <c r="Q179" i="170"/>
  <c r="S179" i="170" s="1" a="1"/>
  <c r="S179" i="170"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R164" i="170"/>
  <c r="Q165" i="170"/>
  <c r="S165" i="170" s="1" a="1"/>
  <c r="S165" i="170" s="1"/>
  <c r="R165" i="170"/>
  <c r="Q166" i="170"/>
  <c r="S166" i="170" s="1" a="1"/>
  <c r="S166" i="170" s="1"/>
  <c r="R166" i="170"/>
  <c r="Q167" i="170"/>
  <c r="S167" i="170" s="1" a="1"/>
  <c r="S167" i="170" s="1"/>
  <c r="R167" i="170"/>
  <c r="Q168" i="170"/>
  <c r="S168" i="170" s="1" a="1"/>
  <c r="S168" i="170" s="1"/>
  <c r="R168" i="170"/>
  <c r="Q169" i="170"/>
  <c r="S169" i="170" s="1" a="1"/>
  <c r="S169" i="170" s="1"/>
  <c r="R169" i="170"/>
  <c r="Q170" i="170"/>
  <c r="S170" i="170" s="1" a="1"/>
  <c r="S170" i="170" s="1"/>
  <c r="R170" i="170"/>
  <c r="Q171" i="170"/>
  <c r="S171" i="170" s="1" a="1"/>
  <c r="S171" i="170" s="1"/>
  <c r="R171" i="170"/>
  <c r="Q172" i="170"/>
  <c r="S172" i="170" s="1" a="1"/>
  <c r="S172" i="170" s="1"/>
  <c r="R172" i="170"/>
  <c r="Q22" i="170"/>
  <c r="S22" i="170" s="1" a="1"/>
  <c r="S22" i="170" s="1"/>
  <c r="R22" i="170"/>
  <c r="Q23" i="170"/>
  <c r="S23" i="170" s="1" a="1"/>
  <c r="S23" i="170" s="1"/>
  <c r="R23" i="170"/>
  <c r="Q24" i="170"/>
  <c r="S24" i="170" s="1" a="1"/>
  <c r="S24" i="170" s="1"/>
  <c r="R24" i="170"/>
  <c r="Q25" i="170"/>
  <c r="S25" i="170" s="1" a="1"/>
  <c r="S25" i="170" s="1"/>
  <c r="R25" i="170"/>
  <c r="Q26" i="170"/>
  <c r="S26" i="170" s="1" a="1"/>
  <c r="S26" i="170" s="1"/>
  <c r="R26" i="170"/>
  <c r="Q27" i="170"/>
  <c r="S27" i="170" s="1" a="1"/>
  <c r="S27" i="170" s="1"/>
  <c r="R27" i="170"/>
  <c r="Q28" i="170"/>
  <c r="S28" i="170" s="1" a="1"/>
  <c r="S28" i="170" s="1"/>
  <c r="R28" i="170"/>
  <c r="Q29" i="170"/>
  <c r="S29" i="170" s="1" a="1"/>
  <c r="S29" i="170" s="1"/>
  <c r="R29" i="170"/>
  <c r="Q30" i="170"/>
  <c r="S30" i="170" s="1" a="1"/>
  <c r="S30" i="170" s="1"/>
  <c r="R30" i="170"/>
  <c r="Q31" i="170"/>
  <c r="S31" i="170" s="1" a="1"/>
  <c r="S31" i="170" s="1"/>
  <c r="R31" i="170"/>
  <c r="Q32" i="170"/>
  <c r="S32" i="170" s="1" a="1"/>
  <c r="S32" i="170" s="1"/>
  <c r="R32" i="170"/>
  <c r="Q33" i="170"/>
  <c r="S33" i="170" s="1" a="1"/>
  <c r="S33" i="170" s="1"/>
  <c r="R33" i="170"/>
  <c r="Q34" i="170"/>
  <c r="S34" i="170" s="1" a="1"/>
  <c r="S34" i="170" s="1"/>
  <c r="R34" i="170"/>
  <c r="Q35" i="170"/>
  <c r="S35" i="170" s="1" a="1"/>
  <c r="S35" i="170" s="1"/>
  <c r="R35" i="170"/>
  <c r="Q36" i="170"/>
  <c r="S36" i="170" s="1" a="1"/>
  <c r="S36" i="170" s="1"/>
  <c r="R36" i="170"/>
  <c r="Q37" i="170"/>
  <c r="S37" i="170" s="1" a="1"/>
  <c r="S37" i="170" s="1"/>
  <c r="R37" i="170"/>
  <c r="Q38" i="170"/>
  <c r="S38" i="170" s="1" a="1"/>
  <c r="S38" i="170" s="1"/>
  <c r="R38" i="170"/>
  <c r="Q39" i="170"/>
  <c r="S39" i="170" s="1" a="1"/>
  <c r="S39" i="170" s="1"/>
  <c r="R39" i="170"/>
  <c r="Q40" i="170"/>
  <c r="S40" i="170" s="1" a="1"/>
  <c r="S40" i="170" s="1"/>
  <c r="R40" i="170"/>
  <c r="Q41" i="170"/>
  <c r="S41" i="170" s="1" a="1"/>
  <c r="S41" i="170" s="1"/>
  <c r="R41" i="170"/>
  <c r="Q42" i="170"/>
  <c r="S42" i="170" s="1" a="1"/>
  <c r="S42" i="170" s="1"/>
  <c r="R42" i="170"/>
  <c r="Q43" i="170"/>
  <c r="S43" i="170" s="1" a="1"/>
  <c r="S43" i="170" s="1"/>
  <c r="R43" i="170"/>
  <c r="Q44" i="170"/>
  <c r="S44" i="170" s="1" a="1"/>
  <c r="S44" i="170" s="1"/>
  <c r="R44" i="170"/>
  <c r="Q45" i="170"/>
  <c r="S45" i="170" s="1" a="1"/>
  <c r="S45" i="170" s="1"/>
  <c r="R45" i="170"/>
  <c r="Q46" i="170"/>
  <c r="S46" i="170" s="1" a="1"/>
  <c r="S46" i="170" s="1"/>
  <c r="R46" i="170"/>
  <c r="Q47" i="170"/>
  <c r="S47" i="170" s="1" a="1"/>
  <c r="S47" i="170" s="1"/>
  <c r="R47" i="170"/>
  <c r="Q48" i="170"/>
  <c r="S48" i="170" s="1" a="1"/>
  <c r="S48" i="170" s="1"/>
  <c r="R48" i="170"/>
  <c r="Q49" i="170"/>
  <c r="S49" i="170" s="1" a="1"/>
  <c r="S49" i="170" s="1"/>
  <c r="R49" i="170"/>
  <c r="Q50" i="170"/>
  <c r="S50" i="170" s="1" a="1"/>
  <c r="S50" i="170" s="1"/>
  <c r="R50" i="170"/>
  <c r="Q51" i="170"/>
  <c r="S51" i="170" s="1" a="1"/>
  <c r="S51" i="170" s="1"/>
  <c r="R51" i="170"/>
  <c r="Q52" i="170"/>
  <c r="S52" i="170" s="1" a="1"/>
  <c r="S52" i="170" s="1"/>
  <c r="R52" i="170"/>
  <c r="Q53" i="170"/>
  <c r="S53" i="170" s="1" a="1"/>
  <c r="S53" i="170" s="1"/>
  <c r="R53" i="170"/>
  <c r="Q54" i="170"/>
  <c r="S54" i="170" s="1" a="1"/>
  <c r="S54" i="170" s="1"/>
  <c r="R54" i="170"/>
  <c r="Q55" i="170"/>
  <c r="S55" i="170" s="1" a="1"/>
  <c r="S55" i="170" s="1"/>
  <c r="R55" i="170"/>
  <c r="Q56" i="170"/>
  <c r="S56" i="170" s="1" a="1"/>
  <c r="S56" i="170" s="1"/>
  <c r="R56" i="170"/>
  <c r="Q57" i="170"/>
  <c r="S57" i="170" s="1" a="1"/>
  <c r="S57" i="170" s="1"/>
  <c r="R57" i="170"/>
  <c r="Q58" i="170"/>
  <c r="S58" i="170" s="1" a="1"/>
  <c r="S58" i="170" s="1"/>
  <c r="R58" i="170"/>
  <c r="Q59" i="170"/>
  <c r="S59" i="170" s="1" a="1"/>
  <c r="S59" i="170" s="1"/>
  <c r="R59" i="170"/>
  <c r="Q60" i="170"/>
  <c r="S60" i="170" s="1" a="1"/>
  <c r="S60" i="170" s="1"/>
  <c r="R60" i="170"/>
  <c r="Q61" i="170"/>
  <c r="S61" i="170" s="1" a="1"/>
  <c r="S61" i="170" s="1"/>
  <c r="R61" i="170"/>
  <c r="Q62" i="170"/>
  <c r="S62" i="170" s="1" a="1"/>
  <c r="S62" i="170" s="1"/>
  <c r="R62" i="170"/>
  <c r="Q63" i="170"/>
  <c r="S63" i="170" s="1" a="1"/>
  <c r="S63" i="170" s="1"/>
  <c r="R63" i="170"/>
  <c r="Q64" i="170"/>
  <c r="S64" i="170" s="1" a="1"/>
  <c r="S64" i="170" s="1"/>
  <c r="R64" i="170"/>
  <c r="Q65" i="170"/>
  <c r="S65" i="170" s="1" a="1"/>
  <c r="S65" i="170" s="1"/>
  <c r="R65" i="170"/>
  <c r="Q66" i="170"/>
  <c r="S66" i="170" s="1" a="1"/>
  <c r="S66" i="170" s="1"/>
  <c r="R66" i="170"/>
  <c r="Q67" i="170"/>
  <c r="S67" i="170" s="1" a="1"/>
  <c r="S67" i="170" s="1"/>
  <c r="R67" i="170"/>
  <c r="Q68" i="170"/>
  <c r="S68" i="170" s="1" a="1"/>
  <c r="S68" i="170" s="1"/>
  <c r="R68" i="170"/>
  <c r="Q69" i="170"/>
  <c r="S69" i="170" s="1" a="1"/>
  <c r="S69" i="170" s="1"/>
  <c r="R69" i="170"/>
  <c r="Q70" i="170"/>
  <c r="S70" i="170" s="1" a="1"/>
  <c r="S70" i="170" s="1"/>
  <c r="R70" i="170"/>
  <c r="Q71" i="170"/>
  <c r="S71" i="170" s="1" a="1"/>
  <c r="S71" i="170" s="1"/>
  <c r="R71" i="170"/>
  <c r="Q72" i="170"/>
  <c r="S72" i="170" s="1" a="1"/>
  <c r="S72" i="170" s="1"/>
  <c r="R72" i="170"/>
  <c r="Q73" i="170"/>
  <c r="S73" i="170" s="1" a="1"/>
  <c r="S73" i="170" s="1"/>
  <c r="R73" i="170"/>
  <c r="Q74" i="170"/>
  <c r="S74" i="170" s="1" a="1"/>
  <c r="S74" i="170" s="1"/>
  <c r="R74" i="170"/>
  <c r="Q75" i="170"/>
  <c r="S75" i="170" s="1" a="1"/>
  <c r="S75" i="170" s="1"/>
  <c r="R75" i="170"/>
  <c r="Q76" i="170"/>
  <c r="S76" i="170" s="1" a="1"/>
  <c r="S76" i="170" s="1"/>
  <c r="R76" i="170"/>
  <c r="Q77" i="170"/>
  <c r="S77" i="170" s="1" a="1"/>
  <c r="S77" i="170" s="1"/>
  <c r="R77" i="170"/>
  <c r="Q78" i="170"/>
  <c r="S78" i="170" s="1" a="1"/>
  <c r="S78" i="170" s="1"/>
  <c r="R78" i="170"/>
  <c r="Q79" i="170"/>
  <c r="S79" i="170" s="1" a="1"/>
  <c r="S79" i="170" s="1"/>
  <c r="R79" i="170"/>
  <c r="Q80" i="170"/>
  <c r="S80" i="170" s="1" a="1"/>
  <c r="S80" i="170" s="1"/>
  <c r="R80" i="170"/>
  <c r="Q81" i="170"/>
  <c r="S81" i="170" s="1" a="1"/>
  <c r="S81" i="170" s="1"/>
  <c r="R81" i="170"/>
  <c r="Q82" i="170"/>
  <c r="S82" i="170" s="1" a="1"/>
  <c r="S82" i="170" s="1"/>
  <c r="R82" i="170"/>
  <c r="Q83" i="170"/>
  <c r="S83" i="170" s="1" a="1"/>
  <c r="S83" i="170" s="1"/>
  <c r="R83" i="170"/>
  <c r="Q84" i="170"/>
  <c r="S84" i="170" s="1" a="1"/>
  <c r="S84" i="170" s="1"/>
  <c r="R84" i="170"/>
  <c r="Q85" i="170"/>
  <c r="S85" i="170" s="1" a="1"/>
  <c r="S85" i="170" s="1"/>
  <c r="R85" i="170"/>
  <c r="Q86" i="170"/>
  <c r="S86" i="170" s="1" a="1"/>
  <c r="S86" i="170" s="1"/>
  <c r="R86" i="170"/>
  <c r="Q87" i="170"/>
  <c r="S87" i="170" s="1" a="1"/>
  <c r="S87" i="170" s="1"/>
  <c r="R87" i="170"/>
  <c r="Q88" i="170"/>
  <c r="S88" i="170" s="1" a="1"/>
  <c r="S88" i="170" s="1"/>
  <c r="R88" i="170"/>
  <c r="Q89" i="170"/>
  <c r="S89" i="170" s="1" a="1"/>
  <c r="S89" i="170" s="1"/>
  <c r="R89" i="170"/>
  <c r="Q90" i="170"/>
  <c r="S90" i="170" s="1" a="1"/>
  <c r="S90" i="170" s="1"/>
  <c r="R90" i="170"/>
  <c r="Q91" i="170"/>
  <c r="S91" i="170" s="1" a="1"/>
  <c r="S91" i="170" s="1"/>
  <c r="R91" i="170"/>
  <c r="Q92" i="170"/>
  <c r="S92" i="170" s="1" a="1"/>
  <c r="S92" i="170" s="1"/>
  <c r="R92" i="170"/>
  <c r="Q93" i="170"/>
  <c r="S93" i="170" s="1" a="1"/>
  <c r="S93" i="170" s="1"/>
  <c r="R93" i="170"/>
  <c r="Q94" i="170"/>
  <c r="S94" i="170" s="1" a="1"/>
  <c r="S94" i="170" s="1"/>
  <c r="R94" i="170"/>
  <c r="Q95" i="170"/>
  <c r="S95" i="170" s="1" a="1"/>
  <c r="S95" i="170" s="1"/>
  <c r="R95" i="170"/>
  <c r="Q96" i="170"/>
  <c r="S96" i="170" s="1" a="1"/>
  <c r="S96" i="170" s="1"/>
  <c r="R96" i="170"/>
  <c r="Q97" i="170"/>
  <c r="S97" i="170" s="1" a="1"/>
  <c r="S97" i="170" s="1"/>
  <c r="R97" i="170"/>
  <c r="Q98" i="170"/>
  <c r="S98" i="170" s="1" a="1"/>
  <c r="S98" i="170" s="1"/>
  <c r="R98" i="170"/>
  <c r="Q99" i="170"/>
  <c r="S99" i="170" s="1" a="1"/>
  <c r="S99" i="170" s="1"/>
  <c r="R99" i="170"/>
  <c r="Q100" i="170"/>
  <c r="S100" i="170" s="1" a="1"/>
  <c r="S100" i="170" s="1"/>
  <c r="R100" i="170"/>
  <c r="Q101" i="170"/>
  <c r="S101" i="170" s="1" a="1"/>
  <c r="S101" i="170" s="1"/>
  <c r="R101" i="170"/>
  <c r="Q102" i="170"/>
  <c r="S102" i="170" s="1" a="1"/>
  <c r="S102" i="170" s="1"/>
  <c r="R102" i="170"/>
  <c r="Q103" i="170"/>
  <c r="S103" i="170" s="1" a="1"/>
  <c r="S103" i="170" s="1"/>
  <c r="R103" i="170"/>
  <c r="Q104" i="170"/>
  <c r="S104" i="170" s="1" a="1"/>
  <c r="S104" i="170" s="1"/>
  <c r="R104" i="170"/>
  <c r="Q105" i="170"/>
  <c r="S105" i="170" s="1" a="1"/>
  <c r="S105" i="170" s="1"/>
  <c r="R105" i="170"/>
  <c r="Q106" i="170"/>
  <c r="S106" i="170" s="1" a="1"/>
  <c r="S106" i="170" s="1"/>
  <c r="R106" i="170"/>
  <c r="Q107" i="170"/>
  <c r="S107" i="170" s="1" a="1"/>
  <c r="S107" i="170" s="1"/>
  <c r="R107" i="170"/>
  <c r="Q108" i="170"/>
  <c r="S108" i="170" s="1" a="1"/>
  <c r="S108" i="170" s="1"/>
  <c r="R108" i="170"/>
  <c r="Q109" i="170"/>
  <c r="S109" i="170" s="1" a="1"/>
  <c r="S109" i="170" s="1"/>
  <c r="R109" i="170"/>
  <c r="Q110" i="170"/>
  <c r="S110" i="170" s="1" a="1"/>
  <c r="S110" i="170" s="1"/>
  <c r="R110" i="170"/>
  <c r="Q111" i="170"/>
  <c r="S111" i="170" s="1" a="1"/>
  <c r="S111" i="170" s="1"/>
  <c r="R111" i="170"/>
  <c r="Q112" i="170"/>
  <c r="S112" i="170" s="1" a="1"/>
  <c r="S112" i="170" s="1"/>
  <c r="R112" i="170"/>
  <c r="Q113" i="170"/>
  <c r="S113" i="170" s="1" a="1"/>
  <c r="S113" i="170" s="1"/>
  <c r="R113" i="170"/>
  <c r="Q114" i="170"/>
  <c r="S114" i="170" s="1" a="1"/>
  <c r="S114" i="170" s="1"/>
  <c r="R114" i="170"/>
  <c r="Q115" i="170"/>
  <c r="S115" i="170" s="1" a="1"/>
  <c r="S115" i="170" s="1"/>
  <c r="R115" i="170"/>
  <c r="Q116" i="170"/>
  <c r="S116" i="170" s="1" a="1"/>
  <c r="S116" i="170" s="1"/>
  <c r="R116" i="170"/>
  <c r="Q117" i="170"/>
  <c r="S117" i="170" s="1" a="1"/>
  <c r="S117" i="170" s="1"/>
  <c r="R117" i="170"/>
  <c r="Q118" i="170"/>
  <c r="S118" i="170" s="1" a="1"/>
  <c r="S118" i="170" s="1"/>
  <c r="R118" i="170"/>
  <c r="Q119" i="170"/>
  <c r="S119" i="170" s="1" a="1"/>
  <c r="S119" i="170" s="1"/>
  <c r="R119" i="170"/>
  <c r="Q120" i="170"/>
  <c r="S120" i="170" s="1" a="1"/>
  <c r="S120" i="170" s="1"/>
  <c r="R120" i="170"/>
  <c r="Q121" i="170"/>
  <c r="S121" i="170" s="1" a="1"/>
  <c r="S121" i="170" s="1"/>
  <c r="R121" i="170"/>
  <c r="Q122" i="170"/>
  <c r="S122" i="170" s="1" a="1"/>
  <c r="S122" i="170" s="1"/>
  <c r="R122" i="170"/>
  <c r="Q123" i="170"/>
  <c r="S123" i="170" s="1" a="1"/>
  <c r="S123" i="170" s="1"/>
  <c r="R123" i="170"/>
  <c r="Q124" i="170"/>
  <c r="S124" i="170" s="1" a="1"/>
  <c r="S124" i="170" s="1"/>
  <c r="R124" i="170"/>
  <c r="Q125" i="170"/>
  <c r="S125" i="170" s="1" a="1"/>
  <c r="S125" i="170" s="1"/>
  <c r="R125" i="170"/>
  <c r="Q126" i="170"/>
  <c r="S126" i="170" s="1" a="1"/>
  <c r="S126" i="170" s="1"/>
  <c r="R126" i="170"/>
  <c r="Q127" i="170"/>
  <c r="S127" i="170" s="1" a="1"/>
  <c r="S127" i="170" s="1"/>
  <c r="R127" i="170"/>
  <c r="Q128" i="170"/>
  <c r="S128" i="170" s="1" a="1"/>
  <c r="S128" i="170" s="1"/>
  <c r="R128" i="170"/>
  <c r="Q129" i="170"/>
  <c r="S129" i="170" s="1" a="1"/>
  <c r="S129" i="170" s="1"/>
  <c r="R129" i="170"/>
  <c r="Q130" i="170"/>
  <c r="S130" i="170" s="1" a="1"/>
  <c r="S130" i="170" s="1"/>
  <c r="R130" i="170"/>
  <c r="Q131" i="170"/>
  <c r="S131" i="170" s="1" a="1"/>
  <c r="S131" i="170" s="1"/>
  <c r="R131" i="170"/>
  <c r="Q132" i="170"/>
  <c r="S132" i="170" s="1" a="1"/>
  <c r="S132" i="170" s="1"/>
  <c r="R132" i="170"/>
  <c r="Q133" i="170"/>
  <c r="S133" i="170" s="1" a="1"/>
  <c r="S133" i="170" s="1"/>
  <c r="R133" i="170"/>
  <c r="Q134" i="170"/>
  <c r="S134" i="170" s="1" a="1"/>
  <c r="S134" i="170" s="1"/>
  <c r="R134" i="170"/>
  <c r="Q135" i="170"/>
  <c r="S135" i="170" s="1" a="1"/>
  <c r="S135" i="170" s="1"/>
  <c r="R135" i="170"/>
  <c r="Q136" i="170"/>
  <c r="S136" i="170" s="1" a="1"/>
  <c r="S136" i="170" s="1"/>
  <c r="R136" i="170"/>
  <c r="Q137" i="170"/>
  <c r="S137" i="170" s="1" a="1"/>
  <c r="S137" i="170" s="1"/>
  <c r="R137" i="170"/>
  <c r="Q138" i="170"/>
  <c r="S138" i="170" s="1" a="1"/>
  <c r="S138" i="170" s="1"/>
  <c r="R138" i="170"/>
  <c r="Q139" i="170"/>
  <c r="S139" i="170" s="1" a="1"/>
  <c r="S139" i="170" s="1"/>
  <c r="R139" i="170"/>
  <c r="Q140" i="170"/>
  <c r="S140" i="170" s="1" a="1"/>
  <c r="S140" i="170" s="1"/>
  <c r="R140" i="170"/>
  <c r="Q141" i="170"/>
  <c r="S141" i="170" s="1" a="1"/>
  <c r="S141" i="170" s="1"/>
  <c r="R141" i="170"/>
  <c r="Q142" i="170"/>
  <c r="S142" i="170" s="1" a="1"/>
  <c r="S142" i="170" s="1"/>
  <c r="R142" i="170"/>
  <c r="Q143" i="170"/>
  <c r="S143" i="170" s="1" a="1"/>
  <c r="S143" i="170" s="1"/>
  <c r="R143" i="170"/>
  <c r="Q144" i="170"/>
  <c r="S144" i="170" s="1" a="1"/>
  <c r="S144" i="170" s="1"/>
  <c r="R144" i="170"/>
  <c r="Q145" i="170"/>
  <c r="S145" i="170" s="1" a="1"/>
  <c r="S145" i="170" s="1"/>
  <c r="R145" i="170"/>
  <c r="Q146" i="170"/>
  <c r="S146" i="170" s="1" a="1"/>
  <c r="S146" i="170" s="1"/>
  <c r="R146" i="170"/>
  <c r="Q147" i="170"/>
  <c r="S147" i="170" s="1" a="1"/>
  <c r="S147" i="170" s="1"/>
  <c r="R147" i="170"/>
  <c r="Q148" i="170"/>
  <c r="S148" i="170" s="1" a="1"/>
  <c r="S148" i="170" s="1"/>
  <c r="R148" i="170"/>
  <c r="Q149" i="170"/>
  <c r="S149" i="170" s="1" a="1"/>
  <c r="S149" i="170" s="1"/>
  <c r="R149" i="170"/>
  <c r="Q150" i="170"/>
  <c r="S150" i="170" s="1" a="1"/>
  <c r="S150" i="170" s="1"/>
  <c r="R150" i="170"/>
  <c r="Q151" i="170"/>
  <c r="S151" i="170" s="1" a="1"/>
  <c r="S151" i="170" s="1"/>
  <c r="R151" i="170"/>
  <c r="Q152" i="170"/>
  <c r="S152" i="170" s="1" a="1"/>
  <c r="S152" i="170" s="1"/>
  <c r="R152" i="170"/>
  <c r="Q153" i="170"/>
  <c r="S153" i="170" s="1" a="1"/>
  <c r="S153" i="170" s="1"/>
  <c r="R153" i="170"/>
  <c r="Q154" i="170"/>
  <c r="S154" i="170" s="1" a="1"/>
  <c r="S154" i="170" s="1"/>
  <c r="R154" i="170"/>
  <c r="Q155" i="170"/>
  <c r="S155" i="170" s="1" a="1"/>
  <c r="S155" i="170" s="1"/>
  <c r="R155" i="170"/>
  <c r="Q156" i="170"/>
  <c r="S156" i="170" s="1" a="1"/>
  <c r="S156" i="170" s="1"/>
  <c r="R156" i="170"/>
  <c r="Q157" i="170"/>
  <c r="S157" i="170" s="1" a="1"/>
  <c r="S157" i="170" s="1"/>
  <c r="R157" i="170"/>
  <c r="Q158" i="170"/>
  <c r="S158" i="170" s="1" a="1"/>
  <c r="S158" i="170" s="1"/>
  <c r="R158" i="170"/>
  <c r="Q159" i="170"/>
  <c r="S159" i="170" s="1" a="1"/>
  <c r="S159" i="170" s="1"/>
  <c r="R159" i="170"/>
  <c r="Q160" i="170"/>
  <c r="S160" i="170" s="1" a="1"/>
  <c r="S160" i="170" s="1"/>
  <c r="R160" i="170"/>
  <c r="Q161" i="170"/>
  <c r="S161" i="170" s="1" a="1"/>
  <c r="S161" i="170" s="1"/>
  <c r="R161" i="170"/>
  <c r="Q162" i="170"/>
  <c r="S162" i="170" s="1" a="1"/>
  <c r="S162" i="170" s="1"/>
  <c r="R162" i="170"/>
  <c r="Q163" i="170"/>
  <c r="S163" i="170" s="1" a="1"/>
  <c r="S163" i="170" s="1"/>
  <c r="R163" i="170"/>
  <c r="Q16" i="170"/>
  <c r="S16" i="170" s="1" a="1"/>
  <c r="S16" i="170" s="1"/>
  <c r="R16" i="170"/>
  <c r="Q17" i="170"/>
  <c r="S17" i="170" s="1" a="1"/>
  <c r="S17" i="170" s="1"/>
  <c r="R17" i="170"/>
  <c r="Q18" i="170"/>
  <c r="S18" i="170" s="1" a="1"/>
  <c r="S18" i="170" s="1"/>
  <c r="R18" i="170"/>
  <c r="Q19" i="170"/>
  <c r="S19" i="170" s="1" a="1"/>
  <c r="S19" i="170" s="1"/>
  <c r="R19" i="170"/>
  <c r="Q20" i="170"/>
  <c r="S20" i="170" s="1" a="1"/>
  <c r="S20" i="170" s="1"/>
  <c r="R20" i="170"/>
  <c r="Q21" i="170"/>
  <c r="S21" i="170" s="1" a="1"/>
  <c r="S21" i="170"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19" i="145"/>
  <c r="B120" i="145"/>
  <c r="B88" i="145"/>
  <c r="B89" i="145"/>
  <c r="B90" i="145"/>
  <c r="B91" i="145"/>
  <c r="B92" i="145"/>
  <c r="B93" i="145"/>
  <c r="B94" i="145"/>
  <c r="B95" i="145"/>
  <c r="B96" i="145"/>
  <c r="B97" i="145"/>
  <c r="B98" i="145"/>
  <c r="B99" i="145"/>
  <c r="B100" i="145"/>
  <c r="B101" i="145"/>
  <c r="B102" i="145"/>
  <c r="B103" i="145"/>
  <c r="B104" i="145"/>
  <c r="B105" i="145"/>
  <c r="B106" i="145"/>
  <c r="B107" i="145"/>
  <c r="B108" i="145"/>
  <c r="B109" i="145"/>
  <c r="B110" i="145"/>
  <c r="B111" i="145"/>
  <c r="B112" i="145"/>
  <c r="B113" i="145"/>
  <c r="B114" i="145"/>
  <c r="B115" i="145"/>
  <c r="B116" i="145"/>
  <c r="B117" i="145"/>
  <c r="B118" i="145"/>
  <c r="B77" i="145"/>
  <c r="B78" i="145"/>
  <c r="B79" i="145"/>
  <c r="B80" i="145"/>
  <c r="B81" i="145"/>
  <c r="B82" i="145"/>
  <c r="B83" i="145"/>
  <c r="B84" i="145"/>
  <c r="B85" i="145"/>
  <c r="B86" i="145"/>
  <c r="B87" i="145"/>
  <c r="B76" i="145"/>
  <c r="B74" i="145"/>
  <c r="B73" i="145"/>
  <c r="C4" i="172"/>
  <c r="C5" i="172"/>
  <c r="C6" i="172"/>
  <c r="C7" i="172"/>
  <c r="C8" i="172"/>
  <c r="C9" i="172"/>
  <c r="C3" i="172"/>
  <c r="E6" i="172"/>
  <c r="E4" i="172"/>
  <c r="E3" i="172"/>
  <c r="R190" i="172"/>
  <c r="Q190" i="172"/>
  <c r="S190" i="172" s="1" a="1"/>
  <c r="S190" i="172" s="1"/>
  <c r="R189" i="172"/>
  <c r="Q189" i="172"/>
  <c r="S189" i="172" s="1" a="1"/>
  <c r="S189" i="172" s="1"/>
  <c r="R188" i="172"/>
  <c r="Q188" i="172"/>
  <c r="S188" i="172" s="1" a="1"/>
  <c r="S188" i="172"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80" i="172"/>
  <c r="Q80" i="172"/>
  <c r="S80" i="172" s="1" a="1"/>
  <c r="S80" i="172" s="1"/>
  <c r="R79" i="172"/>
  <c r="Q79" i="172"/>
  <c r="S79" i="172" s="1" a="1"/>
  <c r="S79" i="172" s="1"/>
  <c r="R78" i="172"/>
  <c r="Q78" i="172"/>
  <c r="S78" i="172" s="1" a="1"/>
  <c r="S78" i="172" s="1"/>
  <c r="R77" i="172"/>
  <c r="Q77" i="172"/>
  <c r="S77" i="172" s="1" a="1"/>
  <c r="S77" i="172" s="1"/>
  <c r="R76" i="172"/>
  <c r="Q76" i="172"/>
  <c r="S76" i="172" s="1" a="1"/>
  <c r="S76" i="172" s="1"/>
  <c r="R75" i="172"/>
  <c r="Q75" i="172"/>
  <c r="S75" i="172" s="1" a="1"/>
  <c r="S75" i="172" s="1"/>
  <c r="R74" i="172"/>
  <c r="Q74" i="172"/>
  <c r="S74" i="172" s="1" a="1"/>
  <c r="S74" i="172" s="1"/>
  <c r="R73" i="172"/>
  <c r="Q73" i="172"/>
  <c r="S73" i="172" s="1" a="1"/>
  <c r="S73" i="172" s="1"/>
  <c r="R72" i="172"/>
  <c r="Q72" i="172"/>
  <c r="S72" i="172" s="1" a="1"/>
  <c r="S72" i="172" s="1"/>
  <c r="R71" i="172"/>
  <c r="Q71" i="172"/>
  <c r="S71" i="172" s="1" a="1"/>
  <c r="S71" i="172" s="1"/>
  <c r="R70" i="172"/>
  <c r="Q70" i="172"/>
  <c r="S70" i="172" s="1" a="1"/>
  <c r="S70" i="172" s="1"/>
  <c r="R69" i="172"/>
  <c r="Q69" i="172"/>
  <c r="S69" i="172" s="1" a="1"/>
  <c r="S69" i="172" s="1"/>
  <c r="R68" i="172"/>
  <c r="Q68" i="172"/>
  <c r="S68" i="172" s="1" a="1"/>
  <c r="S68" i="172" s="1"/>
  <c r="R67" i="172"/>
  <c r="Q67" i="172"/>
  <c r="S67" i="172" s="1" a="1"/>
  <c r="S67" i="172" s="1"/>
  <c r="R66" i="172"/>
  <c r="Q66" i="172"/>
  <c r="S66" i="172" s="1" a="1"/>
  <c r="S66" i="172" s="1"/>
  <c r="R65" i="172"/>
  <c r="Q65" i="172"/>
  <c r="S65" i="172" s="1" a="1"/>
  <c r="S65" i="172" s="1"/>
  <c r="R64" i="172"/>
  <c r="Q64" i="172"/>
  <c r="S64" i="172" s="1" a="1"/>
  <c r="S64" i="172" s="1"/>
  <c r="R63" i="172"/>
  <c r="Q63" i="172"/>
  <c r="S63" i="172" s="1" a="1"/>
  <c r="S63" i="172" s="1"/>
  <c r="R62" i="172"/>
  <c r="Q62" i="172"/>
  <c r="S62" i="172" s="1" a="1"/>
  <c r="S62" i="172" s="1"/>
  <c r="R61" i="172"/>
  <c r="Q61" i="172"/>
  <c r="S61" i="172" s="1" a="1"/>
  <c r="S61" i="172" s="1"/>
  <c r="R60" i="172"/>
  <c r="Q60" i="172"/>
  <c r="S60" i="172" s="1" a="1"/>
  <c r="S60" i="172" s="1"/>
  <c r="R59" i="172"/>
  <c r="Q59" i="172"/>
  <c r="S59" i="172" s="1" a="1"/>
  <c r="S59" i="172" s="1"/>
  <c r="R58" i="172"/>
  <c r="Q58" i="172"/>
  <c r="S58" i="172" s="1" a="1"/>
  <c r="S58" i="172" s="1"/>
  <c r="R57" i="172"/>
  <c r="Q57" i="172"/>
  <c r="S57" i="172" s="1" a="1"/>
  <c r="S57" i="172" s="1"/>
  <c r="R56" i="172"/>
  <c r="Q56" i="172"/>
  <c r="S56" i="172" s="1" a="1"/>
  <c r="S56" i="172" s="1"/>
  <c r="R55" i="172"/>
  <c r="Q55" i="172"/>
  <c r="R54" i="172"/>
  <c r="Q54" i="172"/>
  <c r="S54" i="172" s="1" a="1"/>
  <c r="S54" i="172" s="1"/>
  <c r="R53" i="172"/>
  <c r="Q53" i="172"/>
  <c r="R52" i="172"/>
  <c r="Q52" i="172"/>
  <c r="S52" i="172" s="1" a="1"/>
  <c r="S52" i="172" s="1"/>
  <c r="R51" i="172"/>
  <c r="Q51" i="172"/>
  <c r="R50" i="172"/>
  <c r="Q50" i="172"/>
  <c r="S50" i="172" s="1" a="1"/>
  <c r="S50" i="172" s="1"/>
  <c r="R49" i="172"/>
  <c r="Q49" i="172"/>
  <c r="R48" i="172"/>
  <c r="Q48" i="172"/>
  <c r="S48" i="172" s="1" a="1"/>
  <c r="S48" i="172" s="1"/>
  <c r="R47" i="172"/>
  <c r="Q47" i="172"/>
  <c r="R46" i="172"/>
  <c r="Q46" i="172"/>
  <c r="S46" i="172" s="1" a="1"/>
  <c r="S46" i="172" s="1"/>
  <c r="R45" i="172"/>
  <c r="Q45" i="172"/>
  <c r="S45" i="172" s="1" a="1"/>
  <c r="S45" i="172" s="1"/>
  <c r="R44" i="172"/>
  <c r="Q44" i="172"/>
  <c r="S44" i="172" s="1" a="1"/>
  <c r="S44" i="172" s="1"/>
  <c r="R43" i="172"/>
  <c r="Q43" i="172"/>
  <c r="R42" i="172"/>
  <c r="Q42" i="172"/>
  <c r="S42" i="172" s="1" a="1"/>
  <c r="S42" i="172" s="1"/>
  <c r="R41" i="172"/>
  <c r="Q41" i="172"/>
  <c r="R40" i="172"/>
  <c r="Q40" i="172"/>
  <c r="S40" i="172" s="1" a="1"/>
  <c r="S40" i="172" s="1"/>
  <c r="R39" i="172"/>
  <c r="Q39" i="172"/>
  <c r="R38" i="172"/>
  <c r="Q38" i="172"/>
  <c r="S38" i="172" s="1" a="1"/>
  <c r="S38" i="172" s="1"/>
  <c r="R37" i="172"/>
  <c r="Q37" i="172"/>
  <c r="R36" i="172"/>
  <c r="Q36" i="172"/>
  <c r="S36" i="172" s="1" a="1"/>
  <c r="S36" i="172" s="1"/>
  <c r="R35" i="172"/>
  <c r="Q35" i="172"/>
  <c r="R34" i="172"/>
  <c r="Q34" i="172"/>
  <c r="S34" i="172" s="1" a="1"/>
  <c r="S34" i="172" s="1"/>
  <c r="R33" i="172"/>
  <c r="Q33" i="172"/>
  <c r="R32" i="172"/>
  <c r="Q32" i="172"/>
  <c r="R31" i="172"/>
  <c r="Q31" i="172"/>
  <c r="R30" i="172"/>
  <c r="Q30" i="172"/>
  <c r="S30" i="172" s="1" a="1"/>
  <c r="S30" i="172" s="1"/>
  <c r="R29" i="172"/>
  <c r="Q29" i="172"/>
  <c r="R28" i="172"/>
  <c r="Q28" i="172"/>
  <c r="S28" i="172" s="1" a="1"/>
  <c r="S28" i="172" s="1"/>
  <c r="R27" i="172"/>
  <c r="Q27" i="172"/>
  <c r="R26" i="172"/>
  <c r="Q26" i="172"/>
  <c r="R25" i="172"/>
  <c r="Q25" i="172"/>
  <c r="R24" i="172"/>
  <c r="Q24" i="172"/>
  <c r="S24" i="172" s="1" a="1"/>
  <c r="S24" i="172" s="1"/>
  <c r="R23" i="172"/>
  <c r="Q23" i="172"/>
  <c r="R22" i="172"/>
  <c r="Q22" i="172"/>
  <c r="S22" i="172" s="1" a="1"/>
  <c r="S22" i="172" s="1"/>
  <c r="R21" i="172"/>
  <c r="Q21" i="172"/>
  <c r="N21" i="172"/>
  <c r="M21" i="172"/>
  <c r="L21" i="172"/>
  <c r="K21" i="172"/>
  <c r="C21" i="172"/>
  <c r="J21" i="172" s="1"/>
  <c r="B21" i="172"/>
  <c r="R20" i="172"/>
  <c r="Q20" i="172"/>
  <c r="S20" i="172" s="1" a="1"/>
  <c r="S20" i="172" s="1"/>
  <c r="N20" i="172"/>
  <c r="M20" i="172"/>
  <c r="L20" i="172"/>
  <c r="K20" i="172"/>
  <c r="C20" i="172"/>
  <c r="J20" i="172" s="1"/>
  <c r="B20" i="172"/>
  <c r="R19" i="172"/>
  <c r="Q19" i="172"/>
  <c r="N19" i="172"/>
  <c r="M19" i="172"/>
  <c r="L19" i="172"/>
  <c r="K19" i="172"/>
  <c r="C19" i="172"/>
  <c r="J19" i="172" s="1"/>
  <c r="B19" i="172"/>
  <c r="R18" i="172"/>
  <c r="Q18" i="172"/>
  <c r="N18" i="172"/>
  <c r="M18" i="172"/>
  <c r="L18" i="172"/>
  <c r="K18" i="172"/>
  <c r="C18" i="172"/>
  <c r="J18" i="172" s="1"/>
  <c r="B18" i="172"/>
  <c r="R17" i="172"/>
  <c r="Q17" i="172"/>
  <c r="S17" i="172" s="1" a="1"/>
  <c r="S17" i="172" s="1"/>
  <c r="N17" i="172"/>
  <c r="M17" i="172"/>
  <c r="L17" i="172"/>
  <c r="K17" i="172"/>
  <c r="C17" i="172"/>
  <c r="J17" i="172" s="1"/>
  <c r="B17" i="172"/>
  <c r="R16" i="172"/>
  <c r="Q16" i="172"/>
  <c r="S16" i="172" s="1" a="1"/>
  <c r="S16" i="172" s="1"/>
  <c r="N16" i="172"/>
  <c r="M16" i="172"/>
  <c r="L16" i="172"/>
  <c r="K16" i="172"/>
  <c r="C16" i="172"/>
  <c r="J16" i="172" s="1"/>
  <c r="B16" i="172"/>
  <c r="R15" i="172"/>
  <c r="Q15" i="172"/>
  <c r="N15" i="172"/>
  <c r="M15" i="172"/>
  <c r="L15" i="172"/>
  <c r="K15" i="172"/>
  <c r="C15" i="172"/>
  <c r="J15" i="172" s="1"/>
  <c r="B15" i="172"/>
  <c r="B14" i="172"/>
  <c r="I20" i="172" s="1"/>
  <c r="I19" i="146"/>
  <c r="J19" i="146"/>
  <c r="K19" i="146"/>
  <c r="L19" i="146"/>
  <c r="M19" i="146"/>
  <c r="N19" i="146"/>
  <c r="I20" i="146"/>
  <c r="J20" i="146"/>
  <c r="K20" i="146"/>
  <c r="L20" i="146"/>
  <c r="M20" i="146"/>
  <c r="N20" i="146"/>
  <c r="I21" i="146"/>
  <c r="J21" i="146"/>
  <c r="K21" i="146"/>
  <c r="L21" i="146"/>
  <c r="M21" i="146"/>
  <c r="N21" i="146"/>
  <c r="Q16" i="146"/>
  <c r="S16" i="146" s="1" a="1"/>
  <c r="S16" i="146" s="1"/>
  <c r="B21" i="147" s="1"/>
  <c r="R16" i="146"/>
  <c r="Q17" i="146"/>
  <c r="R17" i="146"/>
  <c r="Q18" i="146"/>
  <c r="S18" i="146" s="1" a="1"/>
  <c r="S18" i="146" s="1"/>
  <c r="B23" i="147" s="1"/>
  <c r="R18" i="146"/>
  <c r="Q19" i="146"/>
  <c r="R19" i="146"/>
  <c r="S19" i="146" a="1"/>
  <c r="S19" i="146" s="1"/>
  <c r="B24" i="147" s="1"/>
  <c r="Q20" i="146"/>
  <c r="S20" i="146" s="1" a="1"/>
  <c r="S20" i="146" s="1"/>
  <c r="B25" i="147" s="1"/>
  <c r="R20" i="146"/>
  <c r="Q21" i="146"/>
  <c r="R21" i="146"/>
  <c r="S21" i="146" a="1"/>
  <c r="S21" i="146" s="1"/>
  <c r="B26" i="147" s="1"/>
  <c r="Q22" i="146"/>
  <c r="S22" i="146" s="1" a="1"/>
  <c r="S22" i="146" s="1"/>
  <c r="B27" i="147" s="1"/>
  <c r="R22" i="146"/>
  <c r="Q23" i="146"/>
  <c r="R23" i="146"/>
  <c r="Q24" i="146"/>
  <c r="S24" i="146" s="1" a="1"/>
  <c r="S24" i="146" s="1"/>
  <c r="B29" i="147" s="1"/>
  <c r="R24" i="146"/>
  <c r="Q25" i="146"/>
  <c r="R25" i="146"/>
  <c r="S25" i="146" a="1"/>
  <c r="S25" i="146" s="1"/>
  <c r="B30" i="147" s="1"/>
  <c r="Q26" i="146"/>
  <c r="S26" i="146" s="1" a="1"/>
  <c r="S26" i="146" s="1"/>
  <c r="B31" i="147" s="1"/>
  <c r="R26" i="146"/>
  <c r="Q27" i="146"/>
  <c r="R27" i="146"/>
  <c r="S27" i="146" a="1"/>
  <c r="S27" i="146" s="1"/>
  <c r="B32" i="147" s="1"/>
  <c r="Q28" i="146"/>
  <c r="S28" i="146" s="1" a="1"/>
  <c r="S28" i="146" s="1"/>
  <c r="B33" i="147" s="1"/>
  <c r="R28" i="146"/>
  <c r="Q29" i="146"/>
  <c r="R29" i="146"/>
  <c r="Q30" i="146"/>
  <c r="S30" i="146" s="1" a="1"/>
  <c r="S30" i="146" s="1"/>
  <c r="B35" i="147" s="1"/>
  <c r="R30" i="146"/>
  <c r="Q31" i="146"/>
  <c r="R31" i="146"/>
  <c r="S31" i="146" a="1"/>
  <c r="S31" i="146" s="1"/>
  <c r="B36" i="147" s="1"/>
  <c r="Q32" i="146"/>
  <c r="S32" i="146" s="1" a="1"/>
  <c r="S32" i="146" s="1"/>
  <c r="B37" i="147" s="1"/>
  <c r="R32" i="146"/>
  <c r="Q33" i="146"/>
  <c r="R33" i="146"/>
  <c r="S33" i="146" a="1"/>
  <c r="S33" i="146"/>
  <c r="B38" i="147" s="1"/>
  <c r="Q34" i="146"/>
  <c r="S34" i="146" s="1" a="1"/>
  <c r="S34" i="146" s="1"/>
  <c r="B39" i="147" s="1"/>
  <c r="R34" i="146"/>
  <c r="Q35" i="146"/>
  <c r="R35" i="146"/>
  <c r="Q36" i="146"/>
  <c r="S36" i="146" s="1" a="1"/>
  <c r="S36" i="146" s="1"/>
  <c r="B41" i="147" s="1"/>
  <c r="R36" i="146"/>
  <c r="Q37" i="146"/>
  <c r="R37" i="146"/>
  <c r="S37" i="146" a="1"/>
  <c r="S37" i="146" s="1"/>
  <c r="B42" i="147" s="1"/>
  <c r="Q38" i="146"/>
  <c r="S38" i="146" s="1" a="1"/>
  <c r="S38" i="146" s="1"/>
  <c r="R38" i="146"/>
  <c r="Q39" i="146"/>
  <c r="R39" i="146"/>
  <c r="S39" i="146" a="1"/>
  <c r="S39" i="146" s="1"/>
  <c r="B44" i="147" s="1"/>
  <c r="Q40" i="146"/>
  <c r="S40" i="146" s="1" a="1"/>
  <c r="S40" i="146" s="1"/>
  <c r="B45" i="147" s="1"/>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c r="B54" i="147" s="1"/>
  <c r="Q50" i="146"/>
  <c r="S50" i="146" s="1" a="1"/>
  <c r="S50" i="146" s="1"/>
  <c r="B55" i="147" s="1"/>
  <c r="R50" i="146"/>
  <c r="Q51" i="146"/>
  <c r="R51" i="146"/>
  <c r="S51" i="146" a="1"/>
  <c r="S51" i="146" s="1"/>
  <c r="B56" i="147" s="1"/>
  <c r="Q52" i="146"/>
  <c r="S52" i="146" s="1" a="1"/>
  <c r="S52" i="146" s="1"/>
  <c r="B57" i="147" s="1"/>
  <c r="R52" i="146"/>
  <c r="Q53" i="146"/>
  <c r="R53" i="146"/>
  <c r="S53" i="146" a="1"/>
  <c r="S53" i="146" s="1"/>
  <c r="B58" i="147" s="1"/>
  <c r="Q54" i="146"/>
  <c r="R54" i="146"/>
  <c r="Q55" i="146"/>
  <c r="R55" i="146"/>
  <c r="S55" i="146" a="1"/>
  <c r="S55" i="146" s="1"/>
  <c r="B60" i="147" s="1"/>
  <c r="Q56" i="146"/>
  <c r="S56" i="146" s="1" a="1"/>
  <c r="S56" i="146" s="1"/>
  <c r="R56" i="146"/>
  <c r="Q57" i="146"/>
  <c r="R57" i="146"/>
  <c r="S57" i="146" a="1"/>
  <c r="S57" i="146" s="1"/>
  <c r="B19" i="146"/>
  <c r="B20" i="146"/>
  <c r="B21" i="146"/>
  <c r="C19" i="146"/>
  <c r="C20" i="146"/>
  <c r="C21"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235" i="138"/>
  <c r="Q35" i="140"/>
  <c r="S35" i="140" s="1" a="1"/>
  <c r="S35" i="140" s="1"/>
  <c r="B185" i="138" s="1"/>
  <c r="R35" i="140"/>
  <c r="Q36" i="140"/>
  <c r="S36" i="140" s="1" a="1"/>
  <c r="S36" i="140" s="1"/>
  <c r="B186" i="138" s="1"/>
  <c r="R36" i="140"/>
  <c r="Q37" i="140"/>
  <c r="S37" i="140" s="1" a="1"/>
  <c r="S37" i="140" s="1"/>
  <c r="B187" i="138" s="1"/>
  <c r="R37" i="140"/>
  <c r="Q38" i="140"/>
  <c r="S38" i="140" s="1" a="1"/>
  <c r="S38" i="140" s="1"/>
  <c r="B188" i="138" s="1"/>
  <c r="R38" i="140"/>
  <c r="Q39" i="140"/>
  <c r="S39" i="140" s="1" a="1"/>
  <c r="S39" i="140" s="1"/>
  <c r="B189" i="138" s="1"/>
  <c r="R39" i="140"/>
  <c r="Q40" i="140"/>
  <c r="S40" i="140" s="1" a="1"/>
  <c r="S40" i="140" s="1"/>
  <c r="B190" i="138" s="1"/>
  <c r="R40" i="140"/>
  <c r="Q41" i="140"/>
  <c r="S41" i="140" s="1" a="1"/>
  <c r="S41" i="140" s="1"/>
  <c r="B191" i="138" s="1"/>
  <c r="R41" i="140"/>
  <c r="Q42" i="140"/>
  <c r="S42" i="140" s="1" a="1"/>
  <c r="S42" i="140" s="1"/>
  <c r="B192" i="138" s="1"/>
  <c r="R42" i="140"/>
  <c r="Q43" i="140"/>
  <c r="S43" i="140" s="1" a="1"/>
  <c r="S43" i="140" s="1"/>
  <c r="B193" i="138" s="1"/>
  <c r="R43" i="140"/>
  <c r="Q44" i="140"/>
  <c r="S44" i="140" s="1" a="1"/>
  <c r="S44" i="140" s="1"/>
  <c r="B194" i="138" s="1"/>
  <c r="R44" i="140"/>
  <c r="Q45" i="140"/>
  <c r="S45" i="140" s="1" a="1"/>
  <c r="S45" i="140" s="1"/>
  <c r="B195" i="138" s="1"/>
  <c r="R45" i="140"/>
  <c r="Q46" i="140"/>
  <c r="S46" i="140" s="1" a="1"/>
  <c r="S46" i="140" s="1"/>
  <c r="B196" i="138" s="1"/>
  <c r="R46" i="140"/>
  <c r="Q47" i="140"/>
  <c r="S47" i="140" s="1" a="1"/>
  <c r="S47" i="140" s="1"/>
  <c r="B197" i="138" s="1"/>
  <c r="R47" i="140"/>
  <c r="Q48" i="140"/>
  <c r="S48" i="140" s="1" a="1"/>
  <c r="S48" i="140" s="1"/>
  <c r="B198" i="138" s="1"/>
  <c r="R48" i="140"/>
  <c r="Q49" i="140"/>
  <c r="S49" i="140" s="1" a="1"/>
  <c r="S49" i="140" s="1"/>
  <c r="B199" i="138" s="1"/>
  <c r="R49" i="140"/>
  <c r="Q50" i="140"/>
  <c r="S50" i="140" s="1" a="1"/>
  <c r="S50" i="140" s="1"/>
  <c r="B200" i="138" s="1"/>
  <c r="R50" i="140"/>
  <c r="Q51" i="140"/>
  <c r="S51" i="140" s="1" a="1"/>
  <c r="S51" i="140" s="1"/>
  <c r="B201" i="138" s="1"/>
  <c r="R51" i="140"/>
  <c r="Q52" i="140"/>
  <c r="S52" i="140" s="1" a="1"/>
  <c r="S52" i="140" s="1"/>
  <c r="B202" i="138" s="1"/>
  <c r="R52" i="140"/>
  <c r="Q53" i="140"/>
  <c r="S53" i="140" s="1" a="1"/>
  <c r="S53" i="140" s="1"/>
  <c r="B203" i="138" s="1"/>
  <c r="R53" i="140"/>
  <c r="Q54" i="140"/>
  <c r="S54" i="140" s="1" a="1"/>
  <c r="S54" i="140" s="1"/>
  <c r="B204" i="138" s="1"/>
  <c r="R54" i="140"/>
  <c r="Q55" i="140"/>
  <c r="S55" i="140" s="1" a="1"/>
  <c r="S55" i="140" s="1"/>
  <c r="B205" i="138" s="1"/>
  <c r="R55" i="140"/>
  <c r="Q56" i="140"/>
  <c r="S56" i="140" s="1" a="1"/>
  <c r="S56" i="140" s="1"/>
  <c r="B206" i="138" s="1"/>
  <c r="R56" i="140"/>
  <c r="Q57" i="140"/>
  <c r="S57" i="140" s="1" a="1"/>
  <c r="S57" i="140" s="1"/>
  <c r="B207" i="138" s="1"/>
  <c r="R57" i="140"/>
  <c r="Q58" i="140"/>
  <c r="S58" i="140" s="1" a="1"/>
  <c r="S58" i="140" s="1"/>
  <c r="B208" i="138" s="1"/>
  <c r="R58" i="140"/>
  <c r="Q59" i="140"/>
  <c r="S59" i="140" s="1" a="1"/>
  <c r="S59" i="140" s="1"/>
  <c r="B209" i="138" s="1"/>
  <c r="R59" i="140"/>
  <c r="Q60" i="140"/>
  <c r="S60" i="140" s="1" a="1"/>
  <c r="S60" i="140" s="1"/>
  <c r="B210" i="138" s="1"/>
  <c r="R60" i="140"/>
  <c r="Q61" i="140"/>
  <c r="S61" i="140" s="1" a="1"/>
  <c r="S61" i="140" s="1"/>
  <c r="B211" i="138" s="1"/>
  <c r="R61" i="140"/>
  <c r="Q62" i="140"/>
  <c r="S62" i="140" s="1" a="1"/>
  <c r="S62" i="140" s="1"/>
  <c r="B212" i="138" s="1"/>
  <c r="R62" i="140"/>
  <c r="Q63" i="140"/>
  <c r="S63" i="140" s="1" a="1"/>
  <c r="S63" i="140" s="1"/>
  <c r="B213" i="138" s="1"/>
  <c r="R63" i="140"/>
  <c r="Q64" i="140"/>
  <c r="S64" i="140" s="1" a="1"/>
  <c r="S64" i="140" s="1"/>
  <c r="B214" i="138" s="1"/>
  <c r="R64" i="140"/>
  <c r="Q65" i="140"/>
  <c r="S65" i="140" s="1" a="1"/>
  <c r="S65" i="140" s="1"/>
  <c r="B215" i="138" s="1"/>
  <c r="R65" i="140"/>
  <c r="Q66" i="140"/>
  <c r="S66" i="140" s="1" a="1"/>
  <c r="S66" i="140" s="1"/>
  <c r="B216" i="138" s="1"/>
  <c r="R66" i="140"/>
  <c r="Q67" i="140"/>
  <c r="S67" i="140" s="1" a="1"/>
  <c r="S67" i="140" s="1"/>
  <c r="B217" i="138" s="1"/>
  <c r="R67" i="140"/>
  <c r="Q68" i="140"/>
  <c r="S68" i="140" s="1" a="1"/>
  <c r="S68" i="140" s="1"/>
  <c r="B218" i="138" s="1"/>
  <c r="R68" i="140"/>
  <c r="Q69" i="140"/>
  <c r="S69" i="140" s="1" a="1"/>
  <c r="S69" i="140" s="1"/>
  <c r="B219" i="138" s="1"/>
  <c r="R69" i="140"/>
  <c r="Q70" i="140"/>
  <c r="S70" i="140" s="1" a="1"/>
  <c r="S70" i="140" s="1"/>
  <c r="B220" i="138" s="1"/>
  <c r="R70" i="140"/>
  <c r="Q71" i="140"/>
  <c r="S71" i="140" s="1" a="1"/>
  <c r="S71" i="140" s="1"/>
  <c r="B221" i="138" s="1"/>
  <c r="R71" i="140"/>
  <c r="Q72" i="140"/>
  <c r="S72" i="140" s="1" a="1"/>
  <c r="S72" i="140" s="1"/>
  <c r="B222" i="138" s="1"/>
  <c r="R72" i="140"/>
  <c r="Q73" i="140"/>
  <c r="S73" i="140" s="1" a="1"/>
  <c r="S73" i="140" s="1"/>
  <c r="B223" i="138" s="1"/>
  <c r="R73" i="140"/>
  <c r="Q74" i="140"/>
  <c r="S74" i="140" s="1" a="1"/>
  <c r="S74" i="140" s="1"/>
  <c r="B224" i="138" s="1"/>
  <c r="R74" i="140"/>
  <c r="Q75" i="140"/>
  <c r="S75" i="140" s="1" a="1"/>
  <c r="S75" i="140" s="1"/>
  <c r="B225" i="138" s="1"/>
  <c r="R75" i="140"/>
  <c r="Q76" i="140"/>
  <c r="S76" i="140" s="1" a="1"/>
  <c r="S76" i="140" s="1"/>
  <c r="B226" i="138" s="1"/>
  <c r="R76" i="140"/>
  <c r="Q77" i="140"/>
  <c r="S77" i="140" s="1" a="1"/>
  <c r="S77" i="140" s="1"/>
  <c r="B227" i="138" s="1"/>
  <c r="R77" i="140"/>
  <c r="Q78" i="140"/>
  <c r="S78" i="140" s="1" a="1"/>
  <c r="S78" i="140" s="1"/>
  <c r="B228" i="138" s="1"/>
  <c r="R78" i="140"/>
  <c r="Q79" i="140"/>
  <c r="S79" i="140" s="1" a="1"/>
  <c r="S79" i="140" s="1"/>
  <c r="B229" i="138" s="1"/>
  <c r="R79" i="140"/>
  <c r="Q80" i="140"/>
  <c r="R80" i="140"/>
  <c r="Q81" i="140"/>
  <c r="S81" i="140" s="1" a="1"/>
  <c r="S81" i="140" s="1"/>
  <c r="B231" i="138" s="1"/>
  <c r="R81" i="140"/>
  <c r="Q82" i="140"/>
  <c r="S82" i="140" s="1" a="1"/>
  <c r="S82" i="140" s="1"/>
  <c r="B232" i="138" s="1"/>
  <c r="R82" i="140"/>
  <c r="Q83" i="140"/>
  <c r="S83" i="140" s="1" a="1"/>
  <c r="S83" i="140" s="1"/>
  <c r="B233" i="138" s="1"/>
  <c r="R83" i="140"/>
  <c r="Q84" i="140"/>
  <c r="S84" i="140" s="1" a="1"/>
  <c r="S84" i="140" s="1"/>
  <c r="B234" i="138" s="1"/>
  <c r="R84" i="140"/>
  <c r="Q85" i="140"/>
  <c r="S85" i="140" s="1" a="1"/>
  <c r="S85" i="140" s="1"/>
  <c r="R85" i="140"/>
  <c r="Q86" i="140"/>
  <c r="S86" i="140" s="1" a="1"/>
  <c r="S86" i="140" s="1"/>
  <c r="B236" i="138" s="1"/>
  <c r="R86" i="140"/>
  <c r="Q87" i="140"/>
  <c r="S87" i="140" s="1" a="1"/>
  <c r="S87" i="140" s="1"/>
  <c r="B237" i="138" s="1"/>
  <c r="R87" i="140"/>
  <c r="Q88" i="140"/>
  <c r="S88" i="140" s="1" a="1"/>
  <c r="S88" i="140" s="1"/>
  <c r="B238" i="138" s="1"/>
  <c r="R88" i="140"/>
  <c r="Q89" i="140"/>
  <c r="S89" i="140" s="1" a="1"/>
  <c r="S89" i="140" s="1"/>
  <c r="B239" i="138" s="1"/>
  <c r="R89" i="140"/>
  <c r="Q90" i="140"/>
  <c r="S90" i="140" s="1" a="1"/>
  <c r="S90" i="140" s="1"/>
  <c r="B240" i="138" s="1"/>
  <c r="R90" i="140"/>
  <c r="Q91" i="140"/>
  <c r="S91" i="140" s="1" a="1"/>
  <c r="S91" i="140" s="1"/>
  <c r="B241" i="138" s="1"/>
  <c r="R91" i="140"/>
  <c r="Q92" i="140"/>
  <c r="S92" i="140" s="1" a="1"/>
  <c r="S92" i="140" s="1"/>
  <c r="B242" i="138" s="1"/>
  <c r="R92" i="140"/>
  <c r="Q93" i="140"/>
  <c r="S93" i="140" s="1" a="1"/>
  <c r="S93" i="140" s="1"/>
  <c r="B243" i="138" s="1"/>
  <c r="R93" i="140"/>
  <c r="Q94" i="140"/>
  <c r="R94" i="140"/>
  <c r="Q95" i="140"/>
  <c r="R95" i="140"/>
  <c r="Q96" i="140"/>
  <c r="S96" i="140" s="1" a="1"/>
  <c r="S96" i="140" s="1"/>
  <c r="B246" i="138" s="1"/>
  <c r="R96" i="140"/>
  <c r="Q97" i="140"/>
  <c r="S97" i="140" s="1" a="1"/>
  <c r="S97" i="140" s="1"/>
  <c r="B247" i="138" s="1"/>
  <c r="R97" i="140"/>
  <c r="Q98" i="140"/>
  <c r="S98" i="140" s="1" a="1"/>
  <c r="S98" i="140" s="1"/>
  <c r="B248" i="138" s="1"/>
  <c r="R98" i="140"/>
  <c r="Q99" i="140"/>
  <c r="S99" i="140" s="1" a="1"/>
  <c r="S99" i="140" s="1"/>
  <c r="B249" i="138" s="1"/>
  <c r="R99" i="140"/>
  <c r="Q100" i="140"/>
  <c r="S100" i="140" s="1" a="1"/>
  <c r="S100" i="140" s="1"/>
  <c r="B250" i="138" s="1"/>
  <c r="R100" i="140"/>
  <c r="Q101" i="140"/>
  <c r="S101" i="140" s="1" a="1"/>
  <c r="S101" i="140" s="1"/>
  <c r="B251" i="138" s="1"/>
  <c r="R101" i="140"/>
  <c r="Q102" i="140"/>
  <c r="S102" i="140" s="1" a="1"/>
  <c r="S102" i="140" s="1"/>
  <c r="B252" i="138" s="1"/>
  <c r="R102" i="140"/>
  <c r="Q103" i="140"/>
  <c r="S103" i="140" s="1" a="1"/>
  <c r="S103" i="140" s="1"/>
  <c r="B253" i="138" s="1"/>
  <c r="R103" i="140"/>
  <c r="Q104" i="140"/>
  <c r="S104" i="140" s="1" a="1"/>
  <c r="S104" i="140" s="1"/>
  <c r="B254" i="138" s="1"/>
  <c r="R104" i="140"/>
  <c r="Q105" i="140"/>
  <c r="S105" i="140" s="1" a="1"/>
  <c r="S105" i="140" s="1"/>
  <c r="B255" i="138" s="1"/>
  <c r="R105" i="140"/>
  <c r="Q106" i="140"/>
  <c r="S106" i="140" s="1" a="1"/>
  <c r="S106" i="140" s="1"/>
  <c r="B256" i="138" s="1"/>
  <c r="R106" i="140"/>
  <c r="Q107" i="140"/>
  <c r="S107" i="140" s="1" a="1"/>
  <c r="S107" i="140" s="1"/>
  <c r="B257" i="138" s="1"/>
  <c r="R107" i="140"/>
  <c r="Q108" i="140"/>
  <c r="S108" i="140" s="1" a="1"/>
  <c r="S108" i="140" s="1"/>
  <c r="B258" i="138" s="1"/>
  <c r="R108" i="140"/>
  <c r="Q109" i="140"/>
  <c r="S109" i="140" s="1" a="1"/>
  <c r="S109" i="140" s="1"/>
  <c r="B259" i="138" s="1"/>
  <c r="R109" i="140"/>
  <c r="Q110" i="140"/>
  <c r="S110" i="140" s="1" a="1"/>
  <c r="R110" i="140"/>
  <c r="S110" i="140"/>
  <c r="B260" i="138" s="1"/>
  <c r="Q111" i="140"/>
  <c r="S111" i="140" s="1" a="1"/>
  <c r="S111" i="140" s="1"/>
  <c r="B261" i="138" s="1"/>
  <c r="R111" i="140"/>
  <c r="Q112" i="140"/>
  <c r="S112" i="140" s="1" a="1"/>
  <c r="S112" i="140" s="1"/>
  <c r="B262" i="138" s="1"/>
  <c r="R112" i="140"/>
  <c r="Q113" i="140"/>
  <c r="S113" i="140" s="1" a="1"/>
  <c r="S113" i="140" s="1"/>
  <c r="B263" i="138" s="1"/>
  <c r="R113" i="140"/>
  <c r="Q114" i="140"/>
  <c r="S114" i="140" s="1" a="1"/>
  <c r="S114" i="140" s="1"/>
  <c r="B264" i="138" s="1"/>
  <c r="R114" i="140"/>
  <c r="Q115" i="140"/>
  <c r="S115" i="140" s="1" a="1"/>
  <c r="S115" i="140" s="1"/>
  <c r="B265" i="138" s="1"/>
  <c r="R115" i="140"/>
  <c r="Q116" i="140"/>
  <c r="S116" i="140" s="1" a="1"/>
  <c r="S116" i="140" s="1"/>
  <c r="B266" i="138" s="1"/>
  <c r="R116" i="140"/>
  <c r="Q117" i="140"/>
  <c r="S117" i="140" s="1" a="1"/>
  <c r="S117" i="140" s="1"/>
  <c r="B267" i="138" s="1"/>
  <c r="R117" i="140"/>
  <c r="Q118" i="140"/>
  <c r="S118" i="140" s="1" a="1"/>
  <c r="S118" i="140" s="1"/>
  <c r="B268" i="138" s="1"/>
  <c r="R118" i="140"/>
  <c r="Q119" i="140"/>
  <c r="S119" i="140" s="1" a="1"/>
  <c r="S119" i="140" s="1"/>
  <c r="B269" i="138" s="1"/>
  <c r="R119" i="140"/>
  <c r="Q120" i="140"/>
  <c r="S120" i="140" s="1" a="1"/>
  <c r="S120" i="140" s="1"/>
  <c r="B270" i="138" s="1"/>
  <c r="R120" i="140"/>
  <c r="Q121" i="140"/>
  <c r="S121" i="140" s="1" a="1"/>
  <c r="S121" i="140" s="1"/>
  <c r="B271" i="138" s="1"/>
  <c r="R121" i="140"/>
  <c r="Q122" i="140"/>
  <c r="S122" i="140" s="1" a="1"/>
  <c r="S122" i="140" s="1"/>
  <c r="B272" i="138" s="1"/>
  <c r="R122" i="140"/>
  <c r="Q123" i="140"/>
  <c r="S123" i="140" s="1" a="1"/>
  <c r="S123" i="140" s="1"/>
  <c r="B273" i="138" s="1"/>
  <c r="R123" i="140"/>
  <c r="Q124" i="140"/>
  <c r="S124" i="140" s="1" a="1"/>
  <c r="S124" i="140" s="1"/>
  <c r="B274" i="138" s="1"/>
  <c r="R124" i="140"/>
  <c r="Q125" i="140"/>
  <c r="S125" i="140" s="1" a="1"/>
  <c r="S125" i="140" s="1"/>
  <c r="B275" i="138" s="1"/>
  <c r="R125" i="140"/>
  <c r="Q126" i="140"/>
  <c r="S126" i="140" s="1" a="1"/>
  <c r="S126" i="140" s="1"/>
  <c r="B276" i="138" s="1"/>
  <c r="R126" i="140"/>
  <c r="Q127" i="140"/>
  <c r="S127" i="140" s="1" a="1"/>
  <c r="S127" i="140" s="1"/>
  <c r="B277" i="138" s="1"/>
  <c r="R127" i="140"/>
  <c r="Q128" i="140"/>
  <c r="S128" i="140" s="1" a="1"/>
  <c r="S128" i="140" s="1"/>
  <c r="B278" i="138" s="1"/>
  <c r="R128" i="140"/>
  <c r="Q129" i="140"/>
  <c r="S129" i="140" s="1" a="1"/>
  <c r="S129" i="140" s="1"/>
  <c r="B279" i="138" s="1"/>
  <c r="R129" i="140"/>
  <c r="Q130" i="140"/>
  <c r="S130" i="140" s="1" a="1"/>
  <c r="S130" i="140" s="1"/>
  <c r="B280" i="138" s="1"/>
  <c r="R130" i="140"/>
  <c r="Q131" i="140"/>
  <c r="S131" i="140" s="1" a="1"/>
  <c r="S131" i="140" s="1"/>
  <c r="B281" i="138" s="1"/>
  <c r="R131" i="140"/>
  <c r="Q132" i="140"/>
  <c r="S132" i="140" s="1" a="1"/>
  <c r="S132" i="140" s="1"/>
  <c r="B282" i="138" s="1"/>
  <c r="R132" i="140"/>
  <c r="Q133" i="140"/>
  <c r="S133" i="140" s="1" a="1"/>
  <c r="S133" i="140" s="1"/>
  <c r="B283" i="138" s="1"/>
  <c r="R133" i="140"/>
  <c r="Q134" i="140"/>
  <c r="S134" i="140" s="1" a="1"/>
  <c r="S134" i="140" s="1"/>
  <c r="B284" i="138" s="1"/>
  <c r="R134" i="140"/>
  <c r="Q135" i="140"/>
  <c r="S135" i="140" s="1" a="1"/>
  <c r="S135" i="140" s="1"/>
  <c r="B285" i="138" s="1"/>
  <c r="R135" i="140"/>
  <c r="Q136" i="140"/>
  <c r="S136" i="140" s="1" a="1"/>
  <c r="S136" i="140" s="1"/>
  <c r="B286" i="138" s="1"/>
  <c r="R136" i="140"/>
  <c r="Q137" i="140"/>
  <c r="S137" i="140" s="1" a="1"/>
  <c r="S137" i="140" s="1"/>
  <c r="B287" i="138" s="1"/>
  <c r="R137" i="140"/>
  <c r="Q138" i="140"/>
  <c r="S138" i="140" s="1" a="1"/>
  <c r="S138" i="140" s="1"/>
  <c r="B288" i="138" s="1"/>
  <c r="R138" i="140"/>
  <c r="Q139" i="140"/>
  <c r="S139" i="140" s="1" a="1"/>
  <c r="S139" i="140" s="1"/>
  <c r="B289" i="138" s="1"/>
  <c r="R139" i="140"/>
  <c r="Q140" i="140"/>
  <c r="S140" i="140" s="1" a="1"/>
  <c r="S140" i="140" s="1"/>
  <c r="B290" i="138" s="1"/>
  <c r="R140" i="140"/>
  <c r="Q141" i="140"/>
  <c r="S141" i="140" s="1" a="1"/>
  <c r="S141" i="140" s="1"/>
  <c r="B291" i="138" s="1"/>
  <c r="R141" i="140"/>
  <c r="Q142" i="140"/>
  <c r="S142" i="140" s="1" a="1"/>
  <c r="S142" i="140" s="1"/>
  <c r="B292" i="138" s="1"/>
  <c r="R142" i="140"/>
  <c r="Q143" i="140"/>
  <c r="S143" i="140" s="1" a="1"/>
  <c r="S143" i="140" s="1"/>
  <c r="B293" i="138" s="1"/>
  <c r="R143" i="140"/>
  <c r="Q144" i="140"/>
  <c r="S144" i="140" s="1" a="1"/>
  <c r="S144" i="140" s="1"/>
  <c r="B294" i="138" s="1"/>
  <c r="R144" i="140"/>
  <c r="Q145" i="140"/>
  <c r="S145" i="140" s="1" a="1"/>
  <c r="S145" i="140" s="1"/>
  <c r="B295" i="138" s="1"/>
  <c r="R145" i="140"/>
  <c r="Q146" i="140"/>
  <c r="S146" i="140" s="1" a="1"/>
  <c r="S146" i="140" s="1"/>
  <c r="B296" i="138" s="1"/>
  <c r="R146" i="140"/>
  <c r="Q147" i="140"/>
  <c r="S147" i="140" s="1" a="1"/>
  <c r="S147" i="140" s="1"/>
  <c r="B297" i="138" s="1"/>
  <c r="R147" i="140"/>
  <c r="Q148" i="140"/>
  <c r="S148" i="140" s="1" a="1"/>
  <c r="S148" i="140" s="1"/>
  <c r="B298" i="138" s="1"/>
  <c r="R148" i="140"/>
  <c r="Q149" i="140"/>
  <c r="S149" i="140" s="1" a="1"/>
  <c r="S149" i="140" s="1"/>
  <c r="B299" i="138" s="1"/>
  <c r="R149" i="140"/>
  <c r="Q150" i="140"/>
  <c r="S150" i="140" s="1" a="1"/>
  <c r="S150" i="140" s="1"/>
  <c r="B300" i="138" s="1"/>
  <c r="R150" i="140"/>
  <c r="Q151" i="140"/>
  <c r="S151" i="140" s="1" a="1"/>
  <c r="S151" i="140" s="1"/>
  <c r="B301" i="138" s="1"/>
  <c r="R151" i="140"/>
  <c r="Q152" i="140"/>
  <c r="S152" i="140" s="1" a="1"/>
  <c r="S152" i="140" s="1"/>
  <c r="B302" i="138" s="1"/>
  <c r="R152" i="140"/>
  <c r="Q153" i="140"/>
  <c r="S153" i="140" s="1" a="1"/>
  <c r="S153" i="140" s="1"/>
  <c r="B303" i="138" s="1"/>
  <c r="R153" i="140"/>
  <c r="Q154" i="140"/>
  <c r="S154" i="140" s="1" a="1"/>
  <c r="S154" i="140" s="1"/>
  <c r="B304" i="138" s="1"/>
  <c r="R154" i="140"/>
  <c r="Q155" i="140"/>
  <c r="S155" i="140" s="1" a="1"/>
  <c r="S155" i="140" s="1"/>
  <c r="B305" i="138"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B166" i="138" s="1"/>
  <c r="R16" i="140"/>
  <c r="Q17" i="140"/>
  <c r="S17" i="140" s="1" a="1"/>
  <c r="S17" i="140" s="1"/>
  <c r="B167" i="138" s="1"/>
  <c r="R17" i="140"/>
  <c r="Q18" i="140"/>
  <c r="S18" i="140" s="1" a="1"/>
  <c r="S18" i="140" s="1"/>
  <c r="B168" i="138" s="1"/>
  <c r="R18" i="140"/>
  <c r="Q19" i="140"/>
  <c r="S19" i="140" s="1" a="1"/>
  <c r="S19" i="140" s="1"/>
  <c r="B169" i="138" s="1"/>
  <c r="R19" i="140"/>
  <c r="Q20" i="140"/>
  <c r="S20" i="140" s="1" a="1"/>
  <c r="S20" i="140" s="1"/>
  <c r="B170" i="138" s="1"/>
  <c r="R20" i="140"/>
  <c r="Q21" i="140"/>
  <c r="S21" i="140" s="1" a="1"/>
  <c r="S21" i="140" s="1"/>
  <c r="B171" i="138" s="1"/>
  <c r="R21" i="140"/>
  <c r="Q22" i="140"/>
  <c r="S22" i="140" s="1" a="1"/>
  <c r="S22" i="140" s="1"/>
  <c r="B172" i="138" s="1"/>
  <c r="R22" i="140"/>
  <c r="Q23" i="140"/>
  <c r="S23" i="140" s="1" a="1"/>
  <c r="S23" i="140" s="1"/>
  <c r="B173" i="138" s="1"/>
  <c r="R23" i="140"/>
  <c r="Q24" i="140"/>
  <c r="S24" i="140" s="1" a="1"/>
  <c r="S24" i="140" s="1"/>
  <c r="B174" i="138" s="1"/>
  <c r="R24" i="140"/>
  <c r="Q25" i="140"/>
  <c r="S25" i="140" s="1" a="1"/>
  <c r="S25" i="140" s="1"/>
  <c r="B175" i="138" s="1"/>
  <c r="R25" i="140"/>
  <c r="Q26" i="140"/>
  <c r="S26" i="140" s="1" a="1"/>
  <c r="S26" i="140" s="1"/>
  <c r="B176" i="138" s="1"/>
  <c r="R26" i="140"/>
  <c r="Q27" i="140"/>
  <c r="S27" i="140" s="1" a="1"/>
  <c r="S27" i="140" s="1"/>
  <c r="B177" i="138" s="1"/>
  <c r="R27" i="140"/>
  <c r="Q28" i="140"/>
  <c r="S28" i="140" s="1" a="1"/>
  <c r="S28" i="140" s="1"/>
  <c r="B178" i="138" s="1"/>
  <c r="R28" i="140"/>
  <c r="Q29" i="140"/>
  <c r="S29" i="140" s="1" a="1"/>
  <c r="S29" i="140" s="1"/>
  <c r="B179" i="138" s="1"/>
  <c r="R29" i="140"/>
  <c r="Q30" i="140"/>
  <c r="S30" i="140" s="1" a="1"/>
  <c r="S30" i="140" s="1"/>
  <c r="B180" i="138" s="1"/>
  <c r="R30" i="140"/>
  <c r="Q31" i="140"/>
  <c r="S31" i="140" s="1" a="1"/>
  <c r="S31" i="140" s="1"/>
  <c r="B181" i="138" s="1"/>
  <c r="R31" i="140"/>
  <c r="Q32" i="140"/>
  <c r="S32" i="140" s="1" a="1"/>
  <c r="S32" i="140" s="1"/>
  <c r="B182" i="138" s="1"/>
  <c r="R32" i="140"/>
  <c r="Q33" i="140"/>
  <c r="S33" i="140" s="1" a="1"/>
  <c r="S33" i="140" s="1"/>
  <c r="B183" i="138" s="1"/>
  <c r="R33" i="140"/>
  <c r="Q34" i="140"/>
  <c r="S34" i="140" s="1" a="1"/>
  <c r="S34" i="140" s="1"/>
  <c r="B184" i="138"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B38" i="138" s="1"/>
  <c r="R33" i="137"/>
  <c r="Q34" i="137"/>
  <c r="S34" i="137" s="1" a="1"/>
  <c r="S34" i="137" s="1"/>
  <c r="B39" i="138" s="1"/>
  <c r="R34" i="137"/>
  <c r="Q35" i="137"/>
  <c r="S35" i="137" s="1" a="1"/>
  <c r="S35" i="137" s="1"/>
  <c r="B40" i="138" s="1"/>
  <c r="R35" i="137"/>
  <c r="Q36" i="137"/>
  <c r="S36" i="137" s="1" a="1"/>
  <c r="S36" i="137" s="1"/>
  <c r="B41" i="138" s="1"/>
  <c r="R36" i="137"/>
  <c r="Q37" i="137"/>
  <c r="S37" i="137" s="1" a="1"/>
  <c r="S37" i="137" s="1"/>
  <c r="B42" i="138" s="1"/>
  <c r="R37" i="137"/>
  <c r="Q38" i="137"/>
  <c r="S38" i="137" s="1" a="1"/>
  <c r="S38" i="137" s="1"/>
  <c r="B43" i="138" s="1"/>
  <c r="R38" i="137"/>
  <c r="Q39" i="137"/>
  <c r="S39" i="137" s="1" a="1"/>
  <c r="S39" i="137" s="1"/>
  <c r="B44" i="138" s="1"/>
  <c r="R39" i="137"/>
  <c r="Q40" i="137"/>
  <c r="S40" i="137" s="1" a="1"/>
  <c r="S40" i="137" s="1"/>
  <c r="B45" i="138" s="1"/>
  <c r="R40" i="137"/>
  <c r="Q41" i="137"/>
  <c r="S41" i="137" s="1" a="1"/>
  <c r="S41" i="137" s="1"/>
  <c r="B46" i="138" s="1"/>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S53" i="137" s="1" a="1"/>
  <c r="S53" i="137" s="1"/>
  <c r="B58" i="138" s="1"/>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S59" i="137" s="1" a="1"/>
  <c r="S59" i="137" s="1"/>
  <c r="B64" i="138" s="1"/>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S65" i="137" s="1" a="1"/>
  <c r="S65" i="137" s="1"/>
  <c r="B70" i="138" s="1"/>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S71" i="137" s="1" a="1"/>
  <c r="S71" i="137" s="1"/>
  <c r="B76" i="138" s="1"/>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S83" i="137" s="1" a="1"/>
  <c r="S83" i="137" s="1"/>
  <c r="B88" i="138" s="1"/>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S89" i="137" s="1" a="1"/>
  <c r="S89" i="137" s="1"/>
  <c r="B94" i="138" s="1"/>
  <c r="R89" i="137"/>
  <c r="Q90" i="137"/>
  <c r="S90" i="137" s="1" a="1"/>
  <c r="S90" i="137" s="1"/>
  <c r="B95" i="138" s="1"/>
  <c r="R90" i="137"/>
  <c r="Q91" i="137"/>
  <c r="S91" i="137" s="1" a="1"/>
  <c r="S91" i="137" s="1"/>
  <c r="B96" i="138" s="1"/>
  <c r="R91" i="137"/>
  <c r="Q92" i="137"/>
  <c r="S92" i="137" s="1" a="1"/>
  <c r="S92" i="137" s="1"/>
  <c r="B97" i="138" s="1"/>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S98" i="137" s="1" a="1"/>
  <c r="S98" i="137" s="1"/>
  <c r="B103" i="138" s="1"/>
  <c r="R98" i="137"/>
  <c r="Q99" i="137"/>
  <c r="S99" i="137" s="1" a="1"/>
  <c r="S99" i="137" s="1"/>
  <c r="B104" i="138" s="1"/>
  <c r="R99" i="137"/>
  <c r="Q100" i="137"/>
  <c r="S100" i="137" s="1" a="1"/>
  <c r="S100" i="137" s="1"/>
  <c r="B105" i="138" s="1"/>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S105" i="137" s="1" a="1"/>
  <c r="S105" i="137" s="1"/>
  <c r="B110" i="138" s="1"/>
  <c r="R105" i="137"/>
  <c r="Q106" i="137"/>
  <c r="S106" i="137" s="1" a="1"/>
  <c r="S106" i="137" s="1"/>
  <c r="B111" i="138" s="1"/>
  <c r="R106" i="137"/>
  <c r="Q107" i="137"/>
  <c r="S107" i="137" s="1" a="1"/>
  <c r="S107" i="137" s="1"/>
  <c r="B112" i="138" s="1"/>
  <c r="R107" i="137"/>
  <c r="Q108" i="137"/>
  <c r="S108" i="137" s="1" a="1"/>
  <c r="S108" i="137" s="1"/>
  <c r="B113" i="138" s="1"/>
  <c r="R108" i="137"/>
  <c r="Q109" i="137"/>
  <c r="S109" i="137" s="1" a="1"/>
  <c r="S109" i="137" s="1"/>
  <c r="B114" i="138" s="1"/>
  <c r="R109" i="137"/>
  <c r="Q110" i="137"/>
  <c r="S110" i="137" s="1" a="1"/>
  <c r="S110" i="137" s="1"/>
  <c r="B115" i="138" s="1"/>
  <c r="R110" i="137"/>
  <c r="Q111" i="137"/>
  <c r="S111" i="137" s="1" a="1"/>
  <c r="S111" i="137" s="1"/>
  <c r="B116" i="138" s="1"/>
  <c r="R111" i="137"/>
  <c r="Q112" i="137"/>
  <c r="S112" i="137" s="1" a="1"/>
  <c r="S112" i="137" s="1"/>
  <c r="B117" i="138" s="1"/>
  <c r="R112" i="137"/>
  <c r="Q113" i="137"/>
  <c r="S113" i="137" s="1" a="1"/>
  <c r="S113" i="137" s="1"/>
  <c r="B118" i="138" s="1"/>
  <c r="R113" i="137"/>
  <c r="Q114" i="137"/>
  <c r="S114" i="137" s="1" a="1"/>
  <c r="S114" i="137" s="1"/>
  <c r="B119" i="138" s="1"/>
  <c r="R114" i="137"/>
  <c r="Q115" i="137"/>
  <c r="S115" i="137" s="1" a="1"/>
  <c r="S115" i="137" s="1"/>
  <c r="B120" i="138" s="1"/>
  <c r="R115" i="137"/>
  <c r="Q116" i="137"/>
  <c r="S116" i="137" s="1" a="1"/>
  <c r="S116" i="137" s="1"/>
  <c r="B121" i="138" s="1"/>
  <c r="R116" i="137"/>
  <c r="Q117" i="137"/>
  <c r="S117" i="137" s="1" a="1"/>
  <c r="S117" i="137" s="1"/>
  <c r="B122" i="138" s="1"/>
  <c r="R117" i="137"/>
  <c r="Q118" i="137"/>
  <c r="S118" i="137" s="1" a="1"/>
  <c r="S118" i="137" s="1"/>
  <c r="B123" i="138" s="1"/>
  <c r="R118" i="137"/>
  <c r="Q119" i="137"/>
  <c r="S119" i="137" s="1" a="1"/>
  <c r="S119" i="137" s="1"/>
  <c r="B124" i="138" s="1"/>
  <c r="R119" i="137"/>
  <c r="Q120" i="137"/>
  <c r="S120" i="137" s="1" a="1"/>
  <c r="S120" i="137" s="1"/>
  <c r="B125" i="138" s="1"/>
  <c r="R120" i="137"/>
  <c r="Q121" i="137"/>
  <c r="S121" i="137" s="1" a="1"/>
  <c r="S121" i="137" s="1"/>
  <c r="B126" i="138" s="1"/>
  <c r="R121" i="137"/>
  <c r="Q122" i="137"/>
  <c r="S122" i="137" s="1" a="1"/>
  <c r="S122" i="137" s="1"/>
  <c r="B127" i="138" s="1"/>
  <c r="R122" i="137"/>
  <c r="Q123" i="137"/>
  <c r="S123" i="137" s="1" a="1"/>
  <c r="S123" i="137" s="1"/>
  <c r="B128" i="138" s="1"/>
  <c r="R123" i="137"/>
  <c r="Q124" i="137"/>
  <c r="S124" i="137" s="1" a="1"/>
  <c r="S124" i="137" s="1"/>
  <c r="B129" i="138" s="1"/>
  <c r="R124" i="137"/>
  <c r="Q125" i="137"/>
  <c r="S125" i="137" s="1" a="1"/>
  <c r="S125" i="137" s="1"/>
  <c r="B130" i="138" s="1"/>
  <c r="R125" i="137"/>
  <c r="Q126" i="137"/>
  <c r="S126" i="137" s="1" a="1"/>
  <c r="S126" i="137" s="1"/>
  <c r="B131" i="138" s="1"/>
  <c r="R126" i="137"/>
  <c r="Q127" i="137"/>
  <c r="S127" i="137" s="1" a="1"/>
  <c r="S127" i="137" s="1"/>
  <c r="B132" i="138" s="1"/>
  <c r="R127" i="137"/>
  <c r="Q128" i="137"/>
  <c r="S128" i="137" s="1" a="1"/>
  <c r="S128" i="137" s="1"/>
  <c r="B133" i="138" s="1"/>
  <c r="R128" i="137"/>
  <c r="Q129" i="137"/>
  <c r="S129" i="137" s="1" a="1"/>
  <c r="S129" i="137" s="1"/>
  <c r="B134" i="138" s="1"/>
  <c r="R129" i="137"/>
  <c r="Q130" i="137"/>
  <c r="S130" i="137" s="1" a="1"/>
  <c r="S130" i="137" s="1"/>
  <c r="B135" i="138" s="1"/>
  <c r="R130" i="137"/>
  <c r="Q131" i="137"/>
  <c r="S131" i="137" s="1" a="1"/>
  <c r="S131" i="137" s="1"/>
  <c r="B136" i="138" s="1"/>
  <c r="R131" i="137"/>
  <c r="Q132" i="137"/>
  <c r="S132" i="137" s="1" a="1"/>
  <c r="S132" i="137" s="1"/>
  <c r="B137" i="138" s="1"/>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S137" i="137" s="1" a="1"/>
  <c r="S137" i="137" s="1"/>
  <c r="B142" i="138" s="1"/>
  <c r="R137" i="137"/>
  <c r="Q138" i="137"/>
  <c r="S138" i="137" s="1" a="1"/>
  <c r="S138" i="137" s="1"/>
  <c r="B143" i="138" s="1"/>
  <c r="R138" i="137"/>
  <c r="Q139" i="137"/>
  <c r="S139" i="137" s="1" a="1"/>
  <c r="S139" i="137" s="1"/>
  <c r="B144" i="138" s="1"/>
  <c r="R139" i="137"/>
  <c r="Q140" i="137"/>
  <c r="S140" i="137" s="1" a="1"/>
  <c r="S140" i="137" s="1"/>
  <c r="B145" i="138" s="1"/>
  <c r="R140" i="137"/>
  <c r="Q141" i="137"/>
  <c r="S141" i="137" s="1" a="1"/>
  <c r="S141" i="137" s="1"/>
  <c r="B146" i="138" s="1"/>
  <c r="R141" i="137"/>
  <c r="Q142" i="137"/>
  <c r="S142" i="137" s="1" a="1"/>
  <c r="S142" i="137" s="1"/>
  <c r="B147" i="138" s="1"/>
  <c r="R142" i="137"/>
  <c r="Q143" i="137"/>
  <c r="S143" i="137" s="1" a="1"/>
  <c r="S143" i="137" s="1"/>
  <c r="B148" i="138" s="1"/>
  <c r="R143" i="137"/>
  <c r="Q144" i="137"/>
  <c r="S144" i="137" s="1" a="1"/>
  <c r="S144" i="137" s="1"/>
  <c r="B149" i="138" s="1"/>
  <c r="R144" i="137"/>
  <c r="Q145" i="137"/>
  <c r="S145" i="137" s="1" a="1"/>
  <c r="S145" i="137" s="1"/>
  <c r="B150" i="138" s="1"/>
  <c r="R145" i="137"/>
  <c r="Q146" i="137"/>
  <c r="S146" i="137" s="1" a="1"/>
  <c r="S146" i="137" s="1"/>
  <c r="B151" i="138" s="1"/>
  <c r="R146" i="137"/>
  <c r="Q147" i="137"/>
  <c r="S147" i="137" s="1" a="1"/>
  <c r="S147" i="137" s="1"/>
  <c r="B152" i="138" s="1"/>
  <c r="R147" i="137"/>
  <c r="Q148" i="137"/>
  <c r="S148" i="137" s="1" a="1"/>
  <c r="S148" i="137" s="1"/>
  <c r="B153" i="138" s="1"/>
  <c r="R148" i="137"/>
  <c r="Q149" i="137"/>
  <c r="S149" i="137" s="1" a="1"/>
  <c r="S149" i="137" s="1"/>
  <c r="B154" i="138" s="1"/>
  <c r="R149" i="137"/>
  <c r="Q150" i="137"/>
  <c r="S150" i="137" s="1" a="1"/>
  <c r="S150" i="137" s="1"/>
  <c r="B155" i="138"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Q32" i="137"/>
  <c r="S32" i="137" s="1" a="1"/>
  <c r="S32" i="137" s="1"/>
  <c r="B37" i="138"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4" i="162"/>
  <c r="C24" i="162"/>
  <c r="B20" i="162"/>
  <c r="C20" i="162"/>
  <c r="B21" i="162"/>
  <c r="C21" i="162"/>
  <c r="B23" i="162"/>
  <c r="C23" i="162"/>
  <c r="B16" i="162"/>
  <c r="C16" i="162"/>
  <c r="B17" i="162"/>
  <c r="C17" i="162"/>
  <c r="B18" i="162"/>
  <c r="C18" i="162"/>
  <c r="B19" i="162"/>
  <c r="C19" i="162"/>
  <c r="C15" i="162"/>
  <c r="B15" i="162"/>
  <c r="B14" i="162"/>
  <c r="E3" i="162"/>
  <c r="E6" i="162" s="1"/>
  <c r="B16" i="165" s="1"/>
  <c r="B17" i="165"/>
  <c r="B15" i="165"/>
  <c r="B14" i="165"/>
  <c r="B13" i="165"/>
  <c r="B12" i="165"/>
  <c r="B9" i="165"/>
  <c r="B8" i="165"/>
  <c r="B4" i="165"/>
  <c r="R15" i="162"/>
  <c r="Q15" i="162"/>
  <c r="M15" i="162"/>
  <c r="L15" i="162"/>
  <c r="K15" i="162"/>
  <c r="J15" i="162"/>
  <c r="K16" i="146"/>
  <c r="S23" i="146" s="1" a="1"/>
  <c r="S23" i="146" s="1"/>
  <c r="K17" i="146"/>
  <c r="S29" i="146" s="1" a="1"/>
  <c r="S29" i="146" s="1"/>
  <c r="K18" i="146"/>
  <c r="S35" i="146" s="1" a="1"/>
  <c r="S35" i="146" s="1"/>
  <c r="K15" i="146"/>
  <c r="S17" i="146" s="1" a="1"/>
  <c r="S17" i="146" s="1"/>
  <c r="B22" i="147" s="1"/>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R72" i="144"/>
  <c r="Q72" i="144"/>
  <c r="S71" i="144" a="1"/>
  <c r="S71" i="144" s="1"/>
  <c r="R71" i="144"/>
  <c r="Q71" i="144"/>
  <c r="S70" i="144" a="1"/>
  <c r="S70" i="144" s="1"/>
  <c r="R70" i="144"/>
  <c r="Q70" i="144"/>
  <c r="S69" i="144" a="1"/>
  <c r="S69" i="144" s="1"/>
  <c r="R69" i="144"/>
  <c r="Q69" i="144"/>
  <c r="S68" i="144" a="1"/>
  <c r="S68" i="144" s="1"/>
  <c r="R68" i="144"/>
  <c r="Q68" i="144"/>
  <c r="R67" i="144"/>
  <c r="Q67" i="144"/>
  <c r="R66" i="144"/>
  <c r="Q66" i="144"/>
  <c r="R65" i="144"/>
  <c r="Q65" i="144"/>
  <c r="R64" i="144"/>
  <c r="Q64" i="144"/>
  <c r="R63" i="144"/>
  <c r="Q63" i="144"/>
  <c r="S62" i="144" a="1"/>
  <c r="S62" i="144" s="1"/>
  <c r="R62" i="144"/>
  <c r="Q62" i="144"/>
  <c r="R61" i="144"/>
  <c r="Q61" i="144"/>
  <c r="S60" i="144" a="1"/>
  <c r="S60" i="144"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S66" i="144" a="1"/>
  <c r="S66" i="144" s="1"/>
  <c r="S65" i="144" a="1"/>
  <c r="S65" i="144" s="1"/>
  <c r="S63" i="144" a="1"/>
  <c r="S63" i="144" s="1"/>
  <c r="S64" i="144" a="1"/>
  <c r="S64" i="144" s="1"/>
  <c r="R22" i="144"/>
  <c r="Q22" i="144"/>
  <c r="S61" i="144" a="1"/>
  <c r="S61" i="144"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94" i="140" l="1" a="1"/>
  <c r="S94" i="140" s="1"/>
  <c r="B244" i="138" s="1"/>
  <c r="S95" i="140" a="1"/>
  <c r="S95" i="140" s="1"/>
  <c r="B245" i="138" s="1"/>
  <c r="S97" i="137" a="1"/>
  <c r="S97" i="137" s="1"/>
  <c r="B102" i="138" s="1"/>
  <c r="S95" i="137" a="1"/>
  <c r="S95" i="137" s="1"/>
  <c r="B100" i="138" s="1"/>
  <c r="I16" i="170"/>
  <c r="S18" i="172" a="1"/>
  <c r="S18" i="172" s="1"/>
  <c r="S32" i="172" a="1"/>
  <c r="S32" i="172" s="1"/>
  <c r="S26" i="172" a="1"/>
  <c r="S26" i="172" s="1"/>
  <c r="S55" i="172" a="1"/>
  <c r="S55" i="172" s="1"/>
  <c r="S53" i="172" a="1"/>
  <c r="S53" i="172" s="1"/>
  <c r="S25" i="172" a="1"/>
  <c r="S25" i="172" s="1"/>
  <c r="S29" i="172" a="1"/>
  <c r="S29" i="172" s="1"/>
  <c r="S37" i="172" a="1"/>
  <c r="S37" i="172" s="1"/>
  <c r="S41" i="172" a="1"/>
  <c r="S41" i="172" s="1"/>
  <c r="S49" i="172" a="1"/>
  <c r="S49" i="172" s="1"/>
  <c r="S31" i="172" a="1"/>
  <c r="S31" i="172" s="1"/>
  <c r="S43" i="172" a="1"/>
  <c r="S43" i="172" s="1"/>
  <c r="S23" i="172" a="1"/>
  <c r="S23" i="172" s="1"/>
  <c r="S35" i="172" a="1"/>
  <c r="S35" i="172" s="1"/>
  <c r="S47" i="172" a="1"/>
  <c r="S47" i="172" s="1"/>
  <c r="S19" i="172" a="1"/>
  <c r="S19" i="172" s="1"/>
  <c r="S15" i="172" a="1"/>
  <c r="S15" i="172" s="1"/>
  <c r="I15" i="172"/>
  <c r="I17" i="172"/>
  <c r="S27" i="172" s="1" a="1"/>
  <c r="S27" i="172" s="1"/>
  <c r="I19" i="172"/>
  <c r="S39" i="172" s="1" a="1"/>
  <c r="S39" i="172" s="1"/>
  <c r="I21" i="172"/>
  <c r="S51" i="172" s="1" a="1"/>
  <c r="S51" i="172" s="1"/>
  <c r="I16" i="172"/>
  <c r="S21" i="172" s="1" a="1"/>
  <c r="S21" i="172" s="1"/>
  <c r="I18" i="172"/>
  <c r="S33" i="172" s="1" a="1"/>
  <c r="S33" i="172" s="1"/>
  <c r="S80" i="140" a="1"/>
  <c r="S80" i="140" s="1"/>
  <c r="B230" i="138" s="1"/>
  <c r="S54" i="146" a="1"/>
  <c r="S54" i="146" s="1"/>
  <c r="B59" i="147" s="1"/>
  <c r="S46" i="146" a="1"/>
  <c r="S46" i="146" s="1"/>
  <c r="B51" i="147" s="1"/>
  <c r="B43" i="147"/>
  <c r="L27" i="108"/>
  <c r="C57" i="110" s="1"/>
  <c r="C28" i="110"/>
  <c r="C9" i="110"/>
  <c r="L26" i="108"/>
  <c r="C56" i="110" s="1"/>
  <c r="L14" i="108"/>
  <c r="C44" i="110" s="1"/>
  <c r="C11" i="110"/>
  <c r="L10" i="108"/>
  <c r="C40" i="110" s="1"/>
  <c r="I15" i="170"/>
  <c r="B22" i="17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B34" i="147"/>
  <c r="B28" i="147"/>
  <c r="B40" i="147"/>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B61" i="147"/>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S39" i="148" a="1"/>
  <c r="S39" i="148" s="1"/>
  <c r="B77" i="156" s="1"/>
  <c r="S63" i="146" a="1"/>
  <c r="S63" i="146" s="1"/>
  <c r="B68" i="147" s="1"/>
  <c r="B62" i="147"/>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<sst xmlns="http://schemas.openxmlformats.org/spreadsheetml/2006/main" count="2477" uniqueCount="959">
  <si>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</si>
  <si>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</si>
  <si>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</si>
  <si>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</si>
  <si>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</si>
  <si>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</si>
  <si>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</si>
  <si>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</si>
  <si>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</si>
  <si>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</si>
  <si>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</si>
  <si>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</si>
  <si>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</si>
  <si>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</si>
  <si>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</si>
  <si>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</si>
  <si>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</si>
  <si>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</si>
  <si>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</si>
  <si>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</si>
  <si>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</si>
  <si>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</si>
  <si>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</si>
  <si>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</si>
  <si>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</si>
  <si>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</si>
  <si>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</si>
  <si>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</si>
  <si>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</si>
  <si>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</si>
  <si>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</si>
  <si>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</si>
  <si>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</si>
  <si>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</si>
  <si>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</si>
  <si>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</si>
  <si>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</si>
  <si>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</si>
  <si>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</si>
  <si>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</si>
  <si>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</si>
  <si>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</si>
  <si>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</si>
  <si>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</si>
  <si>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</si>
  <si>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</si>
  <si>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</si>
  <si>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</si>
  <si>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</si>
  <si>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</si>
  <si>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</si>
  <si>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</si>
  <si>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</si>
  <si>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</si>
  <si>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</si>
  <si>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</si>
  <si>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</si>
  <si>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</si>
  <si>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</si>
  <si>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</si>
  <si>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</si>
  <si>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</si>
  <si>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</si>
  <si>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</si>
  <si>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</si>
  <si>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</si>
  <si>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</si>
  <si>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</si>
  <si>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</si>
  <si>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</si>
  <si>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</si>
  <si>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</si>
  <si>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</si>
  <si>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</si>
  <si>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</si>
  <si>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</si>
  <si>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</si>
  <si>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</si>
  <si>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</si>
  <si>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</si>
  <si>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</si>
  <si>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</si>
  <si>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</si>
  <si>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</si>
  <si>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</si>
  <si>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</si>
  <si>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</si>
  <si>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</si>
  <si>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</si>
  <si>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</si>
  <si>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</si>
  <si>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</si>
  <si>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</si>
  <si>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</si>
  <si>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</si>
  <si>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</si>
  <si>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</si>
  <si>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</si>
  <si>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</si>
  <si>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</si>
  <si>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</si>
  <si>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</si>
  <si>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</si>
  <si>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</si>
  <si>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</si>
  <si>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</si>
  <si>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</si>
  <si>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</si>
  <si>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</si>
  <si>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</si>
  <si>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</si>
  <si>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</si>
  <si>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</si>
  <si>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</si>
  <si>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</si>
  <si>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</si>
  <si>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</si>
  <si>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</si>
  <si>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</si>
  <si>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</si>
  <si>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</si>
  <si>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</si>
  <si>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</si>
  <si>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</si>
  <si>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</si>
  <si>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</si>
  <si>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</si>
  <si>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</si>
  <si>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</si>
  <si>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</si>
  <si>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</si>
  <si>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</si>
  <si>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</si>
  <si>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</si>
  <si>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</si>
  <si>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</si>
  <si>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</si>
  <si>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</si>
  <si>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</si>
  <si>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</si>
  <si>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</si>
  <si>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</si>
  <si>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</si>
  <si>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</si>
  <si>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</si>
  <si>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</si>
  <si>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</si>
  <si>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</si>
  <si>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</si>
  <si>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</si>
  <si>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</si>
  <si>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</si>
  <si>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</si>
  <si>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</si>
  <si>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</si>
  <si>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</si>
  <si>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</si>
  <si>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</si>
  <si>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</si>
  <si>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</si>
  <si>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</si>
  <si>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</si>
  <si>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</si>
  <si>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</si>
  <si>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</si>
  <si>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</si>
  <si>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</si>
  <si>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</si>
  <si>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</si>
  <si>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</si>
  <si>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</si>
  <si>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</si>
  <si>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</si>
  <si>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</si>
  <si>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</si>
  <si>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</si>
  <si>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</si>
  <si>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</si>
  <si>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</si>
  <si>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</si>
  <si>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</si>
  <si>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</si>
  <si>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</si>
  <si>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</si>
  <si>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</si>
  <si>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</si>
  <si>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</si>
  <si>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</si>
  <si>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</si>
  <si>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</si>
  <si>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</si>
  <si>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</si>
  <si>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</si>
  <si>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</si>
  <si>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</si>
  <si>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</si>
  <si>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</si>
  <si>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</si>
  <si>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</si>
  <si>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</si>
  <si>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</si>
  <si>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</si>
  <si>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</si>
  <si>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</si>
  <si>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</si>
  <si>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</si>
  <si>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</si>
  <si>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</si>
  <si>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</si>
  <si>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</si>
  <si>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</si>
  <si>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</si>
  <si>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</si>
  <si>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</si>
  <si>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</si>
  <si>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</si>
  <si>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</si>
  <si>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</si>
  <si>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</si>
  <si>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</si>
  <si>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</si>
  <si>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</si>
  <si>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</si>
  <si>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</si>
  <si>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</si>
  <si>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</si>
  <si>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</si>
  <si>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</si>
  <si>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</si>
  <si>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</si>
  <si>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</si>
  <si>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</si>
  <si>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</si>
  <si>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</si>
  <si>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</si>
  <si>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</si>
  <si>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</si>
  <si>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</si>
  <si>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</si>
  <si>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</si>
  <si>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</si>
  <si>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</si>
  <si>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</si>
  <si>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</si>
  <si>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</si>
  <si>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</si>
  <si>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</si>
  <si>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</si>
  <si>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</si>
  <si>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</si>
  <si>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</si>
  <si>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</si>
  <si>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</si>
  <si>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</si>
  <si>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</si>
  <si>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</si>
  <si>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</si>
  <si>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</si>
  <si>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</si>
  <si>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</si>
  <si>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</si>
  <si>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</si>
  <si>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</si>
  <si>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</si>
  <si>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</si>
  <si>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</si>
  <si>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</si>
  <si>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</si>
  <si>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</si>
  <si>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</si>
  <si>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</si>
  <si>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</si>
  <si>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</si>
  <si>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</si>
  <si>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</si>
  <si>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</si>
  <si>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</si>
  <si>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</si>
  <si>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</si>
  <si>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</si>
  <si>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</si>
  <si>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</si>
  <si>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</si>
  <si>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</si>
  <si>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</si>
  <si>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</si>
  <si>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</si>
  <si>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</si>
  <si>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</si>
  <si>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</si>
  <si>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</si>
  <si>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</si>
  <si>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</si>
  <si>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</si>
  <si>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</si>
  <si>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</si>
  <si>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</si>
  <si>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</si>
  <si>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</si>
  <si>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</si>
  <si>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</si>
  <si>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</si>
  <si>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</si>
  <si>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</si>
  <si>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</si>
  <si>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</si>
  <si>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</si>
  <si>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</si>
  <si>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</si>
  <si>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</si>
  <si>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</si>
  <si>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</si>
  <si>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</si>
  <si>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</si>
  <si>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</si>
  <si>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</si>
  <si>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</si>
  <si>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</si>
  <si>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</si>
  <si>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</si>
  <si>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</si>
  <si>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</si>
  <si>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</si>
  <si>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</si>
  <si>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</si>
  <si>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</si>
  <si>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</si>
  <si>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</si>
  <si>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</si>
  <si>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</si>
  <si>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</si>
  <si>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</si>
  <si>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</si>
  <si>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</si>
  <si>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</si>
  <si>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</si>
  <si>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</si>
  <si>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</si>
  <si>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</si>
  <si>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</si>
  <si>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</si>
  <si>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</si>
  <si>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</si>
  <si>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</si>
  <si>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</si>
  <si>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</si>
  <si>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</si>
  <si>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</si>
  <si>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</si>
  <si>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</si>
  <si>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</si>
  <si>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</si>
  <si>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</si>
  <si>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</si>
  <si>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</si>
  <si>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</si>
  <si>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</si>
  <si>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</si>
  <si>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</si>
  <si>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</si>
  <si>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</si>
  <si>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</si>
  <si>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</si>
  <si>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</si>
  <si>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</si>
  <si>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</si>
  <si>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</si>
  <si>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</si>
  <si>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</si>
  <si>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</si>
  <si>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</si>
  <si>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</si>
  <si>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</si>
  <si>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</si>
  <si>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</si>
  <si>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</si>
  <si>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</si>
  <si>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</si>
  <si>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</si>
  <si>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</si>
  <si>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</si>
  <si>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</si>
  <si>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</si>
  <si>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</si>
  <si>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</si>
  <si>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</si>
  <si>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</si>
  <si>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</si>
  <si>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</si>
  <si>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</si>
  <si>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</si>
  <si>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</si>
  <si>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</si>
  <si>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</si>
  <si>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</si>
  <si>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</si>
  <si>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</si>
  <si>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</si>
  <si>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</si>
  <si>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</si>
  <si>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</si>
  <si>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</si>
  <si>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</si>
  <si>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</si>
  <si>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</si>
  <si>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</si>
  <si>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</si>
  <si>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</si>
  <si>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</si>
  <si>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</si>
  <si>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</si>
  <si>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</si>
  <si>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</si>
  <si>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</si>
  <si>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</si>
  <si>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</si>
  <si>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</si>
  <si>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</si>
  <si>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</si>
  <si>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</si>
  <si>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</si>
  <si>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</si>
  <si>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</si>
  <si>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</si>
  <si>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</si>
  <si>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</si>
  <si>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</si>
  <si>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</si>
  <si>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</si>
  <si>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</si>
  <si>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</si>
  <si>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</si>
  <si>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</si>
  <si>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</si>
  <si>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</si>
  <si>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</si>
  <si>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</si>
  <si>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</si>
  <si>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</si>
  <si>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</si>
  <si>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</si>
  <si>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</si>
  <si>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</si>
  <si>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</si>
  <si>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</si>
  <si>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</si>
  <si>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</si>
  <si>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</si>
  <si>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</si>
  <si>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</si>
  <si>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</si>
  <si>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</si>
  <si>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</si>
  <si>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</si>
  <si>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</si>
  <si>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</si>
  <si>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</si>
  <si>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</si>
  <si>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</si>
  <si>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</si>
  <si>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</si>
  <si>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</si>
  <si>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</si>
  <si>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</si>
  <si>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</si>
  <si>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</si>
  <si>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</si>
  <si>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</si>
  <si>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</si>
  <si>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</si>
  <si>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</si>
  <si>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</si>
  <si>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</si>
  <si>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</si>
  <si>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</si>
  <si>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</si>
  <si>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</si>
  <si>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</si>
  <si>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</si>
  <si>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</si>
  <si>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</si>
  <si>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</si>
  <si>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</si>
  <si>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</si>
  <si>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</si>
  <si>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</si>
  <si>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</si>
  <si>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</si>
  <si>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</si>
  <si>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</si>
  <si>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</si>
  <si>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</si>
  <si>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</si>
  <si>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</si>
  <si>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</si>
  <si>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</si>
  <si>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</si>
  <si>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</si>
  <si>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</si>
  <si>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</si>
  <si>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</si>
  <si>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</si>
  <si>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</si>
  <si>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</si>
  <si>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</si>
  <si>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</si>
  <si>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</si>
  <si>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</si>
  <si>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</si>
  <si>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</si>
  <si>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</si>
  <si>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</si>
  <si>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</si>
  <si>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</si>
  <si>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</si>
  <si>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</si>
  <si>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</si>
  <si>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</si>
  <si>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</si>
  <si>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</si>
  <si>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</si>
  <si>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</si>
  <si>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</si>
  <si>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</si>
  <si>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</si>
  <si>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</si>
  <si>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</si>
  <si>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</si>
  <si>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</si>
  <si>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</si>
  <si>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</si>
  <si>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</si>
  <si>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</si>
  <si>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</si>
  <si>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</si>
  <si>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</si>
  <si>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</si>
  <si>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</si>
  <si>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</si>
  <si>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</si>
  <si>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</si>
  <si>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</si>
  <si>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</si>
  <si>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</si>
  <si>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</si>
  <si>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</si>
  <si>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</si>
  <si>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</si>
  <si>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</si>
  <si>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</si>
  <si>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</si>
  <si>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</si>
  <si>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</si>
  <si>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</si>
  <si>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</si>
  <si>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</si>
  <si>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</si>
  <si>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</si>
  <si>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</si>
  <si>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</si>
  <si>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</si>
  <si>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</si>
  <si>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</si>
  <si>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</si>
  <si>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</si>
  <si>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</si>
  <si>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</si>
  <si>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</si>
  <si>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</si>
  <si>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</si>
  <si>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</si>
  <si>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</si>
  <si>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</si>
  <si>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</si>
  <si>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</si>
  <si>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</si>
  <si>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</si>
  <si>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</si>
  <si>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</si>
  <si>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</si>
  <si>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</si>
  <si>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</si>
  <si>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</si>
  <si>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</si>
  <si>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</si>
  <si>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</si>
  <si>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</si>
  <si>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</si>
  <si>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</si>
  <si>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</si>
  <si>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</si>
  <si>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</si>
  <si>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</si>
  <si>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</si>
  <si>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</si>
  <si>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</si>
  <si>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</si>
  <si>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</si>
  <si>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</si>
  <si>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</si>
  <si>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</si>
  <si>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</si>
  <si>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</si>
  <si>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</si>
  <si>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</si>
  <si>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</si>
  <si>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</si>
  <si>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</si>
  <si>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</si>
  <si>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</si>
  <si>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</si>
  <si>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</si>
  <si>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</si>
  <si>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</si>
  <si>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</si>
  <si>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</si>
  <si>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</si>
  <si>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</si>
  <si>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</si>
  <si>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</si>
  <si>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</si>
  <si>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</si>
  <si>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</si>
  <si>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</si>
  <si>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</si>
  <si>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</si>
  <si>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</si>
  <si>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</si>
  <si>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</si>
  <si>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</si>
  <si>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</si>
  <si>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</si>
  <si>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</si>
  <si>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</si>
  <si>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</si>
  <si>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</si>
  <si>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</si>
  <si>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</si>
  <si>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</si>
  <si>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</si>
  <si>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</si>
  <si>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</si>
  <si>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</si>
  <si>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</si>
  <si>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</si>
  <si>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</si>
  <si>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</si>
  <si>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</si>
  <si>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</si>
  <si>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</si>
  <si>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</si>
  <si>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</si>
  <si>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</si>
  <si>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</si>
  <si>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</si>
  <si>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</si>
  <si>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</si>
  <si>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</si>
  <si>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</si>
  <si>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</si>
  <si>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</si>
  <si>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</si>
  <si>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</si>
  <si>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</si>
  <si>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</si>
  <si>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</si>
  <si>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</si>
  <si>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</si>
  <si>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</si>
  <si>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</si>
  <si>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</si>
  <si>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</si>
  <si>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</si>
  <si>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</si>
  <si>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</si>
  <si>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</si>
  <si>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</si>
  <si>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</si>
  <si>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</si>
  <si>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</si>
  <si>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</si>
  <si>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</si>
  <si>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</si>
  <si>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</si>
  <si>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</si>
  <si>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</si>
  <si>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</si>
  <si>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</si>
  <si>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</si>
  <si>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</si>
  <si>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</si>
  <si>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</si>
  <si>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</si>
  <si>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</si>
  <si>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</si>
  <si>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</si>
  <si>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</si>
  <si>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</si>
  <si>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</si>
  <si>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</si>
  <si>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</si>
  <si>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</si>
  <si>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</si>
  <si>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</si>
  <si>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</si>
  <si>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</si>
  <si>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</si>
  <si>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</si>
  <si>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</si>
  <si>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</si>
  <si>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</si>
  <si>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</si>
  <si>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</si>
  <si>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</si>
  <si>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</si>
  <si>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</si>
  <si>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</si>
  <si>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</si>
  <si>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</si>
  <si>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</si>
  <si>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</si>
  <si>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</si>
  <si>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</si>
  <si>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</si>
  <si>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</si>
  <si>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</si>
  <si>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</si>
  <si>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</si>
  <si>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</si>
  <si>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</si>
  <si>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</si>
  <si>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</si>
  <si>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</si>
  <si>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</si>
  <si>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</si>
  <si>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</si>
  <si>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</si>
  <si>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</si>
  <si>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</si>
  <si>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</si>
  <si>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</si>
  <si>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</si>
  <si>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</si>
  <si>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</si>
  <si>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</si>
  <si>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</si>
  <si>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</si>
  <si>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</si>
  <si>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</si>
  <si>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</si>
  <si>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</si>
  <si>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</si>
  <si>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</si>
  <si>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</si>
  <si>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</si>
  <si>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</si>
  <si>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</si>
  <si>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</si>
  <si>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</si>
  <si>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</si>
  <si>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</si>
  <si>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</si>
  <si>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</si>
  <si>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</si>
  <si>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</si>
  <si>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</si>
  <si>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</si>
  <si>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</si>
  <si>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</si>
  <si>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</si>
  <si>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</si>
  <si>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</si>
  <si>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</si>
  <si>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</si>
  <si>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</si>
  <si>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</si>
  <si>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</si>
  <si>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</si>
  <si>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</si>
  <si>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</si>
  <si>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</si>
  <si>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</si>
  <si>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</si>
  <si>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</si>
  <si>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</si>
  <si>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</si>
  <si>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</si>
  <si>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</si>
  <si>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</si>
  <si>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</si>
  <si>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</si>
  <si>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</si>
  <si>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</si>
  <si>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</si>
  <si>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</si>
  <si>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</si>
  <si>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</si>
  <si>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</si>
  <si>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</si>
  <si>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</si>
  <si>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</si>
  <si>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</si>
  <si>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</si>
  <si>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</si>
  <si>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</si>
  <si>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</si>
  <si>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</si>
  <si>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</si>
  <si>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</si>
  <si>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</si>
  <si>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</si>
  <si>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</si>
  <si>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</si>
  <si>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</si>
  <si>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</si>
  <si>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</si>
  <si>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</si>
  <si>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</si>
  <si>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</si>
  <si>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</si>
  <si>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</si>
  <si>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</si>
  <si>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</si>
  <si>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</si>
  <si>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</si>
  <si>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</si>
  <si>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</si>
  <si>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</si>
  <si>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</si>
  <si>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</si>
  <si>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</si>
  <si>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</si>
  <si>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</si>
  <si>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</si>
  <si>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</si>
  <si>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</si>
  <si>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</si>
  <si>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</si>
  <si>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</si>
  <si>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</si>
  <si>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</si>
  <si>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</si>
  <si>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</si>
  <si>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</si>
  <si>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</si>
  <si>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</si>
  <si>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</si>
  <si>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</si>
  <si>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</si>
  <si>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</si>
  <si>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</si>
  <si>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</si>
  <si>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</si>
  <si>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</si>
  <si>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</si>
  <si>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</si>
  <si>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</si>
  <si>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</si>
  <si>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</si>
  <si>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</si>
  <si>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</si>
  <si>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</si>
  <si>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</si>
  <si>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</si>
  <si>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</si>
  <si>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</si>
  <si>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</si>
  <si>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PractictionerRole</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</si>
  <si>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</si>
  <si>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</si>
  <si>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</si>
  <si>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</si>
  <si>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</si>
  <si>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</si>
  <si>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</si>
  <si>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</si>
  <si>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</si>
  <si>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http://hl7.eu/fhir/laboratory/StructureDefinition/specimen-eu-lab</t>
  </si>
  <si>
    <t>extension:SpecimenFeatureTypeR5</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</si>
  <si>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</si>
  <si>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</si>
  <si>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</si>
  <si>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</si>
  <si>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</si>
  <si>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</si>
  <si>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</si>
  <si>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</si>
  <si>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</si>
  <si>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</si>
  <si>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</si>
  <si>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</si>
  <si>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</si>
  <si>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</si>
  <si>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</si>
  <si>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</si>
  <si>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</si>
  <si>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</si>
  <si>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</si>
  <si>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</si>
  <si>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</si>
  <si>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</si>
  <si>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</si>
  <si>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</si>
  <si>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</si>
  <si>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</si>
  <si>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</si>
  <si>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</si>
  <si>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</si>
  <si>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</si>
  <si>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</si>
  <si>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</si>
  <si>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</si>
  <si>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</si>
  <si>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</si>
  <si>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</si>
  <si>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</si>
  <si>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</si>
  <si>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</si>
  <si>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ValueReference.resolve().ofType(Organization) if the recipient is the organization.</t>
  </si>
  <si>
    <t>ValueReference.resolve().ofType(PractionerRole), if it is the organization the professional belong to</t>
  </si>
  <si>
    <t>If ValueReference.resolve().ofType(PractionerRole)</t>
  </si>
  <si>
    <t>ValueReference.practitioner.address</t>
  </si>
  <si>
    <t>ValueReference.practitioner.telecom</t>
  </si>
  <si>
    <t>ValueReference.practitioner.country</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</si>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</sst>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6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8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B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F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9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C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E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3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6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A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6.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7" t="s">
        <v>39</v>
      </c>
      <c r="C3" s="98"/>
      <c r="D3" s="35" t="s">
        <v>40</v>
      </c>
      <c r="E3" s="35" t="s">
        <v>41</v>
      </c>
    </row>
    <row r="4" spans="2:5" ht="16.75" thickBot="1" x14ac:dyDescent="0.9">
      <c r="B4" s="99" t="s">
        <v>42</v>
      </c>
      <c r="C4" s="100"/>
      <c r="D4" s="100"/>
      <c r="E4" s="101"/>
    </row>
    <row r="5" spans="2:5" ht="16.75" thickBot="1" x14ac:dyDescent="0.9">
      <c r="B5" s="99" t="s">
        <v>43</v>
      </c>
      <c r="C5" s="100"/>
      <c r="D5" s="100"/>
      <c r="E5" s="101"/>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2" t="s">
        <v>57</v>
      </c>
      <c r="C10" s="102" t="s">
        <v>58</v>
      </c>
      <c r="D10" s="40" t="s">
        <v>59</v>
      </c>
      <c r="E10" s="105" t="s">
        <v>60</v>
      </c>
    </row>
    <row r="11" spans="2:5" x14ac:dyDescent="0.75">
      <c r="B11" s="103"/>
      <c r="C11" s="103"/>
      <c r="D11" s="41"/>
      <c r="E11" s="106"/>
    </row>
    <row r="12" spans="2:5" ht="32.75" thickBot="1" x14ac:dyDescent="0.9">
      <c r="B12" s="104"/>
      <c r="C12" s="104"/>
      <c r="D12" s="37" t="s">
        <v>61</v>
      </c>
      <c r="E12" s="107"/>
    </row>
    <row r="13" spans="2:5" ht="16.75" thickBot="1" x14ac:dyDescent="0.9">
      <c r="B13" s="108" t="s">
        <v>62</v>
      </c>
      <c r="C13" s="109"/>
      <c r="D13" s="109"/>
      <c r="E13" s="110"/>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8" t="s">
        <v>70</v>
      </c>
      <c r="C16" s="109"/>
      <c r="D16" s="109"/>
      <c r="E16" s="110"/>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8" t="s">
        <v>83</v>
      </c>
      <c r="C21" s="109"/>
      <c r="D21" s="109"/>
      <c r="E21" s="110"/>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8" t="s">
        <v>93</v>
      </c>
      <c r="C25" s="109"/>
      <c r="D25" s="109"/>
      <c r="E25" s="110"/>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8" t="s">
        <v>102</v>
      </c>
      <c r="C29" s="109"/>
      <c r="D29" s="109"/>
      <c r="E29" s="110"/>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8" t="s">
        <v>114</v>
      </c>
      <c r="C34" s="109"/>
      <c r="D34" s="109"/>
      <c r="E34" s="110"/>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8" t="s">
        <v>126</v>
      </c>
      <c r="C39" s="109"/>
      <c r="D39" s="109"/>
      <c r="E39" s="110"/>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7" t="s">
        <v>39</v>
      </c>
      <c r="C3" s="98"/>
      <c r="D3" s="35" t="s">
        <v>40</v>
      </c>
      <c r="E3" s="35" t="s">
        <v>41</v>
      </c>
    </row>
    <row r="4" spans="2:5" ht="15.5" thickBot="1" x14ac:dyDescent="0.9">
      <c r="B4" s="111" t="s">
        <v>144</v>
      </c>
      <c r="C4" s="112"/>
      <c r="D4" s="112"/>
      <c r="E4" s="113"/>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4" t="s">
        <v>162</v>
      </c>
      <c r="C11" s="115"/>
      <c r="D11" s="115"/>
      <c r="E11" s="116"/>
    </row>
    <row r="12" spans="2:5" ht="32" x14ac:dyDescent="0.75">
      <c r="B12" s="102" t="s">
        <v>163</v>
      </c>
      <c r="C12" s="102" t="s">
        <v>164</v>
      </c>
      <c r="D12" s="102" t="s">
        <v>165</v>
      </c>
      <c r="E12" s="43" t="s">
        <v>166</v>
      </c>
    </row>
    <row r="13" spans="2:5" ht="16" x14ac:dyDescent="0.75">
      <c r="B13" s="103"/>
      <c r="C13" s="103"/>
      <c r="D13" s="103"/>
      <c r="E13" s="43" t="s">
        <v>167</v>
      </c>
    </row>
    <row r="14" spans="2:5" ht="16.75" thickBot="1" x14ac:dyDescent="0.9">
      <c r="B14" s="104"/>
      <c r="C14" s="104"/>
      <c r="D14" s="104"/>
      <c r="E14" s="39" t="s">
        <v>168</v>
      </c>
    </row>
    <row r="15" spans="2:5" ht="15.5" thickBot="1" x14ac:dyDescent="0.9">
      <c r="B15" s="114" t="s">
        <v>169</v>
      </c>
      <c r="C15" s="115"/>
      <c r="D15" s="115"/>
      <c r="E15" s="116"/>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2" t="s">
        <v>188</v>
      </c>
      <c r="C22" s="105" t="s">
        <v>189</v>
      </c>
      <c r="D22" s="102" t="s">
        <v>190</v>
      </c>
      <c r="E22" s="43" t="s">
        <v>167</v>
      </c>
    </row>
    <row r="23" spans="2:5" x14ac:dyDescent="0.75">
      <c r="B23" s="103"/>
      <c r="C23" s="106"/>
      <c r="D23" s="103"/>
      <c r="E23" s="41"/>
    </row>
    <row r="24" spans="2:5" ht="16.75" thickBot="1" x14ac:dyDescent="0.9">
      <c r="B24" s="104"/>
      <c r="C24" s="107"/>
      <c r="D24" s="104"/>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8" t="s">
        <v>198</v>
      </c>
      <c r="C27" s="109"/>
      <c r="D27" s="109"/>
      <c r="E27" s="110"/>
    </row>
    <row r="28" spans="2:5" ht="16.75" thickBot="1" x14ac:dyDescent="0.9">
      <c r="B28" s="108" t="s">
        <v>199</v>
      </c>
      <c r="C28" s="109"/>
      <c r="D28" s="109"/>
      <c r="E28" s="110"/>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8" t="s">
        <v>206</v>
      </c>
      <c r="C31" s="109"/>
      <c r="D31" s="109"/>
      <c r="E31" s="110"/>
    </row>
    <row r="32" spans="2:5" ht="16.75" thickBot="1" x14ac:dyDescent="0.9">
      <c r="B32" s="36" t="s">
        <v>207</v>
      </c>
      <c r="C32" s="39" t="s">
        <v>208</v>
      </c>
      <c r="D32" s="37" t="s">
        <v>209</v>
      </c>
      <c r="E32" s="39" t="s">
        <v>113</v>
      </c>
    </row>
    <row r="33" spans="2:5" ht="16" x14ac:dyDescent="0.75">
      <c r="B33" s="102" t="s">
        <v>210</v>
      </c>
      <c r="C33" s="105" t="s">
        <v>211</v>
      </c>
      <c r="D33" s="102" t="s">
        <v>212</v>
      </c>
      <c r="E33" s="43" t="s">
        <v>130</v>
      </c>
    </row>
    <row r="34" spans="2:5" ht="16" x14ac:dyDescent="0.75">
      <c r="B34" s="103"/>
      <c r="C34" s="106"/>
      <c r="D34" s="103"/>
      <c r="E34" s="43" t="s">
        <v>213</v>
      </c>
    </row>
    <row r="35" spans="2:5" ht="16.75" thickBot="1" x14ac:dyDescent="0.9">
      <c r="B35" s="104"/>
      <c r="C35" s="107"/>
      <c r="D35" s="104"/>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2" t="s">
        <v>226</v>
      </c>
      <c r="C40" s="105" t="s">
        <v>227</v>
      </c>
      <c r="D40" s="102" t="s">
        <v>228</v>
      </c>
      <c r="E40" s="43" t="s">
        <v>167</v>
      </c>
    </row>
    <row r="41" spans="2:5" x14ac:dyDescent="0.75">
      <c r="B41" s="103"/>
      <c r="C41" s="106"/>
      <c r="D41" s="103"/>
      <c r="E41" s="41"/>
    </row>
    <row r="42" spans="2:5" ht="16.75" thickBot="1" x14ac:dyDescent="0.9">
      <c r="B42" s="104"/>
      <c r="C42" s="107"/>
      <c r="D42" s="104"/>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2" t="s">
        <v>238</v>
      </c>
      <c r="C46" s="105" t="s">
        <v>239</v>
      </c>
      <c r="D46" s="102" t="s">
        <v>240</v>
      </c>
      <c r="E46" s="43" t="s">
        <v>241</v>
      </c>
    </row>
    <row r="47" spans="2:5" x14ac:dyDescent="0.75">
      <c r="B47" s="103"/>
      <c r="C47" s="106"/>
      <c r="D47" s="103"/>
      <c r="E47" s="44"/>
    </row>
    <row r="48" spans="2:5" ht="16.75" thickBot="1" x14ac:dyDescent="0.9">
      <c r="B48" s="104"/>
      <c r="C48" s="107"/>
      <c r="D48" s="104"/>
      <c r="E48" s="39" t="s">
        <v>242</v>
      </c>
    </row>
    <row r="49" spans="2:5" ht="16" x14ac:dyDescent="0.75">
      <c r="B49" s="102" t="s">
        <v>243</v>
      </c>
      <c r="C49" s="105" t="s">
        <v>244</v>
      </c>
      <c r="D49" s="102" t="s">
        <v>245</v>
      </c>
      <c r="E49" s="43" t="s">
        <v>167</v>
      </c>
    </row>
    <row r="50" spans="2:5" x14ac:dyDescent="0.75">
      <c r="B50" s="103"/>
      <c r="C50" s="106"/>
      <c r="D50" s="103"/>
      <c r="E50" s="41"/>
    </row>
    <row r="51" spans="2:5" ht="48.75" thickBot="1" x14ac:dyDescent="0.9">
      <c r="B51" s="104"/>
      <c r="C51" s="107"/>
      <c r="D51" s="104"/>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904</v>
      </c>
      <c r="B2" s="94" t="s">
        <v>656</v>
      </c>
      <c r="J2" s="33" t="s">
        <v>36</v>
      </c>
      <c r="L2" s="33" t="s">
        <v>624</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678</v>
      </c>
      <c r="J6" s="26" t="str">
        <f>CONCATENATE("Title: ##34#",B6,"##34#")</f>
        <v>Title: ##34#A - Laboratory Report##34#</v>
      </c>
    </row>
    <row r="7" spans="1:12" x14ac:dyDescent="0.75">
      <c r="A7" s="46" t="s">
        <v>5</v>
      </c>
      <c r="B7" s="47" t="s">
        <v>934</v>
      </c>
      <c r="C7" s="12" t="s">
        <v>6</v>
      </c>
      <c r="D7" s="2" t="s">
        <v>7</v>
      </c>
      <c r="E7" s="3" t="s">
        <v>8</v>
      </c>
      <c r="F7" s="3" t="s">
        <v>9</v>
      </c>
      <c r="G7" s="3" t="s">
        <v>10</v>
      </c>
      <c r="H7" s="68" t="s">
        <v>623</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881</v>
      </c>
      <c r="C16" s="9" t="s">
        <v>879</v>
      </c>
      <c r="D16" s="9" t="s">
        <v>880</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903</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885</v>
      </c>
      <c r="C21" s="9" t="s">
        <v>883</v>
      </c>
      <c r="D21" s="14" t="s">
        <v>884</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886</v>
      </c>
      <c r="D22" s="14" t="s">
        <v>882</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891</v>
      </c>
      <c r="C23" s="89" t="s">
        <v>887</v>
      </c>
      <c r="D23" s="90" t="s">
        <v>892</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894</v>
      </c>
      <c r="C24" s="91" t="s">
        <v>888</v>
      </c>
      <c r="D24" s="92" t="s">
        <v>893</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895</v>
      </c>
      <c r="C25" s="91" t="s">
        <v>889</v>
      </c>
      <c r="D25" s="92" t="s">
        <v>890</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613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645</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614</v>
      </c>
      <c r="E24" s="14" t="str">
        <f t="shared" si="0"/>
        <v>* order -&gt; ##34#Composition.extension('http://hl7.eu/fhir/ig/xeh/StructureDefinition/composition-basedOn-order-or-requisition').valueIdentifier##34#</v>
      </c>
    </row>
    <row r="25" spans="1:5" ht="59" x14ac:dyDescent="0.75">
      <c r="B25" s="62" t="str">
        <f>Report!B26</f>
        <v>order</v>
      </c>
      <c r="C25" s="14" t="s">
        <v>622</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621</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619</v>
      </c>
      <c r="E28" s="14" t="str">
        <f t="shared" si="0"/>
        <v>* specimen -&gt; ##34#DiagnosticReport.conformsTo('http://hl7.eu/fhir/ig/xeh/StructureDefinition/DiagnosticReport-lab-xeh').specimen.resolve()##34#</v>
      </c>
    </row>
    <row r="29" spans="1:5" x14ac:dyDescent="0.75">
      <c r="B29" s="62" t="str">
        <f>Report!$B$28</f>
        <v>result</v>
      </c>
      <c r="C29" s="14" t="s">
        <v>572</v>
      </c>
      <c r="E29" s="14" t="str">
        <f t="shared" si="0"/>
        <v>* result -&gt; ##34#Composition.section:no-subsections.entry.resolve()##34#</v>
      </c>
    </row>
    <row r="30" spans="1:5" x14ac:dyDescent="0.75">
      <c r="B30" s="62" t="str">
        <f>Report!$B$28</f>
        <v>result</v>
      </c>
      <c r="C30" s="14" t="s">
        <v>573</v>
      </c>
      <c r="E30" s="14" t="str">
        <f t="shared" si="0"/>
        <v>* result -&gt; ##34#Composition.section:subsections.section.entry.resolve()##34#</v>
      </c>
    </row>
    <row r="31" spans="1:5" ht="29.5" x14ac:dyDescent="0.75">
      <c r="B31" s="62" t="str">
        <f>Report!$B$28</f>
        <v>result</v>
      </c>
      <c r="C31" s="14" t="s">
        <v>620</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x14ac:dyDescent="0.75">
      <c r="C12" s="14" t="str">
        <f>IF(Report!J12="*  ..  ##34###34# ##334###334#","//--- END",Report!J12)</f>
        <v>* header.author 0..* http://hl7.eu/fhir/laboratory/StructureDefinition/Author ##34#A.1.5 Author##34# ##334#A.1.5 Author (by whom the Laboratory result report or a subset of its results was authored)##334#</v>
      </c>
    </row>
    <row r="13" spans="3:7"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x14ac:dyDescent="0.75">
      <c r="C14" s="14" t="str">
        <f>IF(Report!J14="*  ..  ##34###34# ##334###334#","//--- END",Report!J14)</f>
        <v>* header.validator 0..* http://hl7.eu/fhir/laboratory/StructureDefinition/Validator ##34#A.1.7 Result validator##34# ##334#A.1.7 Result validator##334#</v>
      </c>
    </row>
    <row r="15" spans="3:7" x14ac:dyDescent="0.75">
      <c r="C15" s="14" t="str">
        <f>IF(Report!J15="*  ..  ##34###34# ##334###334#","//--- END",Report!J15)</f>
        <v>* header.metadata 1..1 BackboneElement ##34#A.1.8 Laboratory report metadata##34# ##334#A.1.8 Laboratory report metadata##334#</v>
      </c>
    </row>
    <row r="16" spans="3:7" x14ac:dyDescent="0.75">
      <c r="C16" s="14" t="str">
        <f>IF(Report!J16="*  ..  ##34###34# ##334###334#","//--- END",Report!J16)</f>
        <v>* header.metadata.documentId 1..1 Identifier ##34#A.1.8.0 Document Id##34# ##334#Unique identifier of the document##334#</v>
      </c>
    </row>
    <row r="17" spans="3:3" x14ac:dyDescent="0.75">
      <c r="C17" s="14" t="str">
        <f>IF(Report!J17="*  ..  ##34###34# ##334###334#","//--- END",Report!J17)</f>
        <v>* header.metadata.type 1..1 CodeableConcept ##34#A.1.8.1 Document type##34# ##334#A coded type of the document. Fixed value "Laboratory report" - Preferred system(s): LOINC##334#</v>
      </c>
    </row>
    <row r="18" spans="3:3"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625</v>
      </c>
    </row>
    <row r="36" spans="3:3" x14ac:dyDescent="0.75">
      <c r="C36" s="33" t="s">
        <v>896</v>
      </c>
    </row>
    <row r="37" spans="3:3" x14ac:dyDescent="0.75">
      <c r="C37" s="33" t="s">
        <v>625</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A21" workbookViewId="0">
      <selection activeCell="D28" sqref="D28:G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724</v>
      </c>
      <c r="D3" s="73" t="s">
        <v>663</v>
      </c>
      <c r="E3" t="s">
        <v>653</v>
      </c>
    </row>
    <row r="4" spans="1:19" x14ac:dyDescent="0.75">
      <c r="B4" s="73" t="s">
        <v>19</v>
      </c>
      <c r="C4" s="54" t="s">
        <v>871</v>
      </c>
      <c r="D4" s="73" t="s">
        <v>664</v>
      </c>
      <c r="E4" s="84" t="s">
        <v>857</v>
      </c>
    </row>
    <row r="5" spans="1:19" x14ac:dyDescent="0.75">
      <c r="B5" s="73" t="s">
        <v>13</v>
      </c>
      <c r="C5" s="10" t="s">
        <v>659</v>
      </c>
      <c r="D5" s="73"/>
      <c r="E5" s="10"/>
    </row>
    <row r="6" spans="1:19" x14ac:dyDescent="0.75">
      <c r="B6" s="73" t="s">
        <v>35</v>
      </c>
      <c r="C6" s="72" t="s">
        <v>653</v>
      </c>
      <c r="D6" s="73" t="s">
        <v>660</v>
      </c>
      <c r="E6" s="117" t="s">
        <v>653</v>
      </c>
      <c r="F6" s="117"/>
      <c r="G6" s="117"/>
    </row>
    <row r="7" spans="1:19" x14ac:dyDescent="0.75">
      <c r="B7" s="73" t="s">
        <v>18</v>
      </c>
      <c r="C7" s="80" t="s">
        <v>656</v>
      </c>
      <c r="D7" s="73" t="s">
        <v>661</v>
      </c>
      <c r="E7" s="117" t="s">
        <v>662</v>
      </c>
      <c r="F7" s="117"/>
      <c r="G7" s="117"/>
    </row>
    <row r="8" spans="1:19" ht="44.25" x14ac:dyDescent="0.75">
      <c r="B8" s="73" t="s">
        <v>654</v>
      </c>
      <c r="C8" s="10" t="s">
        <v>659</v>
      </c>
      <c r="D8" s="73"/>
      <c r="E8" s="10"/>
      <c r="I8" s="14" t="s">
        <v>626</v>
      </c>
      <c r="J8" s="14" t="s">
        <v>627</v>
      </c>
      <c r="K8" s="14" t="s">
        <v>628</v>
      </c>
      <c r="L8" s="14" t="s">
        <v>629</v>
      </c>
      <c r="M8" s="9" t="s">
        <v>630</v>
      </c>
      <c r="P8" s="69" t="s">
        <v>631</v>
      </c>
      <c r="Q8" s="69">
        <v>6</v>
      </c>
    </row>
    <row r="9" spans="1:19" ht="29.5" x14ac:dyDescent="0.75">
      <c r="B9" s="73" t="s">
        <v>655</v>
      </c>
      <c r="C9" s="1" t="s">
        <v>657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
        <v>254</v>
      </c>
      <c r="C14" s="9"/>
      <c r="D14" s="4" t="s">
        <v>646</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638</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647</v>
      </c>
      <c r="E16" s="9"/>
      <c r="F16" s="75" t="s">
        <v>638</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795</v>
      </c>
      <c r="E17" s="9"/>
      <c r="F17" s="75" t="s">
        <v>638</v>
      </c>
      <c r="G17" s="14" t="s">
        <v>648</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c r="E18" s="9"/>
      <c r="F18" s="75" t="s">
        <v>639</v>
      </c>
      <c r="G18" s="75"/>
      <c r="H18" s="76"/>
      <c r="I18" s="14" t="str">
        <f t="shared" si="11"/>
        <v>* group[=].element[+].code = #LabReport.header.informationRecipient</v>
      </c>
      <c r="J18" s="14" t="str">
        <f t="shared" si="12"/>
        <v>* group[=].element[=].display = ##34#A.1.4 Information recipient##34#</v>
      </c>
      <c r="K18" s="14" t="str">
        <f t="shared" si="13"/>
        <v>//-- unmatched</v>
      </c>
      <c r="L18" s="14" t="str">
        <f t="shared" si="14"/>
        <v>//-- unmatched</v>
      </c>
      <c r="M18" s="14" t="str">
        <f t="shared" si="15"/>
        <v>* group[=].element[=].target.equivalence = #unmatched</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796</v>
      </c>
      <c r="E19" s="9"/>
      <c r="F19" s="75" t="s">
        <v>638</v>
      </c>
      <c r="G19" s="75" t="s">
        <v>675</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781</v>
      </c>
      <c r="E20" s="9"/>
      <c r="F20" s="75" t="s">
        <v>638</v>
      </c>
      <c r="G20" s="75" t="s">
        <v>676</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639</v>
      </c>
      <c r="G21" s="75" t="s">
        <v>677</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638</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360</v>
      </c>
      <c r="E23" s="14"/>
      <c r="F23" s="75" t="s">
        <v>638</v>
      </c>
      <c r="G23" s="82" t="s">
        <v>897</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634</v>
      </c>
      <c r="E24" s="14"/>
      <c r="F24" s="75" t="s">
        <v>637</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73.75" x14ac:dyDescent="0.75">
      <c r="B25" s="9" t="str">
        <f>Report!B18</f>
        <v>header.metadata.status</v>
      </c>
      <c r="C25" s="9" t="str">
        <f>Report!C18</f>
        <v>A.1.8.2 Document status</v>
      </c>
      <c r="D25" s="14" t="s">
        <v>649</v>
      </c>
      <c r="E25" s="14"/>
      <c r="F25" s="75" t="s">
        <v>638</v>
      </c>
      <c r="G25" s="82" t="s">
        <v>924</v>
      </c>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group[=].element[=].target.comment = ##34#For FHIR R4 the more granular status is recorded in the DiagnosticReport.status##34#</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650</v>
      </c>
      <c r="E26" s="14"/>
      <c r="F26" s="75" t="s">
        <v>637</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639</v>
      </c>
      <c r="G27" s="75" t="s">
        <v>677</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9" t="str">
        <f>Report!C21</f>
        <v>A.1.8.5 Study type</v>
      </c>
      <c r="D28" s="14" t="s">
        <v>950</v>
      </c>
      <c r="E28" s="14"/>
      <c r="F28" s="75" t="s">
        <v>638</v>
      </c>
      <c r="G28" s="75"/>
      <c r="H28" s="76"/>
      <c r="I28" s="14" t="str">
        <f t="shared" si="11"/>
        <v>* group[=].element[+].code = #LabReport.header.metadata.studyType</v>
      </c>
      <c r="J28" s="14" t="str">
        <f t="shared" si="12"/>
        <v>* group[=].element[=].display = ##34#A.1.8.5 Study type##34#</v>
      </c>
      <c r="K28" s="14" t="str">
        <f t="shared" si="13"/>
        <v>* group[=].element[=].target.code = #DiagnosticReport.category</v>
      </c>
      <c r="L28" s="14" t="str">
        <f t="shared" si="14"/>
        <v>* group[=].element[=].target.display = ##34###34#</v>
      </c>
      <c r="M28" s="14" t="str">
        <f t="shared" si="15"/>
        <v>* group[=].element[=].target.equivalence = #relatedto</v>
      </c>
      <c r="N28" s="14" t="str">
        <f t="shared" si="16"/>
        <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639</v>
      </c>
      <c r="G29" s="75" t="s">
        <v>677</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639</v>
      </c>
      <c r="G30" s="75" t="s">
        <v>677</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898</v>
      </c>
      <c r="E31" s="14"/>
      <c r="F31" s="75" t="s">
        <v>637</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88.5" x14ac:dyDescent="0.75">
      <c r="B32" s="9" t="str">
        <f>Report!B25</f>
        <v>header.metadata.version</v>
      </c>
      <c r="C32" s="9" t="str">
        <f>Report!C25</f>
        <v>A.1.8.9 Version</v>
      </c>
      <c r="D32" s="14"/>
      <c r="E32" s="14"/>
      <c r="F32" s="75" t="s">
        <v>639</v>
      </c>
      <c r="G32" s="82" t="s">
        <v>901</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792</v>
      </c>
      <c r="E33" s="14"/>
      <c r="F33" s="75" t="s">
        <v>638</v>
      </c>
      <c r="G33" s="75" t="s">
        <v>651</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331</v>
      </c>
      <c r="E34" s="14"/>
      <c r="F34" s="75" t="s">
        <v>638</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332</v>
      </c>
      <c r="E35" s="14"/>
      <c r="F35" s="75" t="s">
        <v>638</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unmatched</v>
      </c>
    </row>
    <row r="36" spans="1:19" ht="73.75" x14ac:dyDescent="0.75">
      <c r="B36" s="66" t="s">
        <v>331</v>
      </c>
      <c r="C36" s="66" t="s">
        <v>169</v>
      </c>
      <c r="D36" s="14" t="s">
        <v>797</v>
      </c>
      <c r="E36" s="14"/>
      <c r="F36" s="75" t="s">
        <v>638</v>
      </c>
      <c r="G36" s="14" t="s">
        <v>764</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unmatched</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#unmatched</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626</v>
      </c>
      <c r="C53" t="s">
        <v>627</v>
      </c>
      <c r="D53" s="1" t="s">
        <v>628</v>
      </c>
      <c r="E53" t="s">
        <v>629</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ht="29.5" x14ac:dyDescent="0.75">
      <c r="P80" s="9">
        <v>66</v>
      </c>
      <c r="Q80" s="9">
        <f t="shared" si="9"/>
        <v>10</v>
      </c>
      <c r="R80" s="9">
        <f t="shared" si="17"/>
        <v>6</v>
      </c>
      <c r="S80" s="14" t="str" cm="1">
        <f t="array" ref="S80">INDEX('Report-ConceptMap-1'!$I$15:$N$270,Q80+1,R80)</f>
        <v>* group[=].element[=].target.comment = ##34#For FHIR R4 the more granular status is recorded in the DiagnosticReport.status##34#</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#DiagnosticReport.category</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20"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663</v>
      </c>
      <c r="E3" t="str">
        <f>'Report-ConceptMap-1'!E3</f>
        <v>http://hl7.eu/fhir/laboratory/StructureDefinition/LabReport</v>
      </c>
    </row>
    <row r="4" spans="1:19" x14ac:dyDescent="0.75">
      <c r="B4" s="73" t="s">
        <v>19</v>
      </c>
      <c r="C4" s="54" t="s">
        <v>658</v>
      </c>
      <c r="D4" s="73" t="s">
        <v>664</v>
      </c>
      <c r="E4" s="84" t="s">
        <v>857</v>
      </c>
    </row>
    <row r="5" spans="1:19" x14ac:dyDescent="0.75">
      <c r="B5" s="73" t="s">
        <v>13</v>
      </c>
      <c r="C5" s="10" t="s">
        <v>659</v>
      </c>
      <c r="D5" s="73"/>
      <c r="E5" s="10"/>
    </row>
    <row r="6" spans="1:19" x14ac:dyDescent="0.75">
      <c r="B6" s="73" t="s">
        <v>35</v>
      </c>
      <c r="C6" s="72" t="s">
        <v>653</v>
      </c>
      <c r="D6" s="73" t="s">
        <v>660</v>
      </c>
      <c r="E6" t="s">
        <v>653</v>
      </c>
    </row>
    <row r="7" spans="1:19" x14ac:dyDescent="0.75">
      <c r="B7" s="73" t="s">
        <v>18</v>
      </c>
      <c r="C7" s="80" t="s">
        <v>656</v>
      </c>
      <c r="D7" s="73" t="s">
        <v>661</v>
      </c>
      <c r="E7" t="s">
        <v>667</v>
      </c>
    </row>
    <row r="8" spans="1:19" ht="44.25" x14ac:dyDescent="0.75">
      <c r="B8" s="73" t="s">
        <v>654</v>
      </c>
      <c r="C8" s="10" t="s">
        <v>659</v>
      </c>
      <c r="D8" s="73"/>
      <c r="E8" s="10"/>
      <c r="I8" s="14" t="s">
        <v>626</v>
      </c>
      <c r="J8" s="14" t="s">
        <v>627</v>
      </c>
      <c r="K8" s="14" t="s">
        <v>628</v>
      </c>
      <c r="L8" s="14" t="s">
        <v>629</v>
      </c>
      <c r="M8" s="9" t="s">
        <v>630</v>
      </c>
      <c r="P8" s="69" t="s">
        <v>631</v>
      </c>
      <c r="Q8" s="69">
        <v>6</v>
      </c>
    </row>
    <row r="9" spans="1:19" ht="29.5" x14ac:dyDescent="0.75">
      <c r="B9" s="73" t="s">
        <v>655</v>
      </c>
      <c r="C9" s="1" t="s">
        <v>657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638</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647</v>
      </c>
      <c r="E16" s="9"/>
      <c r="F16" s="75" t="s">
        <v>638</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798</v>
      </c>
      <c r="E17" s="9"/>
      <c r="F17" s="75" t="s">
        <v>638</v>
      </c>
      <c r="G17" s="14" t="s">
        <v>668</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799</v>
      </c>
      <c r="E18" s="9"/>
      <c r="F18" s="75" t="s">
        <v>639</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800</v>
      </c>
      <c r="E19" s="9"/>
      <c r="F19" s="75" t="s">
        <v>638</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802</v>
      </c>
      <c r="E20" s="9"/>
      <c r="F20" s="75" t="s">
        <v>637</v>
      </c>
      <c r="G20" s="82" t="s">
        <v>801</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802</v>
      </c>
      <c r="E21" s="9"/>
      <c r="F21" s="75" t="s">
        <v>637</v>
      </c>
      <c r="G21" s="82" t="s">
        <v>803</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638</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637</v>
      </c>
      <c r="G23" s="82" t="s">
        <v>897</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634</v>
      </c>
      <c r="E24" s="14"/>
      <c r="F24" s="75" t="s">
        <v>637</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649</v>
      </c>
      <c r="E25" s="14"/>
      <c r="F25" s="75" t="s">
        <v>638</v>
      </c>
      <c r="G25" s="82" t="s">
        <v>925</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669</v>
      </c>
      <c r="E26" s="14"/>
      <c r="F26" s="75" t="s">
        <v>637</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670</v>
      </c>
      <c r="E27" s="14"/>
      <c r="F27" s="75" t="s">
        <v>637</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950</v>
      </c>
      <c r="E28" s="14"/>
      <c r="F28" s="75" t="s">
        <v>638</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671</v>
      </c>
      <c r="E29" s="14"/>
      <c r="F29" s="75" t="s">
        <v>637</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899</v>
      </c>
      <c r="E30" s="14"/>
      <c r="F30" s="75" t="s">
        <v>637</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898</v>
      </c>
      <c r="E31" s="14"/>
      <c r="F31" s="75" t="s">
        <v>637</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900</v>
      </c>
      <c r="E32" s="14"/>
      <c r="F32" s="75" t="s">
        <v>637</v>
      </c>
      <c r="G32" s="75" t="s">
        <v>902</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798</v>
      </c>
      <c r="E33" s="14"/>
      <c r="F33" s="75" t="s">
        <v>638</v>
      </c>
      <c r="G33" s="14" t="s">
        <v>672</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804</v>
      </c>
      <c r="E34" s="14"/>
      <c r="F34" s="75" t="s">
        <v>638</v>
      </c>
      <c r="G34" s="75" t="s">
        <v>673</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790</v>
      </c>
      <c r="E35" s="14"/>
      <c r="F35" s="75" t="s">
        <v>638</v>
      </c>
      <c r="G35" s="75" t="s">
        <v>673</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805</v>
      </c>
      <c r="E36" s="14"/>
      <c r="F36" s="75" t="s">
        <v>638</v>
      </c>
      <c r="G36" s="75" t="s">
        <v>674</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791</v>
      </c>
      <c r="E37" s="14"/>
      <c r="F37" s="75" t="s">
        <v>638</v>
      </c>
      <c r="G37" s="75" t="s">
        <v>674</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workbookViewId="0">
      <selection activeCell="B161" sqref="B161:B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665</v>
      </c>
    </row>
    <row r="3" spans="2:7" x14ac:dyDescent="0.75">
      <c r="B3" s="33" t="s">
        <v>37</v>
      </c>
    </row>
    <row r="4" spans="2:7" x14ac:dyDescent="0.75">
      <c r="B4" s="77" t="str">
        <f>"Instance: "&amp;'Report-ConceptMap-1'!C4</f>
        <v>Instance: labRpt2FHIR-eu-lab</v>
      </c>
    </row>
    <row r="5" spans="2:7" x14ac:dyDescent="0.75">
      <c r="B5" s="77" t="s">
        <v>641</v>
      </c>
    </row>
    <row r="6" spans="2:7" x14ac:dyDescent="0.75">
      <c r="B6" s="77" t="s">
        <v>642</v>
      </c>
    </row>
    <row r="7" spans="2:7" x14ac:dyDescent="0.75">
      <c r="B7" s="77" t="s">
        <v>652</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643</v>
      </c>
    </row>
    <row r="11" spans="2:7" x14ac:dyDescent="0.75">
      <c r="B11" s="77" t="s">
        <v>644</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group[=].element[=].target.comment = ##34#For FHIR R4 the more granular status is recorded in the DiagnosticReport.status##34#</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#DiagnosticReport.category</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ht="29.5" x14ac:dyDescent="0.75">
      <c r="B23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#Composition.category</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933</v>
      </c>
      <c r="I6" s="26" t="str">
        <f>CONCATENATE("Title: ##34#",B6,"##34#")</f>
        <v>Title: ##34#A1.1, A1.2 - Subject of care##34#</v>
      </c>
    </row>
    <row r="7" spans="1:11" ht="15.5" thickBot="1" x14ac:dyDescent="0.9">
      <c r="A7" s="20" t="s">
        <v>5</v>
      </c>
      <c r="B7" s="21" t="s">
        <v>935</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616</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617</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618</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2" t="s">
        <v>57</v>
      </c>
      <c r="D28" s="102" t="s">
        <v>58</v>
      </c>
      <c r="E28" s="40" t="s">
        <v>59</v>
      </c>
      <c r="F28" s="105"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3"/>
      <c r="D29" s="103"/>
      <c r="E29" s="41"/>
      <c r="F29" s="106"/>
      <c r="I29" s="1" t="str">
        <f t="shared" si="2"/>
        <v xml:space="preserve"> - Preferred system(s): </v>
      </c>
    </row>
    <row r="30" spans="2:9" ht="30.25" customHeight="1" thickBot="1" x14ac:dyDescent="0.9">
      <c r="B30" t="str">
        <f t="shared" si="1"/>
        <v xml:space="preserve"> </v>
      </c>
      <c r="C30" s="104"/>
      <c r="D30" s="104"/>
      <c r="E30" s="37" t="s">
        <v>61</v>
      </c>
      <c r="F30" s="107"/>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8" t="s">
        <v>318</v>
      </c>
      <c r="D31" s="109"/>
      <c r="E31" s="109"/>
      <c r="F31" s="110"/>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873</v>
      </c>
      <c r="D3" s="73" t="s">
        <v>663</v>
      </c>
      <c r="E3" s="117" t="s">
        <v>679</v>
      </c>
      <c r="F3" s="117"/>
      <c r="G3" s="117"/>
    </row>
    <row r="4" spans="1:19" x14ac:dyDescent="0.75">
      <c r="B4" s="73" t="s">
        <v>19</v>
      </c>
      <c r="C4" s="54" t="s">
        <v>872</v>
      </c>
      <c r="D4" s="73" t="s">
        <v>664</v>
      </c>
      <c r="E4" s="118" t="s">
        <v>680</v>
      </c>
      <c r="F4" s="117"/>
      <c r="G4" s="117"/>
    </row>
    <row r="5" spans="1:19" x14ac:dyDescent="0.75">
      <c r="B5" s="73" t="s">
        <v>13</v>
      </c>
      <c r="C5" s="10" t="s">
        <v>688</v>
      </c>
      <c r="D5" s="73"/>
      <c r="E5" s="10"/>
    </row>
    <row r="6" spans="1:19" x14ac:dyDescent="0.75">
      <c r="B6" s="73" t="s">
        <v>35</v>
      </c>
      <c r="C6" s="72" t="s">
        <v>653</v>
      </c>
      <c r="D6" s="73" t="s">
        <v>660</v>
      </c>
      <c r="E6" s="117" t="s">
        <v>679</v>
      </c>
      <c r="F6" s="117"/>
      <c r="G6" s="117"/>
    </row>
    <row r="7" spans="1:19" x14ac:dyDescent="0.75">
      <c r="B7" s="73" t="s">
        <v>18</v>
      </c>
      <c r="C7" s="80" t="s">
        <v>656</v>
      </c>
      <c r="D7" s="73" t="s">
        <v>661</v>
      </c>
      <c r="E7" s="118" t="s">
        <v>680</v>
      </c>
      <c r="F7" s="117"/>
      <c r="G7" s="117"/>
    </row>
    <row r="8" spans="1:19" ht="44.25" x14ac:dyDescent="0.75">
      <c r="B8" s="73" t="s">
        <v>654</v>
      </c>
      <c r="C8" s="10" t="s">
        <v>689</v>
      </c>
      <c r="D8" s="73"/>
      <c r="E8"/>
      <c r="I8" s="14" t="s">
        <v>626</v>
      </c>
      <c r="J8" s="14" t="s">
        <v>627</v>
      </c>
      <c r="K8" s="14" t="s">
        <v>628</v>
      </c>
      <c r="L8" s="14" t="s">
        <v>629</v>
      </c>
      <c r="M8" s="9" t="s">
        <v>630</v>
      </c>
      <c r="P8" s="69" t="s">
        <v>631</v>
      </c>
      <c r="Q8" s="69">
        <v>6</v>
      </c>
    </row>
    <row r="9" spans="1:19" ht="29.5" x14ac:dyDescent="0.75">
      <c r="B9" s="73" t="s">
        <v>655</v>
      </c>
      <c r="C9" s="1" t="s">
        <v>690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638</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681</v>
      </c>
      <c r="E16" s="9"/>
      <c r="F16" s="75" t="s">
        <v>637</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682</v>
      </c>
      <c r="E17" s="9"/>
      <c r="F17" s="75" t="s">
        <v>637</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683</v>
      </c>
      <c r="E18" s="9"/>
      <c r="F18" s="75" t="s">
        <v>637</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637</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684</v>
      </c>
      <c r="E20" s="9"/>
      <c r="F20" s="75" t="s">
        <v>637</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638</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685</v>
      </c>
      <c r="E22" s="9"/>
      <c r="F22" s="75" t="s">
        <v>637</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686</v>
      </c>
      <c r="E23" s="14"/>
      <c r="F23" s="75" t="s">
        <v>637</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687</v>
      </c>
    </row>
    <row r="3" spans="2:7" x14ac:dyDescent="0.75">
      <c r="B3" s="33" t="s">
        <v>37</v>
      </c>
    </row>
    <row r="4" spans="2:7" x14ac:dyDescent="0.75">
      <c r="B4" s="77" t="str">
        <f>"Instance: "&amp;'Subj-ConceptMap-1'!C4</f>
        <v>Instance: subject2FHIR-eu-lab</v>
      </c>
    </row>
    <row r="5" spans="2:7" x14ac:dyDescent="0.75">
      <c r="B5" s="77" t="s">
        <v>641</v>
      </c>
    </row>
    <row r="6" spans="2:7" x14ac:dyDescent="0.75">
      <c r="B6" s="77" t="s">
        <v>642</v>
      </c>
    </row>
    <row r="7" spans="2:7" x14ac:dyDescent="0.75">
      <c r="B7" s="77" t="s">
        <v>652</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643</v>
      </c>
    </row>
    <row r="11" spans="2:7" x14ac:dyDescent="0.75">
      <c r="B11" s="77" t="s">
        <v>644</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945</v>
      </c>
      <c r="I6" s="26" t="str">
        <f>CONCATENATE("Title: ##34#",B6,"##34#")</f>
        <v>Title: ##34#A.1.3 - Health insurance and payment information##34#</v>
      </c>
    </row>
    <row r="7" spans="1:11" ht="15.5" customHeight="1" thickBot="1" x14ac:dyDescent="0.9">
      <c r="A7" s="20" t="s">
        <v>5</v>
      </c>
      <c r="B7" s="21" t="s">
        <v>936</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8" t="s">
        <v>325</v>
      </c>
      <c r="D23" s="109"/>
      <c r="E23" s="109"/>
      <c r="F23" s="110"/>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615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workbookViewId="0">
      <selection activeCell="C4" sqref="C4: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725</v>
      </c>
      <c r="D3" s="73" t="s">
        <v>663</v>
      </c>
      <c r="E3" s="118" t="s">
        <v>692</v>
      </c>
      <c r="F3" s="117"/>
      <c r="G3" s="117"/>
    </row>
    <row r="4" spans="1:19" x14ac:dyDescent="0.75">
      <c r="B4" s="73" t="s">
        <v>19</v>
      </c>
      <c r="C4" s="54" t="s">
        <v>927</v>
      </c>
      <c r="D4" s="73" t="s">
        <v>664</v>
      </c>
      <c r="E4" s="118" t="s">
        <v>857</v>
      </c>
      <c r="F4" s="117"/>
      <c r="G4" s="117"/>
    </row>
    <row r="5" spans="1:19" x14ac:dyDescent="0.75">
      <c r="B5" s="73" t="s">
        <v>13</v>
      </c>
      <c r="C5" s="10" t="s">
        <v>697</v>
      </c>
      <c r="D5" s="73"/>
      <c r="E5" s="10"/>
    </row>
    <row r="6" spans="1:19" x14ac:dyDescent="0.75">
      <c r="B6" s="73" t="s">
        <v>35</v>
      </c>
      <c r="C6" s="72" t="s">
        <v>653</v>
      </c>
      <c r="D6" s="73" t="s">
        <v>660</v>
      </c>
      <c r="E6" s="118" t="s">
        <v>692</v>
      </c>
      <c r="F6" s="117"/>
      <c r="G6" s="117"/>
    </row>
    <row r="7" spans="1:19" x14ac:dyDescent="0.75">
      <c r="B7" s="73" t="s">
        <v>18</v>
      </c>
      <c r="C7" s="80" t="s">
        <v>656</v>
      </c>
      <c r="D7" s="73" t="s">
        <v>661</v>
      </c>
      <c r="E7" s="118" t="s">
        <v>691</v>
      </c>
      <c r="F7" s="117"/>
      <c r="G7" s="117"/>
    </row>
    <row r="8" spans="1:19" ht="44.25" x14ac:dyDescent="0.75">
      <c r="B8" s="73" t="s">
        <v>654</v>
      </c>
      <c r="C8" s="10" t="s">
        <v>698</v>
      </c>
      <c r="D8" s="73"/>
      <c r="E8" s="10"/>
      <c r="I8" s="14" t="s">
        <v>626</v>
      </c>
      <c r="J8" s="14" t="s">
        <v>627</v>
      </c>
      <c r="K8" s="14" t="s">
        <v>628</v>
      </c>
      <c r="L8" s="14" t="s">
        <v>629</v>
      </c>
      <c r="M8" s="9" t="s">
        <v>630</v>
      </c>
      <c r="P8" s="69" t="s">
        <v>631</v>
      </c>
      <c r="Q8" s="69">
        <v>6</v>
      </c>
    </row>
    <row r="9" spans="1:19" ht="29.5" x14ac:dyDescent="0.75">
      <c r="B9" s="73" t="s">
        <v>655</v>
      </c>
      <c r="C9" s="1" t="s">
        <v>699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'A1.3 Payer'!B5</f>
        <v>Payer</v>
      </c>
      <c r="C14" s="9"/>
      <c r="D14" s="4" t="s">
        <v>340</v>
      </c>
      <c r="E14" s="8"/>
      <c r="F14" s="9"/>
      <c r="G14" s="9" t="s">
        <v>806</v>
      </c>
      <c r="I14" s="14"/>
      <c r="J14" s="9"/>
      <c r="K14" s="9"/>
      <c r="L14" s="9"/>
      <c r="M14" s="71"/>
      <c r="N14" s="74"/>
    </row>
    <row r="15" spans="1:19" ht="44.25" x14ac:dyDescent="0.75">
      <c r="A15" s="23"/>
      <c r="B15" s="9" t="str">
        <f>'A1.3 Payer'!B8</f>
        <v>insurance</v>
      </c>
      <c r="C15" s="9" t="str">
        <f>'A1.3 Payer'!C8</f>
        <v>A.1.3.1 Health insurance information</v>
      </c>
      <c r="D15" s="14"/>
      <c r="E15" s="62"/>
      <c r="F15" s="75" t="s">
        <v>638</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73.75" x14ac:dyDescent="0.75">
      <c r="A16" s="23"/>
      <c r="B16" s="9" t="str">
        <f>'A1.3 Payer'!B9</f>
        <v>insurance.identifier</v>
      </c>
      <c r="C16" s="9" t="str">
        <f>'A1.3 Payer'!C9</f>
        <v>A.1.3.1.1 Health insurance code</v>
      </c>
      <c r="D16" s="9" t="s">
        <v>807</v>
      </c>
      <c r="E16" s="9"/>
      <c r="F16" s="75" t="s">
        <v>637</v>
      </c>
      <c r="G16" s="9" t="s">
        <v>693</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73.75" x14ac:dyDescent="0.75">
      <c r="A17" s="23"/>
      <c r="B17" s="9" t="str">
        <f>'A1.3 Payer'!B10</f>
        <v>insurance.name</v>
      </c>
      <c r="C17" s="9" t="str">
        <f>'A1.3 Payer'!C10</f>
        <v>A.1.3.1.2 Health insurance name</v>
      </c>
      <c r="D17" s="9" t="s">
        <v>808</v>
      </c>
      <c r="E17" s="9"/>
      <c r="F17" s="75" t="s">
        <v>637</v>
      </c>
      <c r="G17" s="9" t="s">
        <v>694</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59" x14ac:dyDescent="0.75">
      <c r="A18" s="23"/>
      <c r="B18" s="9" t="str">
        <f>'A1.3 Payer'!$B$11</f>
        <v>insurance.subjectIdentifier</v>
      </c>
      <c r="C18" s="9" t="str">
        <f>'A1.3 Payer'!$C$11</f>
        <v>A.1.3.1.3 Health insurance number</v>
      </c>
      <c r="D18" s="9" t="s">
        <v>809</v>
      </c>
      <c r="E18" s="9"/>
      <c r="F18" s="75" t="s">
        <v>637</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59" x14ac:dyDescent="0.75">
      <c r="A19" s="23"/>
      <c r="B19" s="9" t="str">
        <f>'A1.3 Payer'!$B$11</f>
        <v>insurance.subjectIdentifier</v>
      </c>
      <c r="C19" s="9" t="str">
        <f>'A1.3 Payer'!$C$11</f>
        <v>A.1.3.1.3 Health insurance number</v>
      </c>
      <c r="D19" s="9" t="s">
        <v>810</v>
      </c>
      <c r="E19" s="9"/>
      <c r="F19" s="75" t="s">
        <v>637</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44.25" x14ac:dyDescent="0.75">
      <c r="A20" s="23"/>
      <c r="B20" s="9" t="str">
        <f>'A1.3 Payer'!$B$11</f>
        <v>insurance.subjectIdentifier</v>
      </c>
      <c r="C20" s="9" t="str">
        <f>'A1.3 Payer'!$C$11</f>
        <v>A.1.3.1.3 Health insurance number</v>
      </c>
      <c r="D20" s="9" t="s">
        <v>695</v>
      </c>
      <c r="E20" s="9"/>
      <c r="F20" s="75" t="s">
        <v>637</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44.25" x14ac:dyDescent="0.75">
      <c r="A21" s="23"/>
      <c r="B21" s="9" t="str">
        <f>'A1.3 Payer'!$B$11</f>
        <v>insurance.subjectIdentifier</v>
      </c>
      <c r="C21" s="9" t="str">
        <f>'A1.3 Payer'!$C$11</f>
        <v>A.1.3.1.3 Health insurance number</v>
      </c>
      <c r="D21" s="9" t="s">
        <v>811</v>
      </c>
      <c r="E21" s="9"/>
      <c r="F21" s="75" t="s">
        <v>637</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90"/>
  <sheetViews>
    <sheetView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663</v>
      </c>
      <c r="E3" s="119" t="str">
        <f>'Payer-ConceptMap-1'!E3</f>
        <v>http://hl7.eu/fhir/laboratory/StructureDefinition/Payer</v>
      </c>
      <c r="F3" s="120"/>
      <c r="G3" s="120"/>
    </row>
    <row r="4" spans="1:19" x14ac:dyDescent="0.75">
      <c r="B4" s="73" t="s">
        <v>19</v>
      </c>
      <c r="C4" s="54" t="str">
        <f>'Payer-ConceptMap-1'!C4</f>
        <v>payer2FHIR-eu-lab</v>
      </c>
      <c r="D4" s="73" t="s">
        <v>664</v>
      </c>
      <c r="E4" s="118" t="str">
        <f>'Payer-ConceptMap-1'!E4</f>
        <v>http://hl7.eu/fhir/laboratory/StructureDefinition/Bundle-eu-lab</v>
      </c>
      <c r="F4" s="117"/>
      <c r="G4" s="117"/>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660</v>
      </c>
      <c r="E6" s="118" t="str">
        <f>E3</f>
        <v>http://hl7.eu/fhir/laboratory/StructureDefinition/Payer</v>
      </c>
      <c r="F6" s="117"/>
      <c r="G6" s="117"/>
    </row>
    <row r="7" spans="1:19" x14ac:dyDescent="0.75">
      <c r="B7" s="73" t="s">
        <v>18</v>
      </c>
      <c r="C7" s="80" t="str">
        <f>'Payer-ConceptMap-1'!C7</f>
        <v>http://hl7.eu/fhir/laboratory</v>
      </c>
      <c r="D7" s="73" t="s">
        <v>661</v>
      </c>
      <c r="E7" s="118" t="s">
        <v>680</v>
      </c>
      <c r="F7" s="117"/>
      <c r="G7" s="117"/>
    </row>
    <row r="8" spans="1:19" ht="44.25" x14ac:dyDescent="0.75">
      <c r="B8" s="73" t="s">
        <v>654</v>
      </c>
      <c r="C8" s="10" t="str">
        <f>'Payer-ConceptMap-1'!C8</f>
        <v>eHN Payer Model to this guide Map</v>
      </c>
      <c r="D8" s="73"/>
      <c r="E8" s="10"/>
      <c r="I8" s="14" t="s">
        <v>626</v>
      </c>
      <c r="J8" s="14" t="s">
        <v>627</v>
      </c>
      <c r="K8" s="14" t="s">
        <v>628</v>
      </c>
      <c r="L8" s="14" t="s">
        <v>629</v>
      </c>
      <c r="M8" s="9" t="s">
        <v>630</v>
      </c>
      <c r="P8" s="69" t="s">
        <v>631</v>
      </c>
      <c r="Q8" s="69">
        <v>6</v>
      </c>
    </row>
    <row r="9" spans="1:19" ht="29.5" x14ac:dyDescent="0.75">
      <c r="B9" s="73" t="s">
        <v>655</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'A1.3 Payer'!B5</f>
        <v>Payer</v>
      </c>
      <c r="C14" s="9"/>
      <c r="D14" s="4" t="s">
        <v>17</v>
      </c>
      <c r="E14" s="8"/>
      <c r="F14" s="75" t="s">
        <v>639</v>
      </c>
      <c r="G14" s="9"/>
      <c r="I14" s="14"/>
      <c r="J14" s="9"/>
      <c r="K14" s="9"/>
      <c r="L14" s="9"/>
      <c r="M14" s="71"/>
      <c r="N14" s="74"/>
    </row>
    <row r="15" spans="1:19" ht="44.25" x14ac:dyDescent="0.75">
      <c r="A15" s="23"/>
      <c r="B15" s="9" t="str">
        <f>'A1.3 Payer'!B8</f>
        <v>insurance</v>
      </c>
      <c r="C15" s="9" t="str">
        <f>'A1.3 Payer'!C8</f>
        <v>A.1.3.1 Health insurance information</v>
      </c>
      <c r="D15" s="14"/>
      <c r="E15" s="9"/>
      <c r="F15" s="75" t="s">
        <v>639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unmatched</v>
      </c>
      <c r="L15" s="14" t="str">
        <f t="shared" ref="L15:L21" si="1">IF(F15="unmatched","//-- unmatched","* group[=].element[=].target.display = ##34#"&amp;E15&amp;"##34#")</f>
        <v>//-- unmatched</v>
      </c>
      <c r="M15" s="14" t="str">
        <f t="shared" ref="M15:M21" si="2">"* group[=].element[=].target.equivalence = #"&amp;F15</f>
        <v>* group[=].element[=].target.equivalence = #unmatched</v>
      </c>
      <c r="N15" s="4" t="str">
        <f t="shared" ref="N15:N21"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14"/>
      <c r="E16" s="9"/>
      <c r="F16" s="75" t="s">
        <v>639</v>
      </c>
      <c r="G16" s="75"/>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9" si="6">IF(MOD(P16,$Q$8)=0,P16/$Q$8-1,INT(P16/$Q$8))</f>
        <v>0</v>
      </c>
      <c r="R16" s="9">
        <f t="shared" ref="R16:R79" si="7">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14"/>
      <c r="E17" s="9"/>
      <c r="F17" s="75" t="s">
        <v>639</v>
      </c>
      <c r="G17" s="75"/>
      <c r="H17" s="76"/>
      <c r="I17" s="14" t="str">
        <f t="shared" si="4"/>
        <v>* group[=].element[+].code = #Payer.insurance.name</v>
      </c>
      <c r="J17" s="14" t="str">
        <f t="shared" si="0"/>
        <v>* group[=].element[=].display = ##34#A.1.3.1.2 Health insurance name##34#</v>
      </c>
      <c r="K17" s="14" t="str">
        <f t="shared" si="5"/>
        <v>//-- unmatched</v>
      </c>
      <c r="L17" s="14" t="str">
        <f t="shared" si="1"/>
        <v>//-- unmatched</v>
      </c>
      <c r="M17" s="14" t="str">
        <f t="shared" si="2"/>
        <v>* group[=].element[=].target.equivalence = #unmatched</v>
      </c>
      <c r="N17" s="14" t="str">
        <f t="shared" si="3"/>
        <v/>
      </c>
      <c r="P17" s="9">
        <v>3</v>
      </c>
      <c r="Q17" s="9">
        <f t="shared" si="6"/>
        <v>0</v>
      </c>
      <c r="R17" s="9">
        <f t="shared" si="7"/>
        <v>3</v>
      </c>
      <c r="S17" s="14" t="str" cm="1">
        <f t="array" ref="S17">INDEX('Payer-ConceptMap-2'!$I$15:$N$270,Q17+1,R17)</f>
        <v>//-- unmatched</v>
      </c>
    </row>
    <row r="18" spans="1:19" ht="44.25" x14ac:dyDescent="0.75">
      <c r="A18" s="23"/>
      <c r="B18" s="9" t="str">
        <f>'A1.3 Payer'!$B$11</f>
        <v>insurance.subjectIdentifier</v>
      </c>
      <c r="C18" s="9" t="str">
        <f>'A1.3 Payer'!$C$11</f>
        <v>A.1.3.1.3 Health insurance number</v>
      </c>
      <c r="D18" s="14"/>
      <c r="E18" s="9"/>
      <c r="F18" s="75" t="s">
        <v>639</v>
      </c>
      <c r="G18" s="75"/>
      <c r="H18" s="76"/>
      <c r="I18" s="14" t="str">
        <f t="shared" si="4"/>
        <v>* group[=].element[+].code = #Payer.insurance.subjectIdentifier</v>
      </c>
      <c r="J18" s="14" t="str">
        <f t="shared" si="0"/>
        <v>* group[=].element[=].display = ##34#A.1.3.1.3 Health insurance number##34#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INDEX('Payer-ConceptMap-2'!$I$15:$N$270,Q18+1,R18)</f>
        <v>//-- unmatched</v>
      </c>
    </row>
    <row r="19" spans="1:19" ht="44.25" x14ac:dyDescent="0.75">
      <c r="A19" s="23"/>
      <c r="B19" s="9" t="str">
        <f>'A1.3 Payer'!$B$11</f>
        <v>insurance.subjectIdentifier</v>
      </c>
      <c r="C19" s="9" t="str">
        <f>'A1.3 Payer'!$C$11</f>
        <v>A.1.3.1.3 Health insurance number</v>
      </c>
      <c r="D19" s="14"/>
      <c r="E19" s="9"/>
      <c r="F19" s="75" t="s">
        <v>639</v>
      </c>
      <c r="G19" s="75"/>
      <c r="H19" s="76"/>
      <c r="I19" s="14" t="str">
        <f t="shared" si="4"/>
        <v>* group[=].element[+].code = #Payer.insurance.subjectIdentifier</v>
      </c>
      <c r="J19" s="14" t="str">
        <f t="shared" si="0"/>
        <v>* group[=].element[=].display = ##34#A.1.3.1.3 Health insurance number##34#</v>
      </c>
      <c r="K19" s="14" t="str">
        <f t="shared" si="5"/>
        <v>//-- unmatched</v>
      </c>
      <c r="L19" s="14" t="str">
        <f t="shared" si="1"/>
        <v>//-- unmatched</v>
      </c>
      <c r="M19" s="14" t="str">
        <f t="shared" si="2"/>
        <v>* group[=].element[=].target.equivalence = #unmatched</v>
      </c>
      <c r="N19" s="14" t="str">
        <f t="shared" si="3"/>
        <v/>
      </c>
      <c r="P19" s="9">
        <v>5</v>
      </c>
      <c r="Q19" s="9">
        <f t="shared" si="6"/>
        <v>0</v>
      </c>
      <c r="R19" s="9">
        <f t="shared" si="7"/>
        <v>5</v>
      </c>
      <c r="S19" s="14" t="str" cm="1">
        <f t="array" ref="S19">INDEX('Payer-ConceptMap-2'!$I$15:$N$270,Q19+1,R19)</f>
        <v>* group[=].element[=].target.equivalence = #unmatched</v>
      </c>
    </row>
    <row r="20" spans="1:19" ht="44.25" x14ac:dyDescent="0.75">
      <c r="A20" s="23"/>
      <c r="B20" s="9" t="str">
        <f>'A1.3 Payer'!$B$11</f>
        <v>insurance.subjectIdentifier</v>
      </c>
      <c r="C20" s="9" t="str">
        <f>'A1.3 Payer'!$C$11</f>
        <v>A.1.3.1.3 Health insurance number</v>
      </c>
      <c r="D20" s="14"/>
      <c r="E20" s="9"/>
      <c r="F20" s="75" t="s">
        <v>639</v>
      </c>
      <c r="G20" s="75"/>
      <c r="H20" s="76"/>
      <c r="I20" s="14" t="str">
        <f t="shared" si="4"/>
        <v>* group[=].element[+].code = #Payer.insurance.subjectIdentifier</v>
      </c>
      <c r="J20" s="14" t="str">
        <f t="shared" si="0"/>
        <v>* group[=].element[=].display = ##34#A.1.3.1.3 Health insurance number##34#</v>
      </c>
      <c r="K20" s="14" t="str">
        <f t="shared" si="5"/>
        <v>//-- unmatched</v>
      </c>
      <c r="L20" s="14" t="str">
        <f t="shared" si="1"/>
        <v>//-- unmatched</v>
      </c>
      <c r="M20" s="14" t="str">
        <f t="shared" si="2"/>
        <v>* group[=].element[=].target.equivalence = #unmatched</v>
      </c>
      <c r="N20" s="14" t="str">
        <f t="shared" si="3"/>
        <v/>
      </c>
      <c r="P20" s="9">
        <v>6</v>
      </c>
      <c r="Q20" s="9">
        <f t="shared" si="6"/>
        <v>0</v>
      </c>
      <c r="R20" s="9">
        <f t="shared" si="7"/>
        <v>6</v>
      </c>
      <c r="S20" s="14" t="str" cm="1">
        <f t="array" ref="S20">INDEX('Payer-ConceptMap-2'!$I$15:$N$270,Q20+1,R20)</f>
        <v/>
      </c>
    </row>
    <row r="21" spans="1:19" ht="44.25" x14ac:dyDescent="0.75">
      <c r="A21" s="23"/>
      <c r="B21" s="9" t="str">
        <f>'A1.3 Payer'!$B$11</f>
        <v>insurance.subjectIdentifier</v>
      </c>
      <c r="C21" s="9" t="str">
        <f>'A1.3 Payer'!$C$11</f>
        <v>A.1.3.1.3 Health insurance number</v>
      </c>
      <c r="D21" s="9" t="s">
        <v>360</v>
      </c>
      <c r="E21" s="9"/>
      <c r="F21" s="75" t="s">
        <v>638</v>
      </c>
      <c r="G21" s="75" t="s">
        <v>948</v>
      </c>
      <c r="H21" s="76"/>
      <c r="I21" s="14" t="str">
        <f t="shared" si="4"/>
        <v>* group[=].element[+].code = #Payer.insurance.subjectIdentifier</v>
      </c>
      <c r="J21" s="14" t="str">
        <f t="shared" si="0"/>
        <v>* group[=].element[=].display = ##34#A.1.3.1.3 Health insurance number##34#</v>
      </c>
      <c r="K21" s="14" t="str">
        <f t="shared" si="5"/>
        <v>* group[=].element[=].target.code = #Patient.identifier</v>
      </c>
      <c r="L21" s="14" t="str">
        <f t="shared" si="1"/>
        <v>* group[=].element[=].target.display = ##34###34#</v>
      </c>
      <c r="M21" s="14" t="str">
        <f t="shared" si="2"/>
        <v>* group[=].element[=].target.equivalence = #relatedto</v>
      </c>
      <c r="N21" s="14" t="str">
        <f t="shared" si="3"/>
        <v>* group[=].element[=].target.comment = ##34#Sometimes the identifier assigned by the payor (e.g. the SSN) is used as one of the Patient Identifiers##34#</v>
      </c>
      <c r="P21" s="9">
        <v>7</v>
      </c>
      <c r="Q21" s="9">
        <f t="shared" si="6"/>
        <v>1</v>
      </c>
      <c r="R21" s="9">
        <f t="shared" si="7"/>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INDEX('Payer-ConceptMap-2'!$I$15:$N$270,Q23+1,R23)</f>
        <v>//-- unmatched</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INDEX('Payer-ConceptMap-2'!$I$15:$N$270,Q24+1,R24)</f>
        <v>//-- unmatched</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INDEX('Payer-ConceptMap-2'!$I$15:$N$270,Q25+1,R25)</f>
        <v>* group[=].element[=].target.equivalence = #unmatched</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INDEX('Payer-ConceptMap-2'!$I$15:$N$270,Q26+1,R26)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INDEX('Payer-ConceptMap-2'!$I$15:$N$270,Q29+1,R29)</f>
        <v>//-- unmatched</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INDEX('Payer-ConceptMap-2'!$I$15:$N$270,Q30+1,R30)</f>
        <v>//-- unmatched</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INDEX('Payer-ConceptMap-2'!$I$15:$N$270,Q31+1,R31)</f>
        <v>* group[=].element[=].target.equivalence = #unmatched</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INDEX('Payer-ConceptMap-2'!$I$15:$N$270,Q32+1,R32)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INDEX('Payer-ConceptMap-2'!$I$15:$N$270,Q35+1,R35)</f>
        <v>//-- unmatched</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INDEX('Payer-ConceptMap-2'!$I$15:$N$270,Q36+1,R36)</f>
        <v>//-- unmatched</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INDEX('Payer-ConceptMap-2'!$I$15:$N$270,Q37+1,R37)</f>
        <v>* group[=].element[=].target.equivalence = #unmatched</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INDEX('Payer-ConceptMap-2'!$I$15:$N$270,Q41+1,R41)</f>
        <v>//-- unmatched</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INDEX('Payer-ConceptMap-2'!$I$15:$N$270,Q42+1,R42)</f>
        <v>//-- unmatched</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INDEX('Payer-ConceptMap-2'!$I$15:$N$270,Q43+1,R43)</f>
        <v>* group[=].element[=].target.equivalence = #unmatched</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INDEX('Payer-ConceptMap-2'!$I$15:$N$270,Q47+1,R47)</f>
        <v>//-- unmatched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INDEX('Payer-ConceptMap-2'!$I$15:$N$270,Q48+1,R48)</f>
        <v>//-- unmatched</v>
      </c>
    </row>
    <row r="49" spans="5:19" x14ac:dyDescent="0.75">
      <c r="F49" s="76"/>
      <c r="G49" s="76"/>
      <c r="H49" s="76"/>
      <c r="J49" s="76"/>
      <c r="K49" s="76"/>
      <c r="L49" s="76"/>
      <c r="M49" s="76"/>
      <c r="N49" s="76"/>
      <c r="P49" s="9">
        <v>35</v>
      </c>
      <c r="Q49" s="9">
        <f t="shared" si="6"/>
        <v>5</v>
      </c>
      <c r="R49" s="9">
        <f t="shared" si="7"/>
        <v>5</v>
      </c>
      <c r="S49" s="14" t="str" cm="1">
        <f t="array" ref="S49">INDEX('Payer-ConceptMap-2'!$I$15:$N$270,Q49+1,R49)</f>
        <v>* group[=].element[=].target.equivalence = #unmatched</v>
      </c>
    </row>
    <row r="50" spans="5:19" x14ac:dyDescent="0.75">
      <c r="F50" s="76"/>
      <c r="G50" s="76"/>
      <c r="H50" s="76"/>
      <c r="J50" s="76"/>
      <c r="K50" s="76"/>
      <c r="L50" s="76"/>
      <c r="M50" s="76"/>
      <c r="N50" s="76"/>
      <c r="P50" s="9">
        <v>36</v>
      </c>
      <c r="Q50" s="9">
        <f t="shared" si="6"/>
        <v>5</v>
      </c>
      <c r="R50" s="9">
        <f t="shared" si="7"/>
        <v>6</v>
      </c>
      <c r="S50" s="14" t="str" cm="1">
        <f t="array" ref="S50">INDEX('Payer-ConceptMap-2'!$I$15:$N$270,Q50+1,R50)</f>
        <v/>
      </c>
    </row>
    <row r="51" spans="5:19" x14ac:dyDescent="0.75">
      <c r="F51" s="76"/>
      <c r="G51" s="76"/>
      <c r="H51" s="76"/>
      <c r="J51" s="76"/>
      <c r="K51" s="76"/>
      <c r="L51" s="76"/>
      <c r="M51" s="76"/>
      <c r="N51" s="76"/>
      <c r="P51" s="9">
        <v>37</v>
      </c>
      <c r="Q51" s="9">
        <f t="shared" si="6"/>
        <v>6</v>
      </c>
      <c r="R51" s="9">
        <f t="shared" si="7"/>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INDEX('Payer-ConceptMap-2'!$I$15:$N$270,Q52+1,R52)</f>
        <v>* group[=].element[=].display = ##34#A.1.3.1.3 Health insurance number##34#</v>
      </c>
    </row>
    <row r="53" spans="5:19" x14ac:dyDescent="0.75">
      <c r="E53"/>
      <c r="P53" s="9">
        <v>39</v>
      </c>
      <c r="Q53" s="9">
        <f t="shared" si="6"/>
        <v>6</v>
      </c>
      <c r="R53" s="9">
        <f t="shared" si="7"/>
        <v>3</v>
      </c>
      <c r="S53" s="14" t="str" cm="1">
        <f t="array" ref="S53">INDEX('Payer-ConceptMap-2'!$I$15:$N$270,Q53+1,R53)</f>
        <v>* group[=].element[=].target.code = #Patient.identifier</v>
      </c>
    </row>
    <row r="54" spans="5:19" x14ac:dyDescent="0.75">
      <c r="P54" s="9">
        <v>40</v>
      </c>
      <c r="Q54" s="9">
        <f t="shared" si="6"/>
        <v>6</v>
      </c>
      <c r="R54" s="9">
        <f t="shared" si="7"/>
        <v>4</v>
      </c>
      <c r="S54" s="14" t="str" cm="1">
        <f t="array" ref="S54">INDEX('Payer-ConceptMap-2'!$I$15:$N$270,Q54+1,R54)</f>
        <v>* group[=].element[=].target.display = ##34###34#</v>
      </c>
    </row>
    <row r="55" spans="5:19" x14ac:dyDescent="0.75">
      <c r="P55" s="9">
        <v>41</v>
      </c>
      <c r="Q55" s="9">
        <f t="shared" si="6"/>
        <v>6</v>
      </c>
      <c r="R55" s="9">
        <f t="shared" si="7"/>
        <v>5</v>
      </c>
      <c r="S55" s="14" t="str" cm="1">
        <f t="array" ref="S55">INDEX('Payer-ConceptMap-2'!$I$15:$N$270,Q55+1,R55)</f>
        <v>* group[=].element[=].target.equivalence = #relatedto</v>
      </c>
    </row>
    <row r="56" spans="5:19" ht="29.5" x14ac:dyDescent="0.75">
      <c r="P56" s="9">
        <v>42</v>
      </c>
      <c r="Q56" s="9">
        <f t="shared" si="6"/>
        <v>6</v>
      </c>
      <c r="R56" s="9">
        <f t="shared" si="7"/>
        <v>6</v>
      </c>
      <c r="S56" s="14" t="str" cm="1">
        <f t="array" ref="S56">INDEX('Payer-ConceptMap-2'!$I$15:$N$270,Q56+1,R56)</f>
        <v>* group[=].element[=].target.comment = ##34#Sometimes the identifier assigned by the payor (e.g. the SSN) is used as one of the Patient Identifiers##34#</v>
      </c>
    </row>
    <row r="57" spans="5:19" x14ac:dyDescent="0.75">
      <c r="P57" s="9">
        <v>43</v>
      </c>
      <c r="Q57" s="9">
        <f t="shared" si="6"/>
        <v>7</v>
      </c>
      <c r="R57" s="9">
        <f t="shared" si="7"/>
        <v>1</v>
      </c>
      <c r="S57" s="14" cm="1">
        <f t="array" ref="S57">INDEX('Payer-ConceptMap-2'!$I$15:$N$270,Q57+1,R57)</f>
        <v>0</v>
      </c>
    </row>
    <row r="58" spans="5:19" x14ac:dyDescent="0.75">
      <c r="P58" s="9">
        <v>44</v>
      </c>
      <c r="Q58" s="9">
        <f t="shared" si="6"/>
        <v>7</v>
      </c>
      <c r="R58" s="9">
        <f t="shared" si="7"/>
        <v>2</v>
      </c>
      <c r="S58" s="14" cm="1">
        <f t="array" ref="S58">INDEX('Payer-ConceptMap-2'!$I$15:$N$270,Q58+1,R58)</f>
        <v>0</v>
      </c>
    </row>
    <row r="59" spans="5:19" x14ac:dyDescent="0.75">
      <c r="P59" s="9">
        <v>45</v>
      </c>
      <c r="Q59" s="9">
        <f t="shared" si="6"/>
        <v>7</v>
      </c>
      <c r="R59" s="9">
        <f t="shared" si="7"/>
        <v>3</v>
      </c>
      <c r="S59" s="14" cm="1">
        <f t="array" ref="S59">INDEX('Payer-ConceptMap-2'!$I$15:$N$270,Q59+1,R59)</f>
        <v>0</v>
      </c>
    </row>
    <row r="60" spans="5:19" x14ac:dyDescent="0.75">
      <c r="P60" s="9">
        <v>46</v>
      </c>
      <c r="Q60" s="9">
        <f t="shared" si="6"/>
        <v>7</v>
      </c>
      <c r="R60" s="9">
        <f t="shared" si="7"/>
        <v>4</v>
      </c>
      <c r="S60" s="14" cm="1">
        <f t="array" ref="S60">INDEX('Payer-ConceptMap-2'!$I$15:$N$270,Q60+1,R60)</f>
        <v>0</v>
      </c>
    </row>
    <row r="61" spans="5:19" x14ac:dyDescent="0.75">
      <c r="P61" s="9">
        <v>47</v>
      </c>
      <c r="Q61" s="9">
        <f t="shared" si="6"/>
        <v>7</v>
      </c>
      <c r="R61" s="9">
        <f t="shared" si="7"/>
        <v>5</v>
      </c>
      <c r="S61" s="14" cm="1">
        <f t="array" ref="S61">INDEX('Payer-ConceptMap-2'!$I$15:$N$270,Q61+1,R61)</f>
        <v>0</v>
      </c>
    </row>
    <row r="62" spans="5:19" x14ac:dyDescent="0.75">
      <c r="P62" s="9">
        <v>48</v>
      </c>
      <c r="Q62" s="9">
        <f t="shared" si="6"/>
        <v>7</v>
      </c>
      <c r="R62" s="9">
        <f t="shared" si="7"/>
        <v>6</v>
      </c>
      <c r="S62" s="14" cm="1">
        <f t="array" ref="S62">INDEX('Payer-ConceptMap-2'!$I$15:$N$270,Q62+1,R62)</f>
        <v>0</v>
      </c>
    </row>
    <row r="63" spans="5:19" x14ac:dyDescent="0.75">
      <c r="P63" s="9">
        <v>49</v>
      </c>
      <c r="Q63" s="9">
        <f t="shared" si="6"/>
        <v>8</v>
      </c>
      <c r="R63" s="9">
        <f t="shared" si="7"/>
        <v>1</v>
      </c>
      <c r="S63" s="14" cm="1">
        <f t="array" ref="S63">INDEX('Payer-ConceptMap-2'!$I$15:$N$270,Q63+1,R63)</f>
        <v>0</v>
      </c>
    </row>
    <row r="64" spans="5:19" x14ac:dyDescent="0.75">
      <c r="P64" s="9">
        <v>50</v>
      </c>
      <c r="Q64" s="9">
        <f t="shared" si="6"/>
        <v>8</v>
      </c>
      <c r="R64" s="9">
        <f t="shared" si="7"/>
        <v>2</v>
      </c>
      <c r="S64" s="14" cm="1">
        <f t="array" ref="S64">INDEX('Payer-ConceptMap-2'!$I$15:$N$270,Q64+1,R64)</f>
        <v>0</v>
      </c>
    </row>
    <row r="65" spans="16:19" x14ac:dyDescent="0.75">
      <c r="P65" s="9">
        <v>51</v>
      </c>
      <c r="Q65" s="9">
        <f t="shared" si="6"/>
        <v>8</v>
      </c>
      <c r="R65" s="9">
        <f t="shared" si="7"/>
        <v>3</v>
      </c>
      <c r="S65" s="14" cm="1">
        <f t="array" ref="S65">INDEX('Payer-ConceptMap-2'!$I$15:$N$270,Q65+1,R65)</f>
        <v>0</v>
      </c>
    </row>
    <row r="66" spans="16:19" x14ac:dyDescent="0.75">
      <c r="P66" s="9">
        <v>52</v>
      </c>
      <c r="Q66" s="9">
        <f t="shared" si="6"/>
        <v>8</v>
      </c>
      <c r="R66" s="9">
        <f t="shared" si="7"/>
        <v>4</v>
      </c>
      <c r="S66" s="14" cm="1">
        <f t="array" ref="S66">INDEX('Payer-ConceptMap-2'!$I$15:$N$270,Q66+1,R66)</f>
        <v>0</v>
      </c>
    </row>
    <row r="67" spans="16:19" x14ac:dyDescent="0.75">
      <c r="P67" s="9">
        <v>53</v>
      </c>
      <c r="Q67" s="9">
        <f t="shared" si="6"/>
        <v>8</v>
      </c>
      <c r="R67" s="9">
        <f t="shared" si="7"/>
        <v>5</v>
      </c>
      <c r="S67" s="14" cm="1">
        <f t="array" ref="S67">INDEX('Payer-ConceptMap-2'!$I$15:$N$270,Q67+1,R67)</f>
        <v>0</v>
      </c>
    </row>
    <row r="68" spans="16:19" x14ac:dyDescent="0.75">
      <c r="P68" s="9">
        <v>54</v>
      </c>
      <c r="Q68" s="9">
        <f t="shared" si="6"/>
        <v>8</v>
      </c>
      <c r="R68" s="9">
        <f t="shared" si="7"/>
        <v>6</v>
      </c>
      <c r="S68" s="14" cm="1">
        <f t="array" ref="S68">INDEX('Payer-ConceptMap-2'!$I$15:$N$270,Q68+1,R68)</f>
        <v>0</v>
      </c>
    </row>
    <row r="69" spans="16:19" x14ac:dyDescent="0.75">
      <c r="P69" s="9">
        <v>55</v>
      </c>
      <c r="Q69" s="9">
        <f t="shared" si="6"/>
        <v>9</v>
      </c>
      <c r="R69" s="9">
        <f t="shared" si="7"/>
        <v>1</v>
      </c>
      <c r="S69" s="14" cm="1">
        <f t="array" ref="S69">INDEX('Payer-ConceptMap-2'!$I$15:$N$270,Q69+1,R69)</f>
        <v>0</v>
      </c>
    </row>
    <row r="70" spans="16:19" x14ac:dyDescent="0.75">
      <c r="P70" s="9">
        <v>56</v>
      </c>
      <c r="Q70" s="9">
        <f t="shared" si="6"/>
        <v>9</v>
      </c>
      <c r="R70" s="9">
        <f t="shared" si="7"/>
        <v>2</v>
      </c>
      <c r="S70" s="14" cm="1">
        <f t="array" ref="S70">INDEX('Payer-ConceptMap-2'!$I$15:$N$270,Q70+1,R70)</f>
        <v>0</v>
      </c>
    </row>
    <row r="71" spans="16:19" x14ac:dyDescent="0.75">
      <c r="P71" s="9">
        <v>57</v>
      </c>
      <c r="Q71" s="9">
        <f t="shared" si="6"/>
        <v>9</v>
      </c>
      <c r="R71" s="9">
        <f t="shared" si="7"/>
        <v>3</v>
      </c>
      <c r="S71" s="14" cm="1">
        <f t="array" ref="S71">INDEX('Payer-ConceptMap-2'!$I$15:$N$270,Q71+1,R71)</f>
        <v>0</v>
      </c>
    </row>
    <row r="72" spans="16:19" x14ac:dyDescent="0.75">
      <c r="P72" s="9">
        <v>58</v>
      </c>
      <c r="Q72" s="9">
        <f t="shared" si="6"/>
        <v>9</v>
      </c>
      <c r="R72" s="9">
        <f t="shared" si="7"/>
        <v>4</v>
      </c>
      <c r="S72" s="14" cm="1">
        <f t="array" ref="S72">INDEX('Payer-ConceptMap-2'!$I$15:$N$270,Q72+1,R72)</f>
        <v>0</v>
      </c>
    </row>
    <row r="73" spans="16:19" x14ac:dyDescent="0.75">
      <c r="P73" s="9">
        <v>59</v>
      </c>
      <c r="Q73" s="9">
        <f t="shared" si="6"/>
        <v>9</v>
      </c>
      <c r="R73" s="9">
        <f t="shared" si="7"/>
        <v>5</v>
      </c>
      <c r="S73" s="14" cm="1">
        <f t="array" ref="S73">INDEX('Payer-ConceptMap-2'!$I$15:$N$270,Q73+1,R73)</f>
        <v>0</v>
      </c>
    </row>
    <row r="74" spans="16:19" x14ac:dyDescent="0.75">
      <c r="P74" s="9">
        <v>60</v>
      </c>
      <c r="Q74" s="9">
        <f t="shared" si="6"/>
        <v>9</v>
      </c>
      <c r="R74" s="9">
        <f t="shared" si="7"/>
        <v>6</v>
      </c>
      <c r="S74" s="14" cm="1">
        <f t="array" ref="S74">INDEX('Payer-ConceptMap-2'!$I$15:$N$270,Q74+1,R74)</f>
        <v>0</v>
      </c>
    </row>
    <row r="75" spans="16:19" x14ac:dyDescent="0.75">
      <c r="P75" s="9">
        <v>61</v>
      </c>
      <c r="Q75" s="9">
        <f t="shared" si="6"/>
        <v>10</v>
      </c>
      <c r="R75" s="9">
        <f t="shared" si="7"/>
        <v>1</v>
      </c>
      <c r="S75" s="14" cm="1">
        <f t="array" ref="S75">INDEX('Payer-ConceptMap-2'!$I$15:$N$270,Q75+1,R75)</f>
        <v>0</v>
      </c>
    </row>
    <row r="76" spans="16:19" x14ac:dyDescent="0.75">
      <c r="P76" s="9">
        <v>62</v>
      </c>
      <c r="Q76" s="9">
        <f t="shared" si="6"/>
        <v>10</v>
      </c>
      <c r="R76" s="9">
        <f t="shared" si="7"/>
        <v>2</v>
      </c>
      <c r="S76" s="14" cm="1">
        <f t="array" ref="S76">INDEX('Payer-ConceptMap-2'!$I$15:$N$270,Q76+1,R76)</f>
        <v>0</v>
      </c>
    </row>
    <row r="77" spans="16:19" x14ac:dyDescent="0.75">
      <c r="P77" s="9">
        <v>63</v>
      </c>
      <c r="Q77" s="9">
        <f t="shared" si="6"/>
        <v>10</v>
      </c>
      <c r="R77" s="9">
        <f t="shared" si="7"/>
        <v>3</v>
      </c>
      <c r="S77" s="14" cm="1">
        <f t="array" ref="S77">INDEX('Payer-ConceptMap-2'!$I$15:$N$270,Q77+1,R77)</f>
        <v>0</v>
      </c>
    </row>
    <row r="78" spans="16:19" x14ac:dyDescent="0.75">
      <c r="P78" s="9">
        <v>64</v>
      </c>
      <c r="Q78" s="9">
        <f t="shared" si="6"/>
        <v>10</v>
      </c>
      <c r="R78" s="9">
        <f t="shared" si="7"/>
        <v>4</v>
      </c>
      <c r="S78" s="14" cm="1">
        <f t="array" ref="S78">INDEX('Payer-ConceptMap-2'!$I$15:$N$270,Q78+1,R78)</f>
        <v>0</v>
      </c>
    </row>
    <row r="79" spans="16:19" x14ac:dyDescent="0.75">
      <c r="P79" s="9">
        <v>65</v>
      </c>
      <c r="Q79" s="9">
        <f t="shared" si="6"/>
        <v>10</v>
      </c>
      <c r="R79" s="9">
        <f t="shared" si="7"/>
        <v>5</v>
      </c>
      <c r="S79" s="14" cm="1">
        <f t="array" ref="S79">INDEX('Payer-ConceptMap-2'!$I$15:$N$270,Q79+1,R79)</f>
        <v>0</v>
      </c>
    </row>
    <row r="80" spans="16:19" x14ac:dyDescent="0.75">
      <c r="P80" s="9">
        <v>66</v>
      </c>
      <c r="Q80" s="9">
        <f t="shared" ref="Q80" si="8">IF(MOD(P80,$Q$8)=0,P80/$Q$8-1,INT(P80/$Q$8))</f>
        <v>10</v>
      </c>
      <c r="R80" s="9">
        <f t="shared" ref="R80" si="9">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INDEX('Payer-ConceptMap-2'!$I$15:$N$270,Q121+1,R121)</f>
        <v>0</v>
      </c>
    </row>
    <row r="122" spans="16:19" x14ac:dyDescent="0.75">
      <c r="P122" s="9">
        <v>108</v>
      </c>
      <c r="Q122" s="9">
        <f t="shared" si="10"/>
        <v>17</v>
      </c>
      <c r="R122" s="9">
        <f t="shared" si="11"/>
        <v>6</v>
      </c>
      <c r="S122" s="14" cm="1">
        <f t="array" ref="S122">INDEX('Payer-ConceptMap-2'!$I$15:$N$270,Q122+1,R122)</f>
        <v>0</v>
      </c>
    </row>
    <row r="123" spans="16:19" x14ac:dyDescent="0.75">
      <c r="P123" s="9">
        <v>109</v>
      </c>
      <c r="Q123" s="9">
        <f t="shared" si="10"/>
        <v>18</v>
      </c>
      <c r="R123" s="9">
        <f t="shared" si="11"/>
        <v>1</v>
      </c>
      <c r="S123" s="14" cm="1">
        <f t="array" ref="S123">INDEX('Payer-ConceptMap-2'!$I$15:$N$270,Q123+1,R123)</f>
        <v>0</v>
      </c>
    </row>
    <row r="124" spans="16:19" x14ac:dyDescent="0.75">
      <c r="P124" s="9">
        <v>110</v>
      </c>
      <c r="Q124" s="9">
        <f t="shared" si="10"/>
        <v>18</v>
      </c>
      <c r="R124" s="9">
        <f t="shared" si="11"/>
        <v>2</v>
      </c>
      <c r="S124" s="14" cm="1">
        <f t="array" ref="S124">INDEX('Payer-ConceptMap-2'!$I$15:$N$270,Q124+1,R124)</f>
        <v>0</v>
      </c>
    </row>
    <row r="125" spans="16:19" x14ac:dyDescent="0.75">
      <c r="P125" s="9">
        <v>111</v>
      </c>
      <c r="Q125" s="9">
        <f t="shared" si="10"/>
        <v>18</v>
      </c>
      <c r="R125" s="9">
        <f t="shared" si="11"/>
        <v>3</v>
      </c>
      <c r="S125" s="14" cm="1">
        <f t="array" ref="S125">INDEX('Payer-ConceptMap-2'!$I$15:$N$270,Q125+1,R125)</f>
        <v>0</v>
      </c>
    </row>
    <row r="126" spans="16:19" x14ac:dyDescent="0.75">
      <c r="P126" s="9">
        <v>112</v>
      </c>
      <c r="Q126" s="9">
        <f t="shared" si="10"/>
        <v>18</v>
      </c>
      <c r="R126" s="9">
        <f t="shared" si="11"/>
        <v>4</v>
      </c>
      <c r="S126" s="14" cm="1">
        <f t="array" ref="S126">INDEX('Payer-ConceptMap-2'!$I$15:$N$270,Q126+1,R126)</f>
        <v>0</v>
      </c>
    </row>
    <row r="127" spans="16:19" x14ac:dyDescent="0.75">
      <c r="P127" s="9">
        <v>113</v>
      </c>
      <c r="Q127" s="9">
        <f t="shared" si="10"/>
        <v>18</v>
      </c>
      <c r="R127" s="9">
        <f t="shared" si="11"/>
        <v>5</v>
      </c>
      <c r="S127" s="14" cm="1">
        <f t="array" ref="S127">INDEX('Payer-ConceptMap-2'!$I$15:$N$270,Q127+1,R127)</f>
        <v>0</v>
      </c>
    </row>
    <row r="128" spans="16:19" x14ac:dyDescent="0.75">
      <c r="P128" s="9">
        <v>114</v>
      </c>
      <c r="Q128" s="9">
        <f t="shared" si="10"/>
        <v>18</v>
      </c>
      <c r="R128" s="9">
        <f t="shared" si="11"/>
        <v>6</v>
      </c>
      <c r="S128" s="14" cm="1">
        <f t="array" ref="S128">INDEX('Payer-ConceptMap-2'!$I$15:$N$270,Q128+1,R128)</f>
        <v>0</v>
      </c>
    </row>
    <row r="129" spans="16:19" x14ac:dyDescent="0.75">
      <c r="P129" s="9">
        <v>115</v>
      </c>
      <c r="Q129" s="9">
        <f t="shared" si="10"/>
        <v>19</v>
      </c>
      <c r="R129" s="9">
        <f t="shared" si="11"/>
        <v>1</v>
      </c>
      <c r="S129" s="14" cm="1">
        <f t="array" ref="S129">INDEX('Payer-ConceptMap-2'!$I$15:$N$270,Q129+1,R129)</f>
        <v>0</v>
      </c>
    </row>
    <row r="130" spans="16:19" x14ac:dyDescent="0.75">
      <c r="P130" s="9">
        <v>116</v>
      </c>
      <c r="Q130" s="9">
        <f t="shared" si="10"/>
        <v>19</v>
      </c>
      <c r="R130" s="9">
        <f t="shared" si="11"/>
        <v>2</v>
      </c>
      <c r="S130" s="14" cm="1">
        <f t="array" ref="S130">INDEX('Payer-ConceptMap-2'!$I$15:$N$270,Q130+1,R130)</f>
        <v>0</v>
      </c>
    </row>
    <row r="131" spans="16:19" x14ac:dyDescent="0.75">
      <c r="P131" s="9">
        <v>117</v>
      </c>
      <c r="Q131" s="9">
        <f t="shared" si="10"/>
        <v>19</v>
      </c>
      <c r="R131" s="9">
        <f t="shared" si="11"/>
        <v>3</v>
      </c>
      <c r="S131" s="14" cm="1">
        <f t="array" ref="S131">INDEX('Payer-ConceptMap-2'!$I$15:$N$270,Q131+1,R131)</f>
        <v>0</v>
      </c>
    </row>
    <row r="132" spans="16:19" x14ac:dyDescent="0.75">
      <c r="P132" s="9">
        <v>118</v>
      </c>
      <c r="Q132" s="9">
        <f t="shared" si="10"/>
        <v>19</v>
      </c>
      <c r="R132" s="9">
        <f t="shared" si="11"/>
        <v>4</v>
      </c>
      <c r="S132" s="14" cm="1">
        <f t="array" ref="S132">INDEX('Payer-ConceptMap-2'!$I$15:$N$270,Q132+1,R132)</f>
        <v>0</v>
      </c>
    </row>
    <row r="133" spans="16:19" x14ac:dyDescent="0.75">
      <c r="P133" s="9">
        <v>119</v>
      </c>
      <c r="Q133" s="9">
        <f t="shared" si="10"/>
        <v>19</v>
      </c>
      <c r="R133" s="9">
        <f t="shared" si="11"/>
        <v>5</v>
      </c>
      <c r="S133" s="14" cm="1">
        <f t="array" ref="S133">INDEX('Payer-ConceptMap-2'!$I$15:$N$270,Q133+1,R133)</f>
        <v>0</v>
      </c>
    </row>
    <row r="134" spans="16:19" x14ac:dyDescent="0.75">
      <c r="P134" s="9">
        <v>120</v>
      </c>
      <c r="Q134" s="9">
        <f t="shared" si="10"/>
        <v>19</v>
      </c>
      <c r="R134" s="9">
        <f t="shared" si="11"/>
        <v>6</v>
      </c>
      <c r="S134" s="14" cm="1">
        <f t="array" ref="S134">INDEX('Payer-ConceptMap-2'!$I$15:$N$270,Q134+1,R134)</f>
        <v>0</v>
      </c>
    </row>
    <row r="135" spans="16:19" x14ac:dyDescent="0.75">
      <c r="P135" s="9">
        <v>121</v>
      </c>
      <c r="Q135" s="9">
        <f t="shared" si="10"/>
        <v>20</v>
      </c>
      <c r="R135" s="9">
        <f t="shared" si="11"/>
        <v>1</v>
      </c>
      <c r="S135" s="14" cm="1">
        <f t="array" ref="S135">INDEX('Payer-ConceptMap-2'!$I$15:$N$270,Q135+1,R135)</f>
        <v>0</v>
      </c>
    </row>
    <row r="136" spans="16:19" x14ac:dyDescent="0.75">
      <c r="P136" s="9">
        <v>122</v>
      </c>
      <c r="Q136" s="9">
        <f t="shared" si="10"/>
        <v>20</v>
      </c>
      <c r="R136" s="9">
        <f t="shared" si="11"/>
        <v>2</v>
      </c>
      <c r="S136" s="14" cm="1">
        <f t="array" ref="S136">INDEX('Payer-ConceptMap-2'!$I$15:$N$270,Q136+1,R136)</f>
        <v>0</v>
      </c>
    </row>
    <row r="137" spans="16:19" x14ac:dyDescent="0.75">
      <c r="P137" s="9">
        <v>123</v>
      </c>
      <c r="Q137" s="9">
        <f t="shared" si="10"/>
        <v>20</v>
      </c>
      <c r="R137" s="9">
        <f t="shared" si="11"/>
        <v>3</v>
      </c>
      <c r="S137" s="14" cm="1">
        <f t="array" ref="S137">INDEX('Payer-ConceptMap-2'!$I$15:$N$270,Q137+1,R137)</f>
        <v>0</v>
      </c>
    </row>
    <row r="138" spans="16:19" x14ac:dyDescent="0.75">
      <c r="P138" s="9">
        <v>124</v>
      </c>
      <c r="Q138" s="9">
        <f t="shared" si="10"/>
        <v>20</v>
      </c>
      <c r="R138" s="9">
        <f t="shared" si="11"/>
        <v>4</v>
      </c>
      <c r="S138" s="14" cm="1">
        <f t="array" ref="S138">INDEX('Payer-ConceptMap-2'!$I$15:$N$270,Q138+1,R138)</f>
        <v>0</v>
      </c>
    </row>
    <row r="139" spans="16:19" x14ac:dyDescent="0.75">
      <c r="P139" s="9">
        <v>125</v>
      </c>
      <c r="Q139" s="9">
        <f t="shared" si="10"/>
        <v>20</v>
      </c>
      <c r="R139" s="9">
        <f t="shared" si="11"/>
        <v>5</v>
      </c>
      <c r="S139" s="14" cm="1">
        <f t="array" ref="S139">INDEX('Payer-ConceptMap-2'!$I$15:$N$270,Q139+1,R139)</f>
        <v>0</v>
      </c>
    </row>
    <row r="140" spans="16:19" x14ac:dyDescent="0.75">
      <c r="P140" s="9">
        <v>126</v>
      </c>
      <c r="Q140" s="9">
        <f t="shared" si="10"/>
        <v>20</v>
      </c>
      <c r="R140" s="9">
        <f t="shared" si="11"/>
        <v>6</v>
      </c>
      <c r="S140" s="14" cm="1">
        <f t="array" ref="S140">INDEX('Payer-ConceptMap-2'!$I$15:$N$270,Q140+1,R140)</f>
        <v>0</v>
      </c>
    </row>
    <row r="141" spans="16:19" x14ac:dyDescent="0.75">
      <c r="P141" s="9">
        <v>127</v>
      </c>
      <c r="Q141" s="9">
        <f t="shared" si="10"/>
        <v>21</v>
      </c>
      <c r="R141" s="9">
        <f t="shared" si="11"/>
        <v>1</v>
      </c>
      <c r="S141" s="14" cm="1">
        <f t="array" ref="S141">INDEX('Payer-ConceptMap-2'!$I$15:$N$270,Q141+1,R141)</f>
        <v>0</v>
      </c>
    </row>
    <row r="142" spans="16:19" x14ac:dyDescent="0.75">
      <c r="P142" s="9">
        <v>128</v>
      </c>
      <c r="Q142" s="9">
        <f t="shared" si="10"/>
        <v>21</v>
      </c>
      <c r="R142" s="9">
        <f t="shared" si="11"/>
        <v>2</v>
      </c>
      <c r="S142" s="14" cm="1">
        <f t="array" ref="S142">INDEX('Payer-ConceptMap-2'!$I$15:$N$270,Q142+1,R142)</f>
        <v>0</v>
      </c>
    </row>
    <row r="143" spans="16:19" x14ac:dyDescent="0.75">
      <c r="P143" s="9">
        <v>129</v>
      </c>
      <c r="Q143" s="9">
        <f t="shared" si="10"/>
        <v>21</v>
      </c>
      <c r="R143" s="9">
        <f t="shared" si="11"/>
        <v>3</v>
      </c>
      <c r="S143" s="14" cm="1">
        <f t="array" ref="S143">INDEX('Payer-ConceptMap-2'!$I$15:$N$270,Q143+1,R143)</f>
        <v>0</v>
      </c>
    </row>
    <row r="144" spans="16:19" x14ac:dyDescent="0.75">
      <c r="P144" s="9">
        <v>130</v>
      </c>
      <c r="Q144" s="9">
        <f t="shared" si="10"/>
        <v>21</v>
      </c>
      <c r="R144" s="9">
        <f t="shared" si="11"/>
        <v>4</v>
      </c>
      <c r="S144" s="14" cm="1">
        <f t="array" ref="S144">INDEX('Payer-ConceptMap-2'!$I$15:$N$270,Q144+1,R144)</f>
        <v>0</v>
      </c>
    </row>
    <row r="145" spans="16:19" x14ac:dyDescent="0.75">
      <c r="P145" s="9">
        <v>131</v>
      </c>
      <c r="Q145" s="9">
        <f t="shared" si="10"/>
        <v>21</v>
      </c>
      <c r="R145" s="9">
        <f t="shared" si="11"/>
        <v>5</v>
      </c>
      <c r="S145" s="14" cm="1">
        <f t="array" ref="S145">INDEX('Payer-ConceptMap-2'!$I$15:$N$270,Q145+1,R145)</f>
        <v>0</v>
      </c>
    </row>
    <row r="146" spans="16:19" x14ac:dyDescent="0.75">
      <c r="P146" s="9">
        <v>132</v>
      </c>
      <c r="Q146" s="9">
        <f t="shared" si="10"/>
        <v>21</v>
      </c>
      <c r="R146" s="9">
        <f t="shared" si="11"/>
        <v>6</v>
      </c>
      <c r="S146" s="14" cm="1">
        <f t="array" ref="S146">INDEX('Payer-ConceptMap-2'!$I$15:$N$270,Q146+1,R146)</f>
        <v>0</v>
      </c>
    </row>
    <row r="147" spans="16:19" x14ac:dyDescent="0.75">
      <c r="P147" s="9">
        <v>133</v>
      </c>
      <c r="Q147" s="9">
        <f t="shared" si="10"/>
        <v>22</v>
      </c>
      <c r="R147" s="9">
        <f t="shared" si="11"/>
        <v>1</v>
      </c>
      <c r="S147" s="14" cm="1">
        <f t="array" ref="S147">INDEX('Payer-ConceptMap-2'!$I$15:$N$270,Q147+1,R147)</f>
        <v>0</v>
      </c>
    </row>
    <row r="148" spans="16:19" x14ac:dyDescent="0.75">
      <c r="P148" s="9">
        <v>134</v>
      </c>
      <c r="Q148" s="9">
        <f t="shared" si="10"/>
        <v>22</v>
      </c>
      <c r="R148" s="9">
        <f t="shared" si="11"/>
        <v>2</v>
      </c>
      <c r="S148" s="14" cm="1">
        <f t="array" ref="S148">INDEX('Payer-ConceptMap-2'!$I$15:$N$270,Q148+1,R148)</f>
        <v>0</v>
      </c>
    </row>
    <row r="149" spans="16:19" x14ac:dyDescent="0.75">
      <c r="P149" s="9">
        <v>135</v>
      </c>
      <c r="Q149" s="9">
        <f t="shared" si="10"/>
        <v>22</v>
      </c>
      <c r="R149" s="9">
        <f t="shared" si="11"/>
        <v>3</v>
      </c>
      <c r="S149" s="14" cm="1">
        <f t="array" ref="S149">INDEX('Payer-ConceptMap-2'!$I$15:$N$270,Q149+1,R149)</f>
        <v>0</v>
      </c>
    </row>
    <row r="150" spans="16:19" x14ac:dyDescent="0.75">
      <c r="P150" s="9">
        <v>136</v>
      </c>
      <c r="Q150" s="9">
        <f t="shared" si="10"/>
        <v>22</v>
      </c>
      <c r="R150" s="9">
        <f t="shared" si="11"/>
        <v>4</v>
      </c>
      <c r="S150" s="14" cm="1">
        <f t="array" ref="S150">INDEX('Payer-ConceptMap-2'!$I$15:$N$270,Q150+1,R150)</f>
        <v>0</v>
      </c>
    </row>
    <row r="151" spans="16:19" x14ac:dyDescent="0.75">
      <c r="P151" s="9">
        <v>137</v>
      </c>
      <c r="Q151" s="9">
        <f t="shared" si="10"/>
        <v>22</v>
      </c>
      <c r="R151" s="9">
        <f t="shared" si="11"/>
        <v>5</v>
      </c>
      <c r="S151" s="14" cm="1">
        <f t="array" ref="S151">INDEX('Payer-ConceptMap-2'!$I$15:$N$270,Q151+1,R151)</f>
        <v>0</v>
      </c>
    </row>
    <row r="152" spans="16:19" x14ac:dyDescent="0.75">
      <c r="P152" s="9">
        <v>138</v>
      </c>
      <c r="Q152" s="9">
        <f t="shared" si="10"/>
        <v>22</v>
      </c>
      <c r="R152" s="9">
        <f t="shared" si="11"/>
        <v>6</v>
      </c>
      <c r="S152" s="14" cm="1">
        <f t="array" ref="S152">INDEX('Payer-ConceptMap-2'!$I$15:$N$270,Q152+1,R152)</f>
        <v>0</v>
      </c>
    </row>
    <row r="153" spans="16:19" x14ac:dyDescent="0.75">
      <c r="P153" s="9">
        <v>139</v>
      </c>
      <c r="Q153" s="9">
        <f t="shared" si="10"/>
        <v>23</v>
      </c>
      <c r="R153" s="9">
        <f t="shared" si="11"/>
        <v>1</v>
      </c>
      <c r="S153" s="14" cm="1">
        <f t="array" ref="S153">INDEX('Payer-ConceptMap-2'!$I$15:$N$270,Q153+1,R153)</f>
        <v>0</v>
      </c>
    </row>
    <row r="154" spans="16:19" x14ac:dyDescent="0.75">
      <c r="P154" s="9">
        <v>140</v>
      </c>
      <c r="Q154" s="9">
        <f t="shared" si="10"/>
        <v>23</v>
      </c>
      <c r="R154" s="9">
        <f t="shared" si="11"/>
        <v>2</v>
      </c>
      <c r="S154" s="14" cm="1">
        <f t="array" ref="S154">INDEX('Payer-ConceptMap-2'!$I$15:$N$270,Q154+1,R154)</f>
        <v>0</v>
      </c>
    </row>
    <row r="155" spans="16:19" x14ac:dyDescent="0.75">
      <c r="P155" s="9">
        <v>141</v>
      </c>
      <c r="Q155" s="9">
        <f t="shared" si="10"/>
        <v>23</v>
      </c>
      <c r="R155" s="9">
        <f t="shared" si="11"/>
        <v>3</v>
      </c>
      <c r="S155" s="14" cm="1">
        <f t="array" ref="S155">INDEX('Payer-ConceptMap-2'!$I$15:$N$270,Q155+1,R155)</f>
        <v>0</v>
      </c>
    </row>
    <row r="156" spans="16:19" x14ac:dyDescent="0.75">
      <c r="P156" s="9">
        <v>142</v>
      </c>
      <c r="Q156" s="9">
        <f t="shared" si="10"/>
        <v>23</v>
      </c>
      <c r="R156" s="9">
        <f t="shared" si="11"/>
        <v>4</v>
      </c>
      <c r="S156" s="14" cm="1">
        <f t="array" ref="S156">INDEX('Payer-ConceptMap-2'!$I$15:$N$270,Q156+1,R156)</f>
        <v>0</v>
      </c>
    </row>
    <row r="157" spans="16:19" x14ac:dyDescent="0.75">
      <c r="P157" s="9">
        <v>143</v>
      </c>
      <c r="Q157" s="9">
        <f t="shared" si="10"/>
        <v>23</v>
      </c>
      <c r="R157" s="9">
        <f t="shared" si="11"/>
        <v>5</v>
      </c>
      <c r="S157" s="14" cm="1">
        <f t="array" ref="S157">INDEX('Payer-ConceptMap-2'!$I$15:$N$270,Q157+1,R157)</f>
        <v>0</v>
      </c>
    </row>
    <row r="158" spans="16:19" x14ac:dyDescent="0.75">
      <c r="P158" s="9">
        <v>144</v>
      </c>
      <c r="Q158" s="9">
        <f t="shared" si="10"/>
        <v>23</v>
      </c>
      <c r="R158" s="9">
        <f t="shared" si="11"/>
        <v>6</v>
      </c>
      <c r="S158" s="14" cm="1">
        <f t="array" ref="S158">INDEX('Payer-ConceptMap-2'!$I$15:$N$270,Q158+1,R158)</f>
        <v>0</v>
      </c>
    </row>
    <row r="159" spans="16:19" x14ac:dyDescent="0.75">
      <c r="P159" s="9">
        <v>145</v>
      </c>
      <c r="Q159" s="9">
        <f t="shared" si="10"/>
        <v>24</v>
      </c>
      <c r="R159" s="9">
        <f t="shared" si="11"/>
        <v>1</v>
      </c>
      <c r="S159" s="14" cm="1">
        <f t="array" ref="S159">INDEX('Payer-ConceptMap-2'!$I$15:$N$270,Q159+1,R159)</f>
        <v>0</v>
      </c>
    </row>
    <row r="160" spans="16:19" x14ac:dyDescent="0.75">
      <c r="P160" s="9">
        <v>146</v>
      </c>
      <c r="Q160" s="9">
        <f t="shared" si="10"/>
        <v>24</v>
      </c>
      <c r="R160" s="9">
        <f t="shared" si="11"/>
        <v>2</v>
      </c>
      <c r="S160" s="14" cm="1">
        <f t="array" ref="S160">INDEX('Payer-ConceptMap-2'!$I$15:$N$270,Q160+1,R160)</f>
        <v>0</v>
      </c>
    </row>
    <row r="161" spans="16:19" x14ac:dyDescent="0.75">
      <c r="P161" s="9">
        <v>147</v>
      </c>
      <c r="Q161" s="9">
        <f t="shared" si="10"/>
        <v>24</v>
      </c>
      <c r="R161" s="9">
        <f t="shared" si="11"/>
        <v>3</v>
      </c>
      <c r="S161" s="14" cm="1">
        <f t="array" ref="S161">INDEX('Payer-ConceptMap-2'!$I$15:$N$270,Q161+1,R161)</f>
        <v>0</v>
      </c>
    </row>
    <row r="162" spans="16:19" x14ac:dyDescent="0.75">
      <c r="P162" s="9">
        <v>148</v>
      </c>
      <c r="Q162" s="9">
        <f t="shared" si="10"/>
        <v>24</v>
      </c>
      <c r="R162" s="9">
        <f t="shared" si="11"/>
        <v>4</v>
      </c>
      <c r="S162" s="14" cm="1">
        <f t="array" ref="S162">INDEX('Payer-ConceptMap-2'!$I$15:$N$270,Q162+1,R162)</f>
        <v>0</v>
      </c>
    </row>
    <row r="163" spans="16:19" x14ac:dyDescent="0.75">
      <c r="P163" s="9">
        <v>149</v>
      </c>
      <c r="Q163" s="9">
        <f t="shared" si="10"/>
        <v>24</v>
      </c>
      <c r="R163" s="9">
        <f t="shared" si="11"/>
        <v>5</v>
      </c>
      <c r="S163" s="14" cm="1">
        <f t="array" ref="S163">INDEX('Payer-ConceptMap-2'!$I$15:$N$270,Q163+1,R163)</f>
        <v>0</v>
      </c>
    </row>
    <row r="164" spans="16:19" x14ac:dyDescent="0.75">
      <c r="P164" s="9">
        <v>150</v>
      </c>
      <c r="Q164" s="9">
        <f t="shared" si="10"/>
        <v>24</v>
      </c>
      <c r="R164" s="9">
        <f t="shared" si="11"/>
        <v>6</v>
      </c>
      <c r="S164" s="14" cm="1">
        <f t="array" ref="S164">INDEX('Payer-ConceptMap-2'!$I$15:$N$270,Q164+1,R164)</f>
        <v>0</v>
      </c>
    </row>
    <row r="165" spans="16:19" x14ac:dyDescent="0.75">
      <c r="P165" s="9">
        <v>151</v>
      </c>
      <c r="Q165" s="9">
        <f t="shared" si="10"/>
        <v>25</v>
      </c>
      <c r="R165" s="9">
        <f t="shared" si="11"/>
        <v>1</v>
      </c>
      <c r="S165" s="14" cm="1">
        <f t="array" ref="S165">INDEX('Payer-ConceptMap-2'!$I$15:$N$270,Q165+1,R165)</f>
        <v>0</v>
      </c>
    </row>
    <row r="166" spans="16:19" x14ac:dyDescent="0.75">
      <c r="P166" s="9">
        <v>152</v>
      </c>
      <c r="Q166" s="9">
        <f t="shared" si="10"/>
        <v>25</v>
      </c>
      <c r="R166" s="9">
        <f t="shared" si="11"/>
        <v>2</v>
      </c>
      <c r="S166" s="14" cm="1">
        <f t="array" ref="S166">INDEX('Payer-ConceptMap-2'!$I$15:$N$270,Q166+1,R166)</f>
        <v>0</v>
      </c>
    </row>
    <row r="167" spans="16:19" x14ac:dyDescent="0.75">
      <c r="P167" s="9">
        <v>153</v>
      </c>
      <c r="Q167" s="9">
        <f t="shared" si="10"/>
        <v>25</v>
      </c>
      <c r="R167" s="9">
        <f t="shared" si="11"/>
        <v>3</v>
      </c>
      <c r="S167" s="14" cm="1">
        <f t="array" ref="S167">INDEX('Payer-ConceptMap-2'!$I$15:$N$270,Q167+1,R167)</f>
        <v>0</v>
      </c>
    </row>
    <row r="168" spans="16:19" x14ac:dyDescent="0.75">
      <c r="P168" s="9">
        <v>154</v>
      </c>
      <c r="Q168" s="9">
        <f t="shared" si="10"/>
        <v>25</v>
      </c>
      <c r="R168" s="9">
        <f t="shared" si="11"/>
        <v>4</v>
      </c>
      <c r="S168" s="14" cm="1">
        <f t="array" ref="S168">INDEX('Payer-ConceptMap-2'!$I$15:$N$270,Q168+1,R168)</f>
        <v>0</v>
      </c>
    </row>
    <row r="169" spans="16:19" x14ac:dyDescent="0.75">
      <c r="P169" s="9">
        <v>155</v>
      </c>
      <c r="Q169" s="9">
        <f t="shared" si="10"/>
        <v>25</v>
      </c>
      <c r="R169" s="9">
        <f t="shared" si="11"/>
        <v>5</v>
      </c>
      <c r="S169" s="14" cm="1">
        <f t="array" ref="S169">INDEX('Payer-ConceptMap-2'!$I$15:$N$270,Q169+1,R169)</f>
        <v>0</v>
      </c>
    </row>
    <row r="170" spans="16:19" x14ac:dyDescent="0.75">
      <c r="P170" s="9">
        <v>156</v>
      </c>
      <c r="Q170" s="9">
        <f t="shared" si="10"/>
        <v>25</v>
      </c>
      <c r="R170" s="9">
        <f t="shared" si="11"/>
        <v>6</v>
      </c>
      <c r="S170" s="14" cm="1">
        <f t="array" ref="S170">INDEX('Payer-ConceptMap-2'!$I$15:$N$270,Q170+1,R170)</f>
        <v>0</v>
      </c>
    </row>
    <row r="171" spans="16:19" x14ac:dyDescent="0.75">
      <c r="P171" s="9">
        <v>157</v>
      </c>
      <c r="Q171" s="9">
        <f t="shared" si="10"/>
        <v>26</v>
      </c>
      <c r="R171" s="9">
        <f t="shared" si="11"/>
        <v>1</v>
      </c>
      <c r="S171" s="14" cm="1">
        <f t="array" ref="S171">INDEX('Payer-ConceptMap-2'!$I$15:$N$270,Q171+1,R171)</f>
        <v>0</v>
      </c>
    </row>
    <row r="172" spans="16:19" x14ac:dyDescent="0.75">
      <c r="P172" s="9">
        <v>158</v>
      </c>
      <c r="Q172" s="9">
        <f t="shared" si="10"/>
        <v>26</v>
      </c>
      <c r="R172" s="9">
        <f t="shared" si="11"/>
        <v>2</v>
      </c>
      <c r="S172" s="14" cm="1">
        <f t="array" ref="S172">INDEX('Payer-ConceptMap-2'!$I$15:$N$270,Q172+1,R172)</f>
        <v>0</v>
      </c>
    </row>
    <row r="173" spans="16:19" x14ac:dyDescent="0.75">
      <c r="P173" s="9">
        <v>159</v>
      </c>
      <c r="Q173" s="9">
        <f t="shared" si="10"/>
        <v>26</v>
      </c>
      <c r="R173" s="9">
        <f t="shared" si="11"/>
        <v>3</v>
      </c>
      <c r="S173" s="14" cm="1">
        <f t="array" ref="S173">INDEX('Payer-ConceptMap-2'!$I$15:$N$270,Q173+1,R173)</f>
        <v>0</v>
      </c>
    </row>
    <row r="174" spans="16:19" x14ac:dyDescent="0.75">
      <c r="P174" s="9">
        <v>160</v>
      </c>
      <c r="Q174" s="9">
        <f t="shared" si="10"/>
        <v>26</v>
      </c>
      <c r="R174" s="9">
        <f t="shared" si="11"/>
        <v>4</v>
      </c>
      <c r="S174" s="14" cm="1">
        <f t="array" ref="S174">INDEX('Payer-ConceptMap-2'!$I$15:$N$270,Q174+1,R174)</f>
        <v>0</v>
      </c>
    </row>
    <row r="175" spans="16:19" x14ac:dyDescent="0.75">
      <c r="P175" s="9">
        <v>161</v>
      </c>
      <c r="Q175" s="9">
        <f t="shared" si="10"/>
        <v>26</v>
      </c>
      <c r="R175" s="9">
        <f t="shared" si="11"/>
        <v>5</v>
      </c>
      <c r="S175" s="14" cm="1">
        <f t="array" ref="S175">INDEX('Payer-ConceptMap-2'!$I$15:$N$270,Q175+1,R175)</f>
        <v>0</v>
      </c>
    </row>
    <row r="176" spans="16:19" x14ac:dyDescent="0.75">
      <c r="P176" s="9">
        <v>162</v>
      </c>
      <c r="Q176" s="9">
        <f t="shared" si="10"/>
        <v>26</v>
      </c>
      <c r="R176" s="9">
        <f t="shared" si="11"/>
        <v>6</v>
      </c>
      <c r="S176" s="14" cm="1">
        <f t="array" ref="S176">INDEX('Payer-ConceptMap-2'!$I$15:$N$270,Q176+1,R176)</f>
        <v>0</v>
      </c>
    </row>
    <row r="177" spans="16:19" x14ac:dyDescent="0.75">
      <c r="P177" s="9">
        <v>163</v>
      </c>
      <c r="Q177" s="9">
        <f t="shared" si="10"/>
        <v>27</v>
      </c>
      <c r="R177" s="9">
        <f t="shared" si="11"/>
        <v>1</v>
      </c>
      <c r="S177" s="14" cm="1">
        <f t="array" ref="S177">INDEX('Payer-ConceptMap-2'!$I$15:$N$270,Q177+1,R177)</f>
        <v>0</v>
      </c>
    </row>
    <row r="178" spans="16:19" x14ac:dyDescent="0.75">
      <c r="P178" s="9">
        <v>164</v>
      </c>
      <c r="Q178" s="9">
        <f t="shared" si="10"/>
        <v>27</v>
      </c>
      <c r="R178" s="9">
        <f t="shared" si="11"/>
        <v>2</v>
      </c>
      <c r="S178" s="14" cm="1">
        <f t="array" ref="S178">INDEX('Payer-ConceptMap-2'!$I$15:$N$270,Q178+1,R178)</f>
        <v>0</v>
      </c>
    </row>
    <row r="179" spans="16:19" x14ac:dyDescent="0.75">
      <c r="P179" s="9">
        <v>165</v>
      </c>
      <c r="Q179" s="9">
        <f t="shared" si="10"/>
        <v>27</v>
      </c>
      <c r="R179" s="9">
        <f t="shared" si="11"/>
        <v>3</v>
      </c>
      <c r="S179" s="14" cm="1">
        <f t="array" ref="S179">INDEX('Payer-ConceptMap-2'!$I$15:$N$270,Q179+1,R179)</f>
        <v>0</v>
      </c>
    </row>
    <row r="180" spans="16:19" x14ac:dyDescent="0.75">
      <c r="P180" s="9">
        <v>166</v>
      </c>
      <c r="Q180" s="9">
        <f t="shared" si="10"/>
        <v>27</v>
      </c>
      <c r="R180" s="9">
        <f t="shared" si="11"/>
        <v>4</v>
      </c>
      <c r="S180" s="14" cm="1">
        <f t="array" ref="S180">INDEX('Payer-ConceptMap-2'!$I$15:$N$270,Q180+1,R180)</f>
        <v>0</v>
      </c>
    </row>
    <row r="181" spans="16:19" x14ac:dyDescent="0.75">
      <c r="P181" s="9">
        <v>167</v>
      </c>
      <c r="Q181" s="9">
        <f t="shared" si="10"/>
        <v>27</v>
      </c>
      <c r="R181" s="9">
        <f t="shared" si="11"/>
        <v>5</v>
      </c>
      <c r="S181" s="14" cm="1">
        <f t="array" ref="S181">INDEX('Payer-ConceptMap-2'!$I$15:$N$270,Q181+1,R181)</f>
        <v>0</v>
      </c>
    </row>
    <row r="182" spans="16:19" x14ac:dyDescent="0.75">
      <c r="P182" s="9">
        <v>168</v>
      </c>
      <c r="Q182" s="9">
        <f t="shared" si="10"/>
        <v>27</v>
      </c>
      <c r="R182" s="9">
        <f t="shared" si="11"/>
        <v>6</v>
      </c>
      <c r="S182" s="14" cm="1">
        <f t="array" ref="S182">INDEX('Payer-ConceptMap-2'!$I$15:$N$270,Q182+1,R182)</f>
        <v>0</v>
      </c>
    </row>
    <row r="183" spans="16:19" x14ac:dyDescent="0.75">
      <c r="P183" s="9">
        <v>169</v>
      </c>
      <c r="Q183" s="9">
        <f t="shared" si="10"/>
        <v>28</v>
      </c>
      <c r="R183" s="9">
        <f t="shared" si="11"/>
        <v>1</v>
      </c>
      <c r="S183" s="14" cm="1">
        <f t="array" ref="S183">INDEX('Payer-ConceptMap-2'!$I$15:$N$270,Q183+1,R183)</f>
        <v>0</v>
      </c>
    </row>
    <row r="184" spans="16:19" x14ac:dyDescent="0.75">
      <c r="P184" s="9">
        <v>170</v>
      </c>
      <c r="Q184" s="9">
        <f t="shared" si="10"/>
        <v>28</v>
      </c>
      <c r="R184" s="9">
        <f t="shared" si="11"/>
        <v>2</v>
      </c>
      <c r="S184" s="14" cm="1">
        <f t="array" ref="S184">INDEX('Payer-ConceptMap-2'!$I$15:$N$270,Q184+1,R184)</f>
        <v>0</v>
      </c>
    </row>
    <row r="185" spans="16:19" x14ac:dyDescent="0.75">
      <c r="P185" s="9">
        <v>171</v>
      </c>
      <c r="Q185" s="9">
        <f t="shared" ref="Q185:Q190" si="12">IF(MOD(P185,$Q$8)=0,P185/$Q$8-1,INT(P185/$Q$8))</f>
        <v>28</v>
      </c>
      <c r="R185" s="9">
        <f t="shared" ref="R185:R190" si="13">IF(MOD(P185,$Q$8)=0,$Q$8,MOD(P185,$Q$8))</f>
        <v>3</v>
      </c>
      <c r="S185" s="14" cm="1">
        <f t="array" ref="S185">INDEX('Payer-ConceptMap-2'!$I$15:$N$270,Q185+1,R185)</f>
        <v>0</v>
      </c>
    </row>
    <row r="186" spans="16:19" x14ac:dyDescent="0.75">
      <c r="P186" s="9">
        <v>172</v>
      </c>
      <c r="Q186" s="9">
        <f t="shared" si="12"/>
        <v>28</v>
      </c>
      <c r="R186" s="9">
        <f t="shared" si="13"/>
        <v>4</v>
      </c>
      <c r="S186" s="14" cm="1">
        <f t="array" ref="S186">INDEX('Payer-ConceptMap-2'!$I$15:$N$270,Q186+1,R186)</f>
        <v>0</v>
      </c>
    </row>
    <row r="187" spans="16:19" x14ac:dyDescent="0.75">
      <c r="P187" s="9">
        <v>173</v>
      </c>
      <c r="Q187" s="9">
        <f t="shared" si="12"/>
        <v>28</v>
      </c>
      <c r="R187" s="9">
        <f t="shared" si="13"/>
        <v>5</v>
      </c>
      <c r="S187" s="14" cm="1">
        <f t="array" ref="S187">INDEX('Payer-ConceptMap-2'!$I$15:$N$270,Q187+1,R187)</f>
        <v>0</v>
      </c>
    </row>
    <row r="188" spans="16:19" x14ac:dyDescent="0.75">
      <c r="P188" s="9">
        <v>174</v>
      </c>
      <c r="Q188" s="9">
        <f t="shared" si="12"/>
        <v>28</v>
      </c>
      <c r="R188" s="9">
        <f t="shared" si="13"/>
        <v>6</v>
      </c>
      <c r="S188" s="14" cm="1">
        <f t="array" ref="S188">INDEX('Payer-ConceptMap-2'!$I$15:$N$270,Q188+1,R188)</f>
        <v>0</v>
      </c>
    </row>
    <row r="189" spans="16:19" x14ac:dyDescent="0.75">
      <c r="P189" s="9">
        <v>175</v>
      </c>
      <c r="Q189" s="9">
        <f t="shared" si="12"/>
        <v>29</v>
      </c>
      <c r="R189" s="9">
        <f t="shared" si="13"/>
        <v>1</v>
      </c>
      <c r="S189" s="14" cm="1">
        <f t="array" ref="S189">INDEX('Payer-ConceptMap-2'!$I$15:$N$270,Q189+1,R189)</f>
        <v>0</v>
      </c>
    </row>
    <row r="190" spans="16:19" x14ac:dyDescent="0.75">
      <c r="P190" s="9">
        <v>176</v>
      </c>
      <c r="Q190" s="9">
        <f t="shared" si="12"/>
        <v>29</v>
      </c>
      <c r="R190" s="9">
        <f t="shared" si="13"/>
        <v>2</v>
      </c>
      <c r="S190" s="14" cm="1">
        <f t="array" ref="S190">INDEX('Payer-ConceptMap-2'!$I$15:$N$270,Q190+1,R190)</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election activeCell="B61" sqref="B6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696</v>
      </c>
    </row>
    <row r="3" spans="2:7" x14ac:dyDescent="0.75">
      <c r="B3" s="33" t="s">
        <v>37</v>
      </c>
    </row>
    <row r="4" spans="2:7" x14ac:dyDescent="0.75">
      <c r="B4" s="77" t="str">
        <f>"Instance: "&amp;'Payer-ConceptMap-1'!C4</f>
        <v>Instance: payer2FHIR-eu-lab</v>
      </c>
    </row>
    <row r="5" spans="2:7" x14ac:dyDescent="0.75">
      <c r="B5" s="77" t="s">
        <v>641</v>
      </c>
    </row>
    <row r="6" spans="2:7" x14ac:dyDescent="0.75">
      <c r="B6" s="77" t="s">
        <v>642</v>
      </c>
    </row>
    <row r="7" spans="2:7" x14ac:dyDescent="0.75">
      <c r="B7" s="77" t="s">
        <v>652</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643</v>
      </c>
    </row>
    <row r="11" spans="2:7" x14ac:dyDescent="0.75">
      <c r="B11" s="77" t="s">
        <v>644</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row>
    <row r="66" spans="2:4" x14ac:dyDescent="0.75">
      <c r="B66" s="14"/>
    </row>
    <row r="67" spans="2:4" x14ac:dyDescent="0.75">
      <c r="B67" s="14"/>
    </row>
    <row r="68" spans="2:4" x14ac:dyDescent="0.75">
      <c r="B68" s="14"/>
    </row>
    <row r="69" spans="2:4" x14ac:dyDescent="0.75">
      <c r="B69" s="14"/>
    </row>
    <row r="70" spans="2:4" x14ac:dyDescent="0.75">
      <c r="B70" s="14"/>
      <c r="D70" s="76"/>
    </row>
    <row r="71" spans="2:4" x14ac:dyDescent="0.75">
      <c r="B71" s="14"/>
    </row>
    <row r="72" spans="2:4" x14ac:dyDescent="0.75">
      <c r="B72" s="14"/>
    </row>
    <row r="73" spans="2:4" x14ac:dyDescent="0.75">
      <c r="B73" s="79" t="str">
        <f>"* group[+].source = ##34#"&amp;'Payer-ConceptMap-2'!E6&amp;"##34#"</f>
        <v>* group[+].source = ##34#http://hl7.eu/fhir/laboratory/StructureDefinition/Payer##34#</v>
      </c>
    </row>
    <row r="74" spans="2:4" x14ac:dyDescent="0.75">
      <c r="B74" s="79" t="str">
        <f>"* group[=].target = ##34#"&amp;'Payer-ConceptMap-2'!E7&amp;"##34#"</f>
        <v>* group[=].target = ##34#http://hl7.eu/fhir/laboratory/StructureDefinition/Patient-eu-lab##34#</v>
      </c>
    </row>
    <row r="75" spans="2:4" x14ac:dyDescent="0.75">
      <c r="B75" s="81"/>
    </row>
    <row r="76" spans="2:4" x14ac:dyDescent="0.75">
      <c r="B76" t="str">
        <f>IF('Payer-ConceptMap-1'!S15=0,"//---END",'Payer-ConceptMap-2'!S15)</f>
        <v>* group[=].element[+].code = #Payer.insurance</v>
      </c>
    </row>
    <row r="77" spans="2:4" x14ac:dyDescent="0.75">
      <c r="B77" t="str">
        <f>IF('Payer-ConceptMap-1'!S16=0,"//---END",'Payer-ConceptMap-2'!S16)</f>
        <v>* group[=].element[=].display = ##34#A.1.3.1 Health insurance information##34#</v>
      </c>
    </row>
    <row r="78" spans="2:4" x14ac:dyDescent="0.75">
      <c r="B78" t="str">
        <f>IF('Payer-ConceptMap-1'!S17=0,"//---END",'Payer-ConceptMap-2'!S17)</f>
        <v>//-- unmatched</v>
      </c>
    </row>
    <row r="79" spans="2:4" x14ac:dyDescent="0.75">
      <c r="B79" t="str">
        <f>IF('Payer-ConceptMap-1'!S18=0,"//---END",'Payer-ConceptMap-2'!S18)</f>
        <v>//-- unmatched</v>
      </c>
    </row>
    <row r="80" spans="2:4" x14ac:dyDescent="0.75">
      <c r="B80" t="str">
        <f>IF('Payer-ConceptMap-1'!S19=0,"//---END",'Payer-ConceptMap-2'!S19)</f>
        <v>* group[=].element[=].target.equivalence = #unmatched</v>
      </c>
    </row>
    <row r="81" spans="2:2" x14ac:dyDescent="0.75">
      <c r="B81" t="str">
        <f>IF('Payer-ConceptMap-1'!S20=0,"//---END",'Payer-ConceptMap-2'!S20)</f>
        <v/>
      </c>
    </row>
    <row r="82" spans="2:2" x14ac:dyDescent="0.75">
      <c r="B82" t="str">
        <f>IF('Payer-ConceptMap-1'!S21=0,"//---END",'Payer-ConceptMap-2'!S21)</f>
        <v>* group[=].element[+].code = #Payer.insurance.identifier</v>
      </c>
    </row>
    <row r="83" spans="2:2" x14ac:dyDescent="0.75">
      <c r="B83" t="str">
        <f>IF('Payer-ConceptMap-1'!S22=0,"//---END",'Payer-ConceptMap-2'!S22)</f>
        <v>* group[=].element[=].display = ##34#A.1.3.1.1 Health insurance code##34#</v>
      </c>
    </row>
    <row r="84" spans="2:2" x14ac:dyDescent="0.75">
      <c r="B84" t="str">
        <f>IF('Payer-ConceptMap-1'!S23=0,"//---END",'Payer-ConceptMap-2'!S23)</f>
        <v>//-- unmatched</v>
      </c>
    </row>
    <row r="85" spans="2:2" x14ac:dyDescent="0.75">
      <c r="B85" t="str">
        <f>IF('Payer-ConceptMap-1'!S24=0,"//---END",'Payer-ConceptMap-2'!S24)</f>
        <v>//-- unmatched</v>
      </c>
    </row>
    <row r="86" spans="2:2" x14ac:dyDescent="0.75">
      <c r="B86" t="str">
        <f>IF('Payer-ConceptMap-1'!S25=0,"//---END",'Payer-ConceptMap-2'!S25)</f>
        <v>* group[=].element[=].target.equivalence = #unmatched</v>
      </c>
    </row>
    <row r="87" spans="2:2" x14ac:dyDescent="0.75">
      <c r="B87" t="str">
        <f>IF('Payer-ConceptMap-1'!S26=0,"//---END",'Payer-ConceptMap-2'!S26)</f>
        <v/>
      </c>
    </row>
    <row r="88" spans="2:2" x14ac:dyDescent="0.75">
      <c r="B88" t="str">
        <f>IF('Payer-ConceptMap-1'!S27=0,"//---END",'Payer-ConceptMap-2'!S27)</f>
        <v>* group[=].element[+].code = #Payer.insurance.name</v>
      </c>
    </row>
    <row r="89" spans="2:2" x14ac:dyDescent="0.75">
      <c r="B89" t="str">
        <f>IF('Payer-ConceptMap-1'!S28=0,"//---END",'Payer-ConceptMap-2'!S28)</f>
        <v>* group[=].element[=].display = ##34#A.1.3.1.2 Health insurance name##34#</v>
      </c>
    </row>
    <row r="90" spans="2:2" x14ac:dyDescent="0.75">
      <c r="B90" t="str">
        <f>IF('Payer-ConceptMap-1'!S29=0,"//---END",'Payer-ConceptMap-2'!S29)</f>
        <v>//-- unmatched</v>
      </c>
    </row>
    <row r="91" spans="2:2" x14ac:dyDescent="0.75">
      <c r="B91" t="str">
        <f>IF('Payer-ConceptMap-1'!S30=0,"//---END",'Payer-ConceptMap-2'!S30)</f>
        <v>//-- unmatched</v>
      </c>
    </row>
    <row r="92" spans="2:2" x14ac:dyDescent="0.75">
      <c r="B92" t="str">
        <f>IF('Payer-ConceptMap-1'!S31=0,"//---END",'Payer-ConceptMap-2'!S31)</f>
        <v>* group[=].element[=].target.equivalence = #unmatched</v>
      </c>
    </row>
    <row r="93" spans="2:2" x14ac:dyDescent="0.75">
      <c r="B93" t="str">
        <f>IF('Payer-ConceptMap-1'!S32=0,"//---END",'Payer-ConceptMap-2'!S32)</f>
        <v/>
      </c>
    </row>
    <row r="94" spans="2:2" x14ac:dyDescent="0.75">
      <c r="B94" t="str">
        <f>IF('Payer-ConceptMap-1'!S33=0,"//---END",'Payer-ConceptMap-2'!S33)</f>
        <v>* group[=].element[+].code = #Payer.insurance.subjectIdentifier</v>
      </c>
    </row>
    <row r="95" spans="2:2" x14ac:dyDescent="0.75">
      <c r="B95" t="str">
        <f>IF('Payer-ConceptMap-1'!S34=0,"//---END",'Payer-ConceptMap-2'!S34)</f>
        <v>* group[=].element[=].display = ##34#A.1.3.1.3 Health insurance number##34#</v>
      </c>
    </row>
    <row r="96" spans="2:2" x14ac:dyDescent="0.75">
      <c r="B96" t="str">
        <f>IF('Payer-ConceptMap-1'!S35=0,"//---END",'Payer-ConceptMap-2'!S35)</f>
        <v>//-- unmatched</v>
      </c>
    </row>
    <row r="97" spans="2:2" x14ac:dyDescent="0.75">
      <c r="B97" t="str">
        <f>IF('Payer-ConceptMap-1'!S36=0,"//---END",'Payer-ConceptMap-2'!S36)</f>
        <v>//-- unmatched</v>
      </c>
    </row>
    <row r="98" spans="2:2" x14ac:dyDescent="0.75">
      <c r="B98" t="str">
        <f>IF('Payer-ConceptMap-1'!S37=0,"//---END",'Payer-ConceptMap-2'!S37)</f>
        <v>* group[=].element[=].target.equivalence = #unmatched</v>
      </c>
    </row>
    <row r="99" spans="2:2" x14ac:dyDescent="0.75">
      <c r="B99" t="str">
        <f>IF('Payer-ConceptMap-1'!S38=0,"//---END",'Payer-ConceptMap-2'!S38)</f>
        <v/>
      </c>
    </row>
    <row r="100" spans="2:2" x14ac:dyDescent="0.75">
      <c r="B100" t="str">
        <f>IF('Payer-ConceptMap-1'!S39=0,"//---END",'Payer-ConceptMap-2'!S39)</f>
        <v>* group[=].element[+].code = #Payer.insurance.subjectIdentifier</v>
      </c>
    </row>
    <row r="101" spans="2:2" x14ac:dyDescent="0.75">
      <c r="B101" t="str">
        <f>IF('Payer-ConceptMap-1'!S40=0,"//---END",'Payer-ConceptMap-2'!S40)</f>
        <v>* group[=].element[=].display = ##34#A.1.3.1.3 Health insurance number##34#</v>
      </c>
    </row>
    <row r="102" spans="2:2" x14ac:dyDescent="0.75">
      <c r="B102" t="str">
        <f>IF('Payer-ConceptMap-1'!S41=0,"//---END",'Payer-ConceptMap-2'!S41)</f>
        <v>//-- unmatched</v>
      </c>
    </row>
    <row r="103" spans="2:2" x14ac:dyDescent="0.75">
      <c r="B103" t="str">
        <f>IF('Payer-ConceptMap-1'!S42=0,"//---END",'Payer-ConceptMap-2'!S42)</f>
        <v>//-- unmatched</v>
      </c>
    </row>
    <row r="104" spans="2:2" x14ac:dyDescent="0.75">
      <c r="B104" t="str">
        <f>IF('Payer-ConceptMap-1'!S43=0,"//---END",'Payer-ConceptMap-2'!S43)</f>
        <v>* group[=].element[=].target.equivalence = #unmatched</v>
      </c>
    </row>
    <row r="105" spans="2:2" x14ac:dyDescent="0.75">
      <c r="B105" t="str">
        <f>IF('Payer-ConceptMap-1'!S44=0,"//---END",'Payer-ConceptMap-2'!S44)</f>
        <v/>
      </c>
    </row>
    <row r="106" spans="2:2" x14ac:dyDescent="0.75">
      <c r="B106" t="str">
        <f>IF('Payer-ConceptMap-1'!S45=0,"//---END",'Payer-ConceptMap-2'!S45)</f>
        <v>* group[=].element[+].code = #Payer.insurance.subjectIdentifier</v>
      </c>
    </row>
    <row r="107" spans="2:2" x14ac:dyDescent="0.75">
      <c r="B107" t="str">
        <f>IF('Payer-ConceptMap-1'!S46=0,"//---END",'Payer-ConceptMap-2'!S46)</f>
        <v>* group[=].element[=].display = ##34#A.1.3.1.3 Health insurance number##34#</v>
      </c>
    </row>
    <row r="108" spans="2:2" x14ac:dyDescent="0.75">
      <c r="B108" t="str">
        <f>IF('Payer-ConceptMap-1'!S47=0,"//---END",'Payer-ConceptMap-2'!S47)</f>
        <v>//-- unmatched</v>
      </c>
    </row>
    <row r="109" spans="2:2" x14ac:dyDescent="0.75">
      <c r="B109" t="str">
        <f>IF('Payer-ConceptMap-1'!S48=0,"//---END",'Payer-ConceptMap-2'!S48)</f>
        <v>//-- unmatched</v>
      </c>
    </row>
    <row r="110" spans="2:2" x14ac:dyDescent="0.75">
      <c r="B110" t="str">
        <f>IF('Payer-ConceptMap-1'!S49=0,"//---END",'Payer-ConceptMap-2'!S49)</f>
        <v>* group[=].element[=].target.equivalence = #unmatched</v>
      </c>
    </row>
    <row r="111" spans="2:2" x14ac:dyDescent="0.75">
      <c r="B111" t="str">
        <f>IF('Payer-ConceptMap-1'!S50=0,"//---END",'Payer-ConceptMap-2'!S50)</f>
        <v/>
      </c>
    </row>
    <row r="112" spans="2:2" x14ac:dyDescent="0.75">
      <c r="B112" t="str">
        <f>IF('Payer-ConceptMap-1'!S51=0,"//---END",'Payer-ConceptMap-2'!S51)</f>
        <v>* group[=].element[+].code = #Payer.insurance.subjectIdentifier</v>
      </c>
    </row>
    <row r="113" spans="2:2" x14ac:dyDescent="0.75">
      <c r="B113" t="str">
        <f>IF('Payer-ConceptMap-1'!S52=0,"//---END",'Payer-ConceptMap-2'!S52)</f>
        <v>* group[=].element[=].display = ##34#A.1.3.1.3 Health insurance number##34#</v>
      </c>
    </row>
    <row r="114" spans="2:2" x14ac:dyDescent="0.75">
      <c r="B114" t="str">
        <f>IF('Payer-ConceptMap-1'!S53=0,"//---END",'Payer-ConceptMap-2'!S53)</f>
        <v>* group[=].element[=].target.code = #Patient.identifier</v>
      </c>
    </row>
    <row r="115" spans="2:2" x14ac:dyDescent="0.75">
      <c r="B115" t="str">
        <f>IF('Payer-ConceptMap-1'!S54=0,"//---END",'Payer-ConceptMap-2'!S54)</f>
        <v>* group[=].element[=].target.display = ##34###34#</v>
      </c>
    </row>
    <row r="116" spans="2:2" x14ac:dyDescent="0.75">
      <c r="B116" t="str">
        <f>IF('Payer-ConceptMap-1'!S55=0,"//---END",'Payer-ConceptMap-2'!S55)</f>
        <v>* group[=].element[=].target.equivalence = #relatedto</v>
      </c>
    </row>
    <row r="117" spans="2:2" x14ac:dyDescent="0.75">
      <c r="B117" t="str">
        <f>IF('Payer-ConceptMap-1'!S56=0,"//---END",'Payer-ConceptMap-2'!S56)</f>
        <v>* group[=].element[=].target.comment = ##34#Sometimes the identifier assigned by the payor (e.g. the SSN) is used as one of the Patient Identifiers##34#</v>
      </c>
    </row>
    <row r="118" spans="2:2" x14ac:dyDescent="0.75">
      <c r="B118" t="str">
        <f>IF('Payer-ConceptMap-1'!S57=0,"//---END",'Payer-ConceptMap-2'!S57)</f>
        <v>//---END</v>
      </c>
    </row>
    <row r="119" spans="2:2" x14ac:dyDescent="0.75">
      <c r="B119" t="str">
        <f>IF('Payer-ConceptMap-1'!S58=0,"//---END",'Payer-ConceptMap-2'!S58)</f>
        <v>//---END</v>
      </c>
    </row>
    <row r="120" spans="2:2" x14ac:dyDescent="0.75">
      <c r="B120" t="str">
        <f>IF('Payer-ConceptMap-1'!S59=0,"//---END",'Payer-ConceptMap-2'!S59)</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926</v>
      </c>
      <c r="I6" s="26" t="str">
        <f>CONCATENATE("Title: ##34#",B6,"##34#")</f>
        <v>Title: ##34#A.1.4 - Information recipient##34#</v>
      </c>
    </row>
    <row r="7" spans="1:11" ht="59" x14ac:dyDescent="0.75">
      <c r="A7" s="46" t="s">
        <v>5</v>
      </c>
      <c r="B7" s="58" t="s">
        <v>937</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685</v>
      </c>
      <c r="C11" t="s">
        <v>912</v>
      </c>
      <c r="D11" s="60" t="s">
        <v>913</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917</v>
      </c>
      <c r="C12" s="9" t="s">
        <v>914</v>
      </c>
      <c r="D12" s="14" t="s">
        <v>915</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686</v>
      </c>
      <c r="C13" s="16" t="s">
        <v>916</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8" t="s">
        <v>326</v>
      </c>
      <c r="D26" s="109"/>
      <c r="E26" s="109"/>
      <c r="F26" s="110"/>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905</v>
      </c>
      <c r="D30" s="1" t="s">
        <v>64</v>
      </c>
      <c r="E30" s="1" t="s">
        <v>909</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906</v>
      </c>
      <c r="D31" t="s">
        <v>908</v>
      </c>
      <c r="E31" s="1" t="s">
        <v>910</v>
      </c>
      <c r="F31" t="s">
        <v>911</v>
      </c>
      <c r="H31" t="str">
        <f t="shared" ref="H31:H32" si="4">C31&amp;" "&amp;D31</f>
        <v>A.1.4.5 Country</v>
      </c>
      <c r="I31" s="1" t="str">
        <f t="shared" si="3"/>
        <v>Country of the recipient. - Preferred system(s): ISO 3166</v>
      </c>
    </row>
    <row r="32" spans="2:9" ht="192.5" thickBot="1" x14ac:dyDescent="0.9">
      <c r="C32" s="36" t="s">
        <v>907</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552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551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554</v>
      </c>
      <c r="E13" s="4" t="str">
        <f t="shared" si="0"/>
        <v>* -&gt; ##34#RelatedPerson##34#</v>
      </c>
      <c r="H13" s="10"/>
      <c r="I13" s="10"/>
      <c r="J13" s="10"/>
      <c r="K13" s="10"/>
      <c r="L13" s="10"/>
      <c r="M13" s="10"/>
      <c r="N13" s="10"/>
      <c r="O13" s="10"/>
    </row>
    <row r="14" spans="1:15" x14ac:dyDescent="0.75">
      <c r="A14" s="9"/>
      <c r="B14" s="9" t="str">
        <f>'A1.4 Recipient'!B8</f>
        <v>identifier</v>
      </c>
      <c r="C14" s="9" t="s">
        <v>553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555</v>
      </c>
      <c r="E15" s="14" t="str">
        <f t="shared" si="1"/>
        <v>* name -&gt; ##34#Organization.name##34#</v>
      </c>
      <c r="G15" s="1"/>
      <c r="H15" s="10"/>
      <c r="I15" s="10"/>
      <c r="J15" s="10"/>
      <c r="K15" s="10"/>
      <c r="L15" s="10"/>
      <c r="M15" s="10"/>
      <c r="N15" s="10"/>
      <c r="O15" s="10"/>
    </row>
    <row r="16" spans="1:15" x14ac:dyDescent="0.75">
      <c r="A16" s="9"/>
      <c r="B16" s="9" t="str">
        <f>'A1.4 Recipient'!$B$9</f>
        <v>name</v>
      </c>
      <c r="C16" s="8" t="s">
        <v>559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558</v>
      </c>
      <c r="E17" s="14" t="str">
        <f t="shared" si="1"/>
        <v>* name -&gt; ##34#Practictioner.name##34#</v>
      </c>
      <c r="G17" s="1"/>
      <c r="H17" s="10"/>
      <c r="I17" s="10"/>
      <c r="J17" s="10"/>
      <c r="K17" s="10"/>
      <c r="L17" s="10"/>
      <c r="M17" s="10"/>
      <c r="N17" s="10"/>
      <c r="O17" s="10"/>
    </row>
    <row r="18" spans="1:15" x14ac:dyDescent="0.75">
      <c r="A18" s="9"/>
      <c r="B18" s="9" t="str">
        <f>'A1.4 Recipient'!$B$9</f>
        <v>name</v>
      </c>
      <c r="C18" s="8" t="s">
        <v>556</v>
      </c>
      <c r="E18" s="14" t="str">
        <f t="shared" si="1"/>
        <v>* name -&gt; ##34#Patientn.name##34#</v>
      </c>
      <c r="G18" s="1"/>
      <c r="H18" s="10"/>
      <c r="I18" s="10"/>
      <c r="J18" s="10"/>
      <c r="K18" s="10"/>
      <c r="L18" s="10"/>
      <c r="M18" s="10"/>
      <c r="N18" s="10"/>
      <c r="O18" s="10"/>
    </row>
    <row r="19" spans="1:15" x14ac:dyDescent="0.75">
      <c r="A19" s="9"/>
      <c r="B19" s="9" t="str">
        <f>'A1.4 Recipient'!$B$9</f>
        <v>name</v>
      </c>
      <c r="C19" s="8" t="s">
        <v>557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560</v>
      </c>
      <c r="E20" s="14" t="str">
        <f t="shared" si="1"/>
        <v>* organization -&gt; ##34#PractictionerRole.organization.resolve()##34#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ht="59" x14ac:dyDescent="0.75">
      <c r="C9" s="14" t="str">
        <f>IF('A1.4 Recipient'!I9="*  ..  ##34###34# ##334###334#","//--- END",'A1.4 Recipient'!I9)</f>
        <v>* name 0..* HumanName ##34#A.1.4.2 Recipient name##34# ##334#Person name.##334#</v>
      </c>
    </row>
    <row r="10" spans="3:7" ht="59"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workbookViewId="0">
      <selection activeCell="A15" sqref="A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726</v>
      </c>
      <c r="D3" s="73" t="s">
        <v>663</v>
      </c>
      <c r="E3" s="118" t="s">
        <v>701</v>
      </c>
      <c r="F3" s="117"/>
      <c r="G3" s="117"/>
    </row>
    <row r="4" spans="1:19" x14ac:dyDescent="0.75">
      <c r="B4" s="73" t="s">
        <v>19</v>
      </c>
      <c r="C4" s="54" t="s">
        <v>928</v>
      </c>
      <c r="D4" s="73" t="s">
        <v>664</v>
      </c>
      <c r="E4" s="84" t="s">
        <v>704</v>
      </c>
    </row>
    <row r="5" spans="1:19" x14ac:dyDescent="0.75">
      <c r="B5" s="73" t="s">
        <v>13</v>
      </c>
      <c r="C5" s="10" t="s">
        <v>700</v>
      </c>
      <c r="D5" s="73"/>
      <c r="E5" s="10"/>
    </row>
    <row r="6" spans="1:19" x14ac:dyDescent="0.75">
      <c r="B6" s="73" t="s">
        <v>35</v>
      </c>
      <c r="C6" s="72" t="s">
        <v>701</v>
      </c>
      <c r="D6" s="73" t="s">
        <v>660</v>
      </c>
      <c r="E6" s="118" t="s">
        <v>701</v>
      </c>
      <c r="F6" s="117"/>
      <c r="G6" s="117"/>
    </row>
    <row r="7" spans="1:19" x14ac:dyDescent="0.75">
      <c r="B7" s="73" t="s">
        <v>18</v>
      </c>
      <c r="C7" s="80" t="s">
        <v>656</v>
      </c>
      <c r="D7" s="73" t="s">
        <v>661</v>
      </c>
      <c r="E7" s="118" t="s">
        <v>704</v>
      </c>
      <c r="F7" s="117"/>
      <c r="G7" s="117"/>
    </row>
    <row r="8" spans="1:19" ht="44.25" x14ac:dyDescent="0.75">
      <c r="B8" s="73" t="s">
        <v>654</v>
      </c>
      <c r="C8" s="10" t="s">
        <v>702</v>
      </c>
      <c r="D8" s="73"/>
      <c r="E8"/>
      <c r="I8" s="14" t="s">
        <v>626</v>
      </c>
      <c r="J8" s="14" t="s">
        <v>627</v>
      </c>
      <c r="K8" s="14" t="s">
        <v>628</v>
      </c>
      <c r="L8" s="14" t="s">
        <v>629</v>
      </c>
      <c r="M8" s="9" t="s">
        <v>630</v>
      </c>
      <c r="P8" s="69" t="s">
        <v>631</v>
      </c>
      <c r="Q8" s="69">
        <v>6</v>
      </c>
    </row>
    <row r="9" spans="1:19" ht="29.5" x14ac:dyDescent="0.75">
      <c r="B9" s="73" t="s">
        <v>655</v>
      </c>
      <c r="C9" s="1" t="s">
        <v>703</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'A1.4 Recipient'!B5</f>
        <v>Recipient</v>
      </c>
      <c r="C14" s="9"/>
      <c r="D14" t="s">
        <v>799</v>
      </c>
      <c r="E14" s="8"/>
      <c r="F14" s="9"/>
      <c r="G14" s="9"/>
      <c r="I14" s="14"/>
      <c r="J14" s="9"/>
      <c r="K14" s="9"/>
      <c r="L14" s="9"/>
      <c r="M14" s="71"/>
      <c r="N14" s="74"/>
    </row>
    <row r="15" spans="1:19" ht="73.75" x14ac:dyDescent="0.75">
      <c r="A15" s="95"/>
      <c r="B15" s="9" t="str">
        <f>'A1.4 Recipient'!B8</f>
        <v>identifier</v>
      </c>
      <c r="C15" s="9" t="str">
        <f>'A1.4 Recipient'!C8</f>
        <v>A.1.4.1 Recipient identifier</v>
      </c>
      <c r="D15" s="14" t="s">
        <v>812</v>
      </c>
      <c r="E15" s="62"/>
      <c r="F15" s="75" t="s">
        <v>637</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813</v>
      </c>
      <c r="E16" s="62"/>
      <c r="F16" s="75" t="s">
        <v>637</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#extension:information-recipient.valueReference.name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7" si="10">IF(MOD(P16,$Q$8)=0,P16/$Q$8-1,INT(P16/$Q$8))</f>
        <v>0</v>
      </c>
      <c r="R16" s="9">
        <f t="shared" ref="R16:R57" si="11">IF(MOD(P16,$Q$8)=0,$Q$8,MOD(P16,$Q$8))</f>
        <v>2</v>
      </c>
      <c r="S16" s="14" t="str" cm="1">
        <f t="array" ref="S16">INDEX('Recipient-ConceptMap-1'!$I$15:$N$270,Q16+1,R16)</f>
        <v>* group[=].element[=].display = ##34#A.1.4.1 Recipient identifier##34#</v>
      </c>
    </row>
    <row r="17" spans="1:19" ht="103.25" x14ac:dyDescent="0.75">
      <c r="A17" s="23"/>
      <c r="B17" s="9" t="str">
        <f>'A1.4 Recipient'!B10</f>
        <v>organization</v>
      </c>
      <c r="C17" s="9" t="str">
        <f>'A1.4 Recipient'!C10</f>
        <v>A.1.4.3 Recipient organization</v>
      </c>
      <c r="D17" s="9" t="s">
        <v>814</v>
      </c>
      <c r="E17" s="9"/>
      <c r="F17" s="75" t="s">
        <v>637</v>
      </c>
      <c r="G17" s="75" t="s">
        <v>918</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the organization.##34#</v>
      </c>
      <c r="P17" s="9">
        <v>3</v>
      </c>
      <c r="Q17" s="9">
        <f t="shared" si="10"/>
        <v>0</v>
      </c>
      <c r="R17" s="9">
        <f t="shared" si="11"/>
        <v>3</v>
      </c>
      <c r="S17" s="14" t="str" cm="1">
        <f t="array" ref="S17">INDEX('Recipient-ConceptMap-1'!$I$15:$N$270,Q17+1,R17)</f>
        <v>* group[=].element[=].target.code = #extension:information-recipient.valueReference.identifier</v>
      </c>
    </row>
    <row r="18" spans="1:19" ht="103.25" x14ac:dyDescent="0.75">
      <c r="A18" s="23"/>
      <c r="B18" s="9" t="str">
        <f>'A1.4 Recipient'!B10</f>
        <v>organization</v>
      </c>
      <c r="C18" s="9" t="str">
        <f>'A1.4 Recipient'!C10</f>
        <v>A.1.4.3 Recipient organization</v>
      </c>
      <c r="D18" s="9" t="s">
        <v>815</v>
      </c>
      <c r="E18" s="9"/>
      <c r="F18" s="75" t="s">
        <v>637</v>
      </c>
      <c r="G18" s="75" t="s">
        <v>919</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ht="73.75" x14ac:dyDescent="0.75">
      <c r="A19" s="23"/>
      <c r="B19" s="9" t="str">
        <f>'A1.4 Recipient'!B11</f>
        <v>address</v>
      </c>
      <c r="C19" s="9" t="str">
        <f>'A1.4 Recipient'!C11</f>
        <v>A.1.4.4 Address</v>
      </c>
      <c r="D19" s="9" t="s">
        <v>921</v>
      </c>
      <c r="E19" s="9"/>
      <c r="F19" s="75" t="s">
        <v>638</v>
      </c>
      <c r="G19" s="75" t="s">
        <v>920</v>
      </c>
      <c r="H19" s="76"/>
      <c r="I19" s="14" t="str">
        <f t="shared" ref="I19:I21" si="12">"* group[=].element[+].code = #"&amp;$B$14&amp;"."&amp;B19</f>
        <v>* group[=].element[+].code = #Recipient.address</v>
      </c>
      <c r="J19" s="14" t="str">
        <f t="shared" ref="J19:J21" si="13">"* group[=].element[=].display = ##34#"&amp;C19&amp;"##34#"</f>
        <v>* group[=].element[=].display = ##34#A.1.4.4 Address##34#</v>
      </c>
      <c r="K19" s="14" t="str">
        <f t="shared" ref="K19:K21" si="14">IF(F19="unmatched","//-- unmatched",IF(D19="","* group[=].element[=].target.code = #"&amp;$D$14,"* group[=].element[=].target.code = #"&amp;$D$14&amp;"."&amp;D19))</f>
        <v>* group[=].element[=].target.code = #extension:information-recipient.ValueReference.practitioner.address</v>
      </c>
      <c r="L19" s="14" t="str">
        <f t="shared" ref="L19:L21" si="15">IF(F19="unmatched","//-- unmatched","* group[=].element[=].target.display = ##34#"&amp;E19&amp;"##34#")</f>
        <v>* group[=].element[=].target.display = ##34###34#</v>
      </c>
      <c r="M19" s="14" t="str">
        <f t="shared" ref="M19:M21" si="16">"* group[=].element[=].target.equivalence = #"&amp;F19</f>
        <v>* group[=].element[=].target.equivalence = #relatedto</v>
      </c>
      <c r="N19" s="4" t="str">
        <f t="shared" ref="N19:N21" si="17">IF(G19&lt;&gt;"",CONCATENATE("* group[=].element[=].target.comment = ","##34#",G19,"##34#"),"")</f>
        <v>* group[=].element[=].target.comment = ##34#If ValueReference.resolve().ofType(PractionerRole)##34#</v>
      </c>
      <c r="P19" s="9">
        <v>5</v>
      </c>
      <c r="Q19" s="9">
        <f t="shared" si="10"/>
        <v>0</v>
      </c>
      <c r="R19" s="9">
        <f t="shared" si="11"/>
        <v>5</v>
      </c>
      <c r="S19" s="14" t="str" cm="1">
        <f t="array" ref="S19">INDEX('Recipient-ConceptMap-1'!$I$15:$N$270,Q19+1,R19)</f>
        <v>* group[=].element[=].target.equivalence = #equivalent</v>
      </c>
    </row>
    <row r="20" spans="1:19" ht="73.75" x14ac:dyDescent="0.75">
      <c r="A20" s="23"/>
      <c r="B20" s="9" t="str">
        <f>'A1.4 Recipient'!B12</f>
        <v>country</v>
      </c>
      <c r="C20" s="9" t="str">
        <f>'A1.4 Recipient'!C12</f>
        <v>A.1.4.5 Country</v>
      </c>
      <c r="D20" s="9" t="s">
        <v>923</v>
      </c>
      <c r="E20" s="9"/>
      <c r="F20" s="75" t="s">
        <v>638</v>
      </c>
      <c r="G20" s="75" t="s">
        <v>920</v>
      </c>
      <c r="H20" s="76"/>
      <c r="I20" s="14" t="str">
        <f t="shared" si="12"/>
        <v>* group[=].element[+].code = #Recipient.country</v>
      </c>
      <c r="J20" s="14" t="str">
        <f t="shared" si="13"/>
        <v>* group[=].element[=].display = ##34#A.1.4.5 Country##34#</v>
      </c>
      <c r="K20" s="14" t="str">
        <f t="shared" si="14"/>
        <v>* group[=].element[=].target.code = #extension:information-recipient.ValueReference.practitioner.country</v>
      </c>
      <c r="L20" s="14" t="str">
        <f t="shared" si="15"/>
        <v>* group[=].element[=].target.display = ##34###34#</v>
      </c>
      <c r="M20" s="14" t="str">
        <f t="shared" si="16"/>
        <v>* group[=].element[=].target.equivalence = #relatedto</v>
      </c>
      <c r="N20" s="4" t="str">
        <f t="shared" si="17"/>
        <v>* group[=].element[=].target.comment = ##34#If ValueReference.resolve().ofType(PractionerRole)##34#</v>
      </c>
      <c r="P20" s="9">
        <v>6</v>
      </c>
      <c r="Q20" s="9">
        <f t="shared" si="10"/>
        <v>0</v>
      </c>
      <c r="R20" s="9">
        <f t="shared" si="11"/>
        <v>6</v>
      </c>
      <c r="S20" s="14" t="str" cm="1">
        <f t="array" ref="S20">INDEX('Recipient-ConceptMap-1'!$I$15:$N$270,Q20+1,R20)</f>
        <v/>
      </c>
    </row>
    <row r="21" spans="1:19" ht="73.75" x14ac:dyDescent="0.75">
      <c r="A21" s="23"/>
      <c r="B21" s="9" t="str">
        <f>'A1.4 Recipient'!B13</f>
        <v>telecom</v>
      </c>
      <c r="C21" s="9" t="str">
        <f>'A1.4 Recipient'!C13</f>
        <v>A.1.4.6 Telecom</v>
      </c>
      <c r="D21" s="9" t="s">
        <v>922</v>
      </c>
      <c r="E21" s="9"/>
      <c r="F21" s="75" t="s">
        <v>638</v>
      </c>
      <c r="G21" s="75" t="s">
        <v>920</v>
      </c>
      <c r="H21" s="76"/>
      <c r="I21" s="14" t="str">
        <f t="shared" si="12"/>
        <v>* group[=].element[+].code = #Recipient.telecom</v>
      </c>
      <c r="J21" s="14" t="str">
        <f t="shared" si="13"/>
        <v>* group[=].element[=].display = ##34#A.1.4.6 Telecom##34#</v>
      </c>
      <c r="K21" s="14" t="str">
        <f t="shared" si="14"/>
        <v>* group[=].element[=].target.code = #extension:information-recipient.ValueReference.practitioner.telecom</v>
      </c>
      <c r="L21" s="14" t="str">
        <f t="shared" si="15"/>
        <v>* group[=].element[=].target.display = ##34###34#</v>
      </c>
      <c r="M21" s="14" t="str">
        <f t="shared" si="16"/>
        <v>* group[=].element[=].target.equivalence = #relatedto</v>
      </c>
      <c r="N21" s="4" t="str">
        <f t="shared" si="17"/>
        <v>* group[=].element[=].target.comment = ##34#If ValueReference.resolve().ofType(PractionerRole)##34#</v>
      </c>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ht="29.5"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#extension:information-recipient.valueReference.name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ht="29.5"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#extension:information-recipient.ValueReference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##34#ValueReference.resolve().ofType(Organization)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ht="29.5"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#extension:information-recipient.ValueReference.organization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44.2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##34#ValueReference.resolve().ofType(PractionerRole),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t="str" cm="1">
        <f t="array" ref="S39">INDEX('Recipient-ConceptMap-1'!$I$15:$N$270,Q39+1,R39)</f>
        <v>* group[=].element[+].code = #Recipient.address</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t="str" cm="1">
        <f t="array" ref="S40">INDEX('Recipient-ConceptMap-1'!$I$15:$N$270,Q40+1,R40)</f>
        <v>* group[=].element[=].display = ##34#A.1.4.4 Address##34#</v>
      </c>
      <c r="T40"/>
    </row>
    <row r="41" spans="1:20" s="1" customFormat="1" ht="29.5" x14ac:dyDescent="0.75">
      <c r="A41"/>
      <c r="B41" s="9"/>
      <c r="C41" s="9"/>
      <c r="F41" s="76"/>
      <c r="G41" s="76"/>
      <c r="H41" s="76"/>
      <c r="I41" s="14"/>
      <c r="J41" s="14"/>
      <c r="K41" s="14"/>
      <c r="L41" s="14"/>
      <c r="M41" s="14"/>
      <c r="N41" s="4"/>
      <c r="P41" s="9">
        <v>27</v>
      </c>
      <c r="Q41" s="9">
        <f t="shared" si="10"/>
        <v>4</v>
      </c>
      <c r="R41" s="9">
        <f t="shared" si="11"/>
        <v>3</v>
      </c>
      <c r="S41" s="14" t="str" cm="1">
        <f t="array" ref="S41">INDEX('Recipient-ConceptMap-1'!$I$15:$N$270,Q41+1,R41)</f>
        <v>* group[=].element[=].target.code = #extension:information-recipient.ValueReference.practitioner.address</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t="str" cm="1">
        <f t="array" ref="S42">INDEX('Recipient-ConceptMap-1'!$I$15:$N$270,Q42+1,R42)</f>
        <v>* group[=].element[=].target.display = ##34###34#</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t="str" cm="1">
        <f t="array" ref="S43">INDEX('Recipient-ConceptMap-1'!$I$15:$N$270,Q43+1,R43)</f>
        <v>* group[=].element[=].target.equivalence = #relatedto</v>
      </c>
      <c r="T43"/>
    </row>
    <row r="44" spans="1:20" s="1" customFormat="1" ht="29.5" x14ac:dyDescent="0.75">
      <c r="A44"/>
      <c r="B44" s="9"/>
      <c r="C44"/>
      <c r="F44" s="76"/>
      <c r="G44" s="76"/>
      <c r="H44" s="76"/>
      <c r="I44" s="14"/>
      <c r="J44" s="14"/>
      <c r="K44" s="14"/>
      <c r="L44" s="14"/>
      <c r="M44" s="14"/>
      <c r="N44" s="4"/>
      <c r="P44" s="9">
        <v>30</v>
      </c>
      <c r="Q44" s="9">
        <f t="shared" si="10"/>
        <v>4</v>
      </c>
      <c r="R44" s="9">
        <f t="shared" si="11"/>
        <v>6</v>
      </c>
      <c r="S44" s="14" t="str" cm="1">
        <f t="array" ref="S44">INDEX('Recipient-ConceptMap-1'!$I$15:$N$270,Q44+1,R44)</f>
        <v>* group[=].element[=].target.comment = ##34#If ValueReference.resolve().ofType(PractionerRole)##34#</v>
      </c>
      <c r="T44"/>
    </row>
    <row r="45" spans="1:20" s="1" customFormat="1" x14ac:dyDescent="0.75">
      <c r="A45"/>
      <c r="B45" s="9"/>
      <c r="C45"/>
      <c r="F45" s="76"/>
      <c r="G45" s="76"/>
      <c r="H45" s="76"/>
      <c r="I45" s="14"/>
      <c r="J45" s="14"/>
      <c r="K45" s="14"/>
      <c r="L45" s="14"/>
      <c r="M45" s="14"/>
      <c r="N45" s="4"/>
      <c r="P45" s="9">
        <v>31</v>
      </c>
      <c r="Q45" s="9">
        <f t="shared" si="10"/>
        <v>5</v>
      </c>
      <c r="R45" s="9">
        <f t="shared" si="11"/>
        <v>1</v>
      </c>
      <c r="S45" s="14" t="str" cm="1">
        <f t="array" ref="S45">INDEX('Recipient-ConceptMap-1'!$I$15:$N$270,Q45+1,R45)</f>
        <v>* group[=].element[+].code = #Recipient.country</v>
      </c>
      <c r="T45"/>
    </row>
    <row r="46" spans="1:20" s="1" customFormat="1" x14ac:dyDescent="0.75">
      <c r="A46"/>
      <c r="B46" s="9"/>
      <c r="C46"/>
      <c r="F46" s="76"/>
      <c r="G46" s="76"/>
      <c r="H46" s="76"/>
      <c r="I46" s="14"/>
      <c r="J46" s="14"/>
      <c r="K46" s="14"/>
      <c r="L46" s="14"/>
      <c r="M46" s="14"/>
      <c r="N46" s="4"/>
      <c r="P46" s="9">
        <v>32</v>
      </c>
      <c r="Q46" s="9">
        <f t="shared" si="10"/>
        <v>5</v>
      </c>
      <c r="R46" s="9">
        <f t="shared" si="11"/>
        <v>2</v>
      </c>
      <c r="S46" s="14" t="str" cm="1">
        <f t="array" ref="S46">INDEX('Recipient-ConceptMap-1'!$I$15:$N$270,Q46+1,R46)</f>
        <v>* group[=].element[=].display = ##34#A.1.4.5 Country##34#</v>
      </c>
      <c r="T46"/>
    </row>
    <row r="47" spans="1:20" s="1" customFormat="1" ht="29.5" x14ac:dyDescent="0.75">
      <c r="A47"/>
      <c r="B47" s="9"/>
      <c r="C47"/>
      <c r="F47" s="76"/>
      <c r="G47" s="76"/>
      <c r="H47" s="76"/>
      <c r="I47" s="14"/>
      <c r="J47" s="14"/>
      <c r="K47" s="14"/>
      <c r="L47" s="14"/>
      <c r="M47" s="14"/>
      <c r="N47" s="4"/>
      <c r="P47" s="9">
        <v>33</v>
      </c>
      <c r="Q47" s="9">
        <f t="shared" si="10"/>
        <v>5</v>
      </c>
      <c r="R47" s="9">
        <f t="shared" si="11"/>
        <v>3</v>
      </c>
      <c r="S47" s="14" t="str" cm="1">
        <f t="array" ref="S47">INDEX('Recipient-ConceptMap-1'!$I$15:$N$270,Q47+1,R47)</f>
        <v>* group[=].element[=].target.code = #extension:information-recipient.ValueReference.practitioner.country</v>
      </c>
      <c r="T47"/>
    </row>
    <row r="48" spans="1:20" s="1" customFormat="1" x14ac:dyDescent="0.75">
      <c r="A48"/>
      <c r="B48" s="9"/>
      <c r="C48"/>
      <c r="F48" s="76"/>
      <c r="G48" s="76"/>
      <c r="H48" s="76"/>
      <c r="I48" s="14"/>
      <c r="J48" s="14"/>
      <c r="K48" s="14"/>
      <c r="L48" s="14"/>
      <c r="M48" s="14"/>
      <c r="N48" s="4"/>
      <c r="P48" s="9">
        <v>34</v>
      </c>
      <c r="Q48" s="9">
        <f t="shared" si="10"/>
        <v>5</v>
      </c>
      <c r="R48" s="9">
        <f t="shared" si="11"/>
        <v>4</v>
      </c>
      <c r="S48" s="14" t="str" cm="1">
        <f t="array" ref="S48">INDEX('Recipient-ConceptMap-1'!$I$15:$N$270,Q48+1,R48)</f>
        <v>* group[=].element[=].target.display = ##34###34#</v>
      </c>
      <c r="T48"/>
    </row>
    <row r="49" spans="5:19" x14ac:dyDescent="0.75">
      <c r="F49" s="76"/>
      <c r="G49" s="76"/>
      <c r="H49" s="76"/>
      <c r="I49" s="14"/>
      <c r="J49" s="14"/>
      <c r="K49" s="14"/>
      <c r="L49" s="14"/>
      <c r="M49" s="14"/>
      <c r="N49" s="4"/>
      <c r="P49" s="9">
        <v>35</v>
      </c>
      <c r="Q49" s="9">
        <f t="shared" si="10"/>
        <v>5</v>
      </c>
      <c r="R49" s="9">
        <f t="shared" si="11"/>
        <v>5</v>
      </c>
      <c r="S49" s="14" t="str" cm="1">
        <f t="array" ref="S49">INDEX('Recipient-ConceptMap-1'!$I$15:$N$270,Q49+1,R49)</f>
        <v>* group[=].element[=].target.equivalence = #relatedto</v>
      </c>
    </row>
    <row r="50" spans="5:19" ht="29.5" x14ac:dyDescent="0.75">
      <c r="F50" s="76"/>
      <c r="G50" s="76"/>
      <c r="H50" s="76"/>
      <c r="I50" s="14"/>
      <c r="J50" s="14"/>
      <c r="K50" s="14"/>
      <c r="L50" s="14"/>
      <c r="M50" s="14"/>
      <c r="N50" s="4"/>
      <c r="P50" s="9">
        <v>36</v>
      </c>
      <c r="Q50" s="9">
        <f t="shared" si="10"/>
        <v>5</v>
      </c>
      <c r="R50" s="9">
        <f t="shared" si="11"/>
        <v>6</v>
      </c>
      <c r="S50" s="14" t="str" cm="1">
        <f t="array" ref="S50">INDEX('Recipient-ConceptMap-1'!$I$15:$N$270,Q50+1,R50)</f>
        <v>* group[=].element[=].target.comment = ##34#If ValueReference.resolve().ofType(PractionerRole)##34#</v>
      </c>
    </row>
    <row r="51" spans="5:19" x14ac:dyDescent="0.75">
      <c r="F51" s="76"/>
      <c r="G51" s="76"/>
      <c r="H51" s="76"/>
      <c r="I51" s="14"/>
      <c r="J51" s="14"/>
      <c r="K51" s="14"/>
      <c r="L51" s="14"/>
      <c r="M51" s="14"/>
      <c r="N51" s="4"/>
      <c r="P51" s="9">
        <v>37</v>
      </c>
      <c r="Q51" s="9">
        <f t="shared" si="10"/>
        <v>6</v>
      </c>
      <c r="R51" s="9">
        <f t="shared" si="11"/>
        <v>1</v>
      </c>
      <c r="S51" s="14" t="str" cm="1">
        <f t="array" ref="S51">INDEX('Recipient-ConceptMap-1'!$I$15:$N$270,Q51+1,R51)</f>
        <v>* group[=].element[+].code = #Recipient.telecom</v>
      </c>
    </row>
    <row r="52" spans="5:19" x14ac:dyDescent="0.75">
      <c r="F52" s="76"/>
      <c r="G52" s="76"/>
      <c r="H52" s="76"/>
      <c r="I52" s="14"/>
      <c r="J52" s="14"/>
      <c r="K52" s="14"/>
      <c r="L52" s="14"/>
      <c r="M52" s="14"/>
      <c r="N52" s="4"/>
      <c r="P52" s="9">
        <v>38</v>
      </c>
      <c r="Q52" s="9">
        <f t="shared" si="10"/>
        <v>6</v>
      </c>
      <c r="R52" s="9">
        <f t="shared" si="11"/>
        <v>2</v>
      </c>
      <c r="S52" s="14" t="str" cm="1">
        <f t="array" ref="S52">INDEX('Recipient-ConceptMap-1'!$I$15:$N$270,Q52+1,R52)</f>
        <v>* group[=].element[=].display = ##34#A.1.4.6 Telecom##34#</v>
      </c>
    </row>
    <row r="53" spans="5:19" ht="29.5" x14ac:dyDescent="0.75">
      <c r="E53"/>
      <c r="I53" s="14"/>
      <c r="J53" s="14"/>
      <c r="K53" s="14"/>
      <c r="L53" s="14"/>
      <c r="M53" s="14"/>
      <c r="N53" s="4"/>
      <c r="P53" s="9">
        <v>39</v>
      </c>
      <c r="Q53" s="9">
        <f t="shared" si="10"/>
        <v>6</v>
      </c>
      <c r="R53" s="9">
        <f t="shared" si="11"/>
        <v>3</v>
      </c>
      <c r="S53" s="14" t="str" cm="1">
        <f t="array" ref="S53">INDEX('Recipient-ConceptMap-1'!$I$15:$N$270,Q53+1,R53)</f>
        <v>* group[=].element[=].target.code = #extension:information-recipient.ValueReference.practitioner.telecom</v>
      </c>
    </row>
    <row r="54" spans="5:19" x14ac:dyDescent="0.75">
      <c r="P54" s="9">
        <v>40</v>
      </c>
      <c r="Q54" s="9">
        <f t="shared" si="10"/>
        <v>6</v>
      </c>
      <c r="R54" s="9">
        <f t="shared" si="11"/>
        <v>4</v>
      </c>
      <c r="S54" s="14" t="str" cm="1">
        <f t="array" ref="S54">INDEX('Recipient-ConceptMap-1'!$I$15:$N$270,Q54+1,R54)</f>
        <v>* group[=].element[=].target.display = ##34###34#</v>
      </c>
    </row>
    <row r="55" spans="5:19" x14ac:dyDescent="0.75">
      <c r="P55" s="9">
        <v>41</v>
      </c>
      <c r="Q55" s="9">
        <f t="shared" si="10"/>
        <v>6</v>
      </c>
      <c r="R55" s="9">
        <f t="shared" si="11"/>
        <v>5</v>
      </c>
      <c r="S55" s="14" t="str" cm="1">
        <f t="array" ref="S55">INDEX('Recipient-ConceptMap-1'!$I$15:$N$270,Q55+1,R55)</f>
        <v>* group[=].element[=].target.equivalence = #relatedto</v>
      </c>
    </row>
    <row r="56" spans="5:19" ht="29.5" x14ac:dyDescent="0.75">
      <c r="P56" s="9">
        <v>42</v>
      </c>
      <c r="Q56" s="9">
        <f t="shared" si="10"/>
        <v>6</v>
      </c>
      <c r="R56" s="9">
        <f t="shared" si="11"/>
        <v>6</v>
      </c>
      <c r="S56" s="14" t="str" cm="1">
        <f t="array" ref="S56">INDEX('Recipient-ConceptMap-1'!$I$15:$N$270,Q56+1,R56)</f>
        <v>* group[=].element[=].target.comment = ##34#If ValueReference.resolve().ofType(PractionerRole)##34#</v>
      </c>
    </row>
    <row r="57" spans="5:19" x14ac:dyDescent="0.75">
      <c r="P57" s="9">
        <v>43</v>
      </c>
      <c r="Q57" s="9">
        <f t="shared" si="10"/>
        <v>7</v>
      </c>
      <c r="R57" s="9">
        <f t="shared" si="11"/>
        <v>1</v>
      </c>
      <c r="S57" s="14" cm="1">
        <f t="array" ref="S57">INDEX('Recipient-ConceptMap-1'!$I$15:$N$270,Q57+1,R57)</f>
        <v>0</v>
      </c>
    </row>
    <row r="58" spans="5:19" x14ac:dyDescent="0.75">
      <c r="P58" s="9">
        <v>44</v>
      </c>
      <c r="Q58" s="9">
        <f t="shared" ref="Q58:Q79" si="18">IF(MOD(P58,$Q$8)=0,P58/$Q$8-1,INT(P58/$Q$8))</f>
        <v>7</v>
      </c>
      <c r="R58" s="9">
        <f t="shared" ref="R58:R79" si="19">IF(MOD(P58,$Q$8)=0,$Q$8,MOD(P58,$Q$8))</f>
        <v>2</v>
      </c>
      <c r="S58" s="14" cm="1">
        <f t="array" ref="S58">INDEX('Recipient-ConceptMap-1'!$I$15:$N$270,Q58+1,R58)</f>
        <v>0</v>
      </c>
    </row>
    <row r="59" spans="5:19" x14ac:dyDescent="0.75">
      <c r="P59" s="9">
        <v>45</v>
      </c>
      <c r="Q59" s="9">
        <f t="shared" si="18"/>
        <v>7</v>
      </c>
      <c r="R59" s="9">
        <f t="shared" si="19"/>
        <v>3</v>
      </c>
      <c r="S59" s="14" cm="1">
        <f t="array" ref="S59">INDEX('Recipient-ConceptMap-1'!$I$15:$N$270,Q59+1,R59)</f>
        <v>0</v>
      </c>
    </row>
    <row r="60" spans="5:19" x14ac:dyDescent="0.75">
      <c r="P60" s="9">
        <v>46</v>
      </c>
      <c r="Q60" s="9">
        <f t="shared" si="18"/>
        <v>7</v>
      </c>
      <c r="R60" s="9">
        <f t="shared" si="19"/>
        <v>4</v>
      </c>
      <c r="S60" s="14" cm="1">
        <f t="array" ref="S60">INDEX('Recipient-ConceptMap-1'!$I$15:$N$270,Q60+1,R60)</f>
        <v>0</v>
      </c>
    </row>
    <row r="61" spans="5:19" x14ac:dyDescent="0.75">
      <c r="P61" s="9">
        <v>47</v>
      </c>
      <c r="Q61" s="9">
        <f t="shared" si="18"/>
        <v>7</v>
      </c>
      <c r="R61" s="9">
        <f t="shared" si="19"/>
        <v>5</v>
      </c>
      <c r="S61" s="14" cm="1">
        <f t="array" ref="S61">INDEX('Recipient-ConceptMap-1'!$I$15:$N$270,Q61+1,R61)</f>
        <v>0</v>
      </c>
    </row>
    <row r="62" spans="5:19" x14ac:dyDescent="0.75">
      <c r="P62" s="9">
        <v>48</v>
      </c>
      <c r="Q62" s="9">
        <f t="shared" si="18"/>
        <v>7</v>
      </c>
      <c r="R62" s="9">
        <f t="shared" si="19"/>
        <v>6</v>
      </c>
      <c r="S62" s="14" cm="1">
        <f t="array" ref="S62">INDEX('Recipient-ConceptMap-1'!$I$15:$N$270,Q62+1,R62)</f>
        <v>0</v>
      </c>
    </row>
    <row r="63" spans="5:19" x14ac:dyDescent="0.75">
      <c r="P63" s="9">
        <v>49</v>
      </c>
      <c r="Q63" s="9">
        <f t="shared" si="18"/>
        <v>8</v>
      </c>
      <c r="R63" s="9">
        <f t="shared" si="19"/>
        <v>1</v>
      </c>
      <c r="S63" s="14" cm="1">
        <f t="array" ref="S63">INDEX('Recipient-ConceptMap-1'!$I$15:$N$270,Q63+1,R63)</f>
        <v>0</v>
      </c>
    </row>
    <row r="64" spans="5:19" x14ac:dyDescent="0.75">
      <c r="P64" s="9">
        <v>50</v>
      </c>
      <c r="Q64" s="9">
        <f t="shared" si="18"/>
        <v>8</v>
      </c>
      <c r="R64" s="9">
        <f t="shared" si="19"/>
        <v>2</v>
      </c>
      <c r="S64" s="14" cm="1">
        <f t="array" ref="S64">INDEX('Recipient-ConceptMap-1'!$I$15:$N$270,Q64+1,R64)</f>
        <v>0</v>
      </c>
    </row>
    <row r="65" spans="16:19" x14ac:dyDescent="0.75">
      <c r="P65" s="9">
        <v>51</v>
      </c>
      <c r="Q65" s="9">
        <f t="shared" si="18"/>
        <v>8</v>
      </c>
      <c r="R65" s="9">
        <f t="shared" si="19"/>
        <v>3</v>
      </c>
      <c r="S65" s="14" cm="1">
        <f t="array" ref="S65">INDEX('Recipient-ConceptMap-1'!$I$15:$N$270,Q65+1,R65)</f>
        <v>0</v>
      </c>
    </row>
    <row r="66" spans="16:19" x14ac:dyDescent="0.75">
      <c r="P66" s="9">
        <v>52</v>
      </c>
      <c r="Q66" s="9">
        <f t="shared" si="18"/>
        <v>8</v>
      </c>
      <c r="R66" s="9">
        <f t="shared" si="19"/>
        <v>4</v>
      </c>
      <c r="S66" s="14" cm="1">
        <f t="array" ref="S66">INDEX('Recipient-ConceptMap-1'!$I$15:$N$270,Q66+1,R66)</f>
        <v>0</v>
      </c>
    </row>
    <row r="67" spans="16:19" x14ac:dyDescent="0.75">
      <c r="P67" s="9">
        <v>53</v>
      </c>
      <c r="Q67" s="9">
        <f t="shared" si="18"/>
        <v>8</v>
      </c>
      <c r="R67" s="9">
        <f t="shared" si="19"/>
        <v>5</v>
      </c>
      <c r="S67" s="14" cm="1">
        <f t="array" ref="S67">INDEX('Recipient-ConceptMap-1'!$I$15:$N$270,Q67+1,R67)</f>
        <v>0</v>
      </c>
    </row>
    <row r="68" spans="16:19" x14ac:dyDescent="0.75">
      <c r="P68" s="9">
        <v>54</v>
      </c>
      <c r="Q68" s="9">
        <f t="shared" si="18"/>
        <v>8</v>
      </c>
      <c r="R68" s="9">
        <f t="shared" si="19"/>
        <v>6</v>
      </c>
      <c r="S68" s="14" cm="1">
        <f t="array" ref="S68">INDEX('Recipient-ConceptMap-1'!$I$15:$N$270,Q68+1,R68)</f>
        <v>0</v>
      </c>
    </row>
    <row r="69" spans="16:19" x14ac:dyDescent="0.75">
      <c r="P69" s="9">
        <v>55</v>
      </c>
      <c r="Q69" s="9">
        <f t="shared" si="18"/>
        <v>9</v>
      </c>
      <c r="R69" s="9">
        <f t="shared" si="19"/>
        <v>1</v>
      </c>
      <c r="S69" s="14" cm="1">
        <f t="array" ref="S69">INDEX('Recipient-ConceptMap-1'!$I$15:$N$270,Q69+1,R69)</f>
        <v>0</v>
      </c>
    </row>
    <row r="70" spans="16:19" x14ac:dyDescent="0.75">
      <c r="P70" s="9">
        <v>56</v>
      </c>
      <c r="Q70" s="9">
        <f t="shared" si="18"/>
        <v>9</v>
      </c>
      <c r="R70" s="9">
        <f t="shared" si="19"/>
        <v>2</v>
      </c>
      <c r="S70" s="14" cm="1">
        <f t="array" ref="S70">INDEX('Recipient-ConceptMap-1'!$I$15:$N$270,Q70+1,R70)</f>
        <v>0</v>
      </c>
    </row>
    <row r="71" spans="16:19" x14ac:dyDescent="0.75">
      <c r="P71" s="9">
        <v>57</v>
      </c>
      <c r="Q71" s="9">
        <f t="shared" si="18"/>
        <v>9</v>
      </c>
      <c r="R71" s="9">
        <f t="shared" si="19"/>
        <v>3</v>
      </c>
      <c r="S71" s="14" cm="1">
        <f t="array" ref="S71">INDEX('Recipient-ConceptMap-1'!$I$15:$N$270,Q71+1,R71)</f>
        <v>0</v>
      </c>
    </row>
    <row r="72" spans="16:19" x14ac:dyDescent="0.75">
      <c r="P72" s="9">
        <v>58</v>
      </c>
      <c r="Q72" s="9">
        <f t="shared" si="18"/>
        <v>9</v>
      </c>
      <c r="R72" s="9">
        <f t="shared" si="19"/>
        <v>4</v>
      </c>
      <c r="S72" s="14" cm="1">
        <f t="array" ref="S72">INDEX('Recipient-ConceptMap-1'!$I$15:$N$270,Q72+1,R72)</f>
        <v>0</v>
      </c>
    </row>
    <row r="73" spans="16:19" x14ac:dyDescent="0.75">
      <c r="P73" s="9">
        <v>59</v>
      </c>
      <c r="Q73" s="9">
        <f t="shared" si="18"/>
        <v>9</v>
      </c>
      <c r="R73" s="9">
        <f t="shared" si="19"/>
        <v>5</v>
      </c>
      <c r="S73" s="14" cm="1">
        <f t="array" ref="S73">INDEX('Recipient-ConceptMap-1'!$I$15:$N$270,Q73+1,R73)</f>
        <v>0</v>
      </c>
    </row>
    <row r="74" spans="16:19" x14ac:dyDescent="0.75">
      <c r="P74" s="9">
        <v>60</v>
      </c>
      <c r="Q74" s="9">
        <f t="shared" si="18"/>
        <v>9</v>
      </c>
      <c r="R74" s="9">
        <f t="shared" si="19"/>
        <v>6</v>
      </c>
      <c r="S74" s="14" cm="1">
        <f t="array" ref="S74">INDEX('Recipient-ConceptMap-1'!$I$15:$N$270,Q74+1,R74)</f>
        <v>0</v>
      </c>
    </row>
    <row r="75" spans="16:19" x14ac:dyDescent="0.75">
      <c r="P75" s="9">
        <v>61</v>
      </c>
      <c r="Q75" s="9">
        <f t="shared" si="18"/>
        <v>10</v>
      </c>
      <c r="R75" s="9">
        <f t="shared" si="19"/>
        <v>1</v>
      </c>
      <c r="S75" s="14" cm="1">
        <f t="array" ref="S75">INDEX('Recipient-ConceptMap-1'!$I$15:$N$270,Q75+1,R75)</f>
        <v>0</v>
      </c>
    </row>
    <row r="76" spans="16:19" x14ac:dyDescent="0.75">
      <c r="P76" s="9">
        <v>62</v>
      </c>
      <c r="Q76" s="9">
        <f t="shared" si="18"/>
        <v>10</v>
      </c>
      <c r="R76" s="9">
        <f t="shared" si="19"/>
        <v>2</v>
      </c>
      <c r="S76" s="14" cm="1">
        <f t="array" ref="S76">INDEX('Recipient-ConceptMap-1'!$I$15:$N$270,Q76+1,R76)</f>
        <v>0</v>
      </c>
    </row>
    <row r="77" spans="16:19" x14ac:dyDescent="0.75">
      <c r="P77" s="9">
        <v>63</v>
      </c>
      <c r="Q77" s="9">
        <f t="shared" si="18"/>
        <v>10</v>
      </c>
      <c r="R77" s="9">
        <f t="shared" si="19"/>
        <v>3</v>
      </c>
      <c r="S77" s="14" cm="1">
        <f t="array" ref="S77">INDEX('Recipient-ConceptMap-1'!$I$15:$N$270,Q77+1,R77)</f>
        <v>0</v>
      </c>
    </row>
    <row r="78" spans="16:19" x14ac:dyDescent="0.75">
      <c r="P78" s="9">
        <v>64</v>
      </c>
      <c r="Q78" s="9">
        <f t="shared" si="18"/>
        <v>10</v>
      </c>
      <c r="R78" s="9">
        <f t="shared" si="19"/>
        <v>4</v>
      </c>
      <c r="S78" s="14" cm="1">
        <f t="array" ref="S78">INDEX('Recipient-ConceptMap-1'!$I$15:$N$270,Q78+1,R78)</f>
        <v>0</v>
      </c>
    </row>
    <row r="79" spans="16:19" x14ac:dyDescent="0.75">
      <c r="P79" s="9">
        <v>65</v>
      </c>
      <c r="Q79" s="9">
        <f t="shared" si="18"/>
        <v>10</v>
      </c>
      <c r="R79" s="9">
        <f t="shared" si="19"/>
        <v>5</v>
      </c>
      <c r="S79" s="14" cm="1">
        <f t="array" ref="S79">INDEX('Recipient-ConceptMap-1'!$I$15:$N$270,Q79+1,R79)</f>
        <v>0</v>
      </c>
    </row>
    <row r="80" spans="16:19" x14ac:dyDescent="0.75">
      <c r="P80" s="9">
        <v>66</v>
      </c>
      <c r="Q80" s="9">
        <f t="shared" ref="Q80" si="20">IF(MOD(P80,$Q$8)=0,P80/$Q$8-1,INT(P80/$Q$8))</f>
        <v>10</v>
      </c>
      <c r="R80" s="9">
        <f t="shared" ref="R80" si="21">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22">IF(MOD(P121,$Q$8)=0,P121/$Q$8-1,INT(P121/$Q$8))</f>
        <v>17</v>
      </c>
      <c r="R121" s="9">
        <f t="shared" ref="R121:R184" si="23">IF(MOD(P121,$Q$8)=0,$Q$8,MOD(P121,$Q$8))</f>
        <v>5</v>
      </c>
      <c r="S121" s="14" cm="1">
        <f t="array" ref="S121">INDEX('Recipient-ConceptMap-1'!$I$15:$N$270,Q121+1,R121)</f>
        <v>0</v>
      </c>
    </row>
    <row r="122" spans="16:19" x14ac:dyDescent="0.75">
      <c r="P122" s="9">
        <v>108</v>
      </c>
      <c r="Q122" s="9">
        <f t="shared" si="22"/>
        <v>17</v>
      </c>
      <c r="R122" s="9">
        <f t="shared" si="23"/>
        <v>6</v>
      </c>
      <c r="S122" s="14" cm="1">
        <f t="array" ref="S122">INDEX('Recipient-ConceptMap-1'!$I$15:$N$270,Q122+1,R122)</f>
        <v>0</v>
      </c>
    </row>
    <row r="123" spans="16:19" x14ac:dyDescent="0.75">
      <c r="P123" s="9">
        <v>109</v>
      </c>
      <c r="Q123" s="9">
        <f t="shared" si="22"/>
        <v>18</v>
      </c>
      <c r="R123" s="9">
        <f t="shared" si="23"/>
        <v>1</v>
      </c>
      <c r="S123" s="14" cm="1">
        <f t="array" ref="S123">INDEX('Recipient-ConceptMap-1'!$I$15:$N$270,Q123+1,R123)</f>
        <v>0</v>
      </c>
    </row>
    <row r="124" spans="16:19" x14ac:dyDescent="0.75">
      <c r="P124" s="9">
        <v>110</v>
      </c>
      <c r="Q124" s="9">
        <f t="shared" si="22"/>
        <v>18</v>
      </c>
      <c r="R124" s="9">
        <f t="shared" si="23"/>
        <v>2</v>
      </c>
      <c r="S124" s="14" cm="1">
        <f t="array" ref="S124">INDEX('Recipient-ConceptMap-1'!$I$15:$N$270,Q124+1,R124)</f>
        <v>0</v>
      </c>
    </row>
    <row r="125" spans="16:19" x14ac:dyDescent="0.75">
      <c r="P125" s="9">
        <v>111</v>
      </c>
      <c r="Q125" s="9">
        <f t="shared" si="22"/>
        <v>18</v>
      </c>
      <c r="R125" s="9">
        <f t="shared" si="23"/>
        <v>3</v>
      </c>
      <c r="S125" s="14" cm="1">
        <f t="array" ref="S125">INDEX('Recipient-ConceptMap-1'!$I$15:$N$270,Q125+1,R125)</f>
        <v>0</v>
      </c>
    </row>
    <row r="126" spans="16:19" x14ac:dyDescent="0.75">
      <c r="P126" s="9">
        <v>112</v>
      </c>
      <c r="Q126" s="9">
        <f t="shared" si="22"/>
        <v>18</v>
      </c>
      <c r="R126" s="9">
        <f t="shared" si="23"/>
        <v>4</v>
      </c>
      <c r="S126" s="14" cm="1">
        <f t="array" ref="S126">INDEX('Recipient-ConceptMap-1'!$I$15:$N$270,Q126+1,R126)</f>
        <v>0</v>
      </c>
    </row>
    <row r="127" spans="16:19" x14ac:dyDescent="0.75">
      <c r="P127" s="9">
        <v>113</v>
      </c>
      <c r="Q127" s="9">
        <f t="shared" si="22"/>
        <v>18</v>
      </c>
      <c r="R127" s="9">
        <f t="shared" si="23"/>
        <v>5</v>
      </c>
      <c r="S127" s="14" cm="1">
        <f t="array" ref="S127">INDEX('Recipient-ConceptMap-1'!$I$15:$N$270,Q127+1,R127)</f>
        <v>0</v>
      </c>
    </row>
    <row r="128" spans="16:19" x14ac:dyDescent="0.75">
      <c r="P128" s="9">
        <v>114</v>
      </c>
      <c r="Q128" s="9">
        <f t="shared" si="22"/>
        <v>18</v>
      </c>
      <c r="R128" s="9">
        <f t="shared" si="23"/>
        <v>6</v>
      </c>
      <c r="S128" s="14" cm="1">
        <f t="array" ref="S128">INDEX('Recipient-ConceptMap-1'!$I$15:$N$270,Q128+1,R128)</f>
        <v>0</v>
      </c>
    </row>
    <row r="129" spans="16:19" x14ac:dyDescent="0.75">
      <c r="P129" s="9">
        <v>115</v>
      </c>
      <c r="Q129" s="9">
        <f t="shared" si="22"/>
        <v>19</v>
      </c>
      <c r="R129" s="9">
        <f t="shared" si="23"/>
        <v>1</v>
      </c>
      <c r="S129" s="14" cm="1">
        <f t="array" ref="S129">INDEX('Recipient-ConceptMap-1'!$I$15:$N$270,Q129+1,R129)</f>
        <v>0</v>
      </c>
    </row>
    <row r="130" spans="16:19" x14ac:dyDescent="0.75">
      <c r="P130" s="9">
        <v>116</v>
      </c>
      <c r="Q130" s="9">
        <f t="shared" si="22"/>
        <v>19</v>
      </c>
      <c r="R130" s="9">
        <f t="shared" si="23"/>
        <v>2</v>
      </c>
      <c r="S130" s="14" cm="1">
        <f t="array" ref="S130">INDEX('Recipient-ConceptMap-1'!$I$15:$N$270,Q130+1,R130)</f>
        <v>0</v>
      </c>
    </row>
    <row r="131" spans="16:19" x14ac:dyDescent="0.75">
      <c r="P131" s="9">
        <v>117</v>
      </c>
      <c r="Q131" s="9">
        <f t="shared" si="22"/>
        <v>19</v>
      </c>
      <c r="R131" s="9">
        <f t="shared" si="23"/>
        <v>3</v>
      </c>
      <c r="S131" s="14" cm="1">
        <f t="array" ref="S131">INDEX('Recipient-ConceptMap-1'!$I$15:$N$270,Q131+1,R131)</f>
        <v>0</v>
      </c>
    </row>
    <row r="132" spans="16:19" x14ac:dyDescent="0.75">
      <c r="P132" s="9">
        <v>118</v>
      </c>
      <c r="Q132" s="9">
        <f t="shared" si="22"/>
        <v>19</v>
      </c>
      <c r="R132" s="9">
        <f t="shared" si="23"/>
        <v>4</v>
      </c>
      <c r="S132" s="14" cm="1">
        <f t="array" ref="S132">INDEX('Recipient-ConceptMap-1'!$I$15:$N$270,Q132+1,R132)</f>
        <v>0</v>
      </c>
    </row>
    <row r="133" spans="16:19" x14ac:dyDescent="0.75">
      <c r="P133" s="9">
        <v>119</v>
      </c>
      <c r="Q133" s="9">
        <f t="shared" si="22"/>
        <v>19</v>
      </c>
      <c r="R133" s="9">
        <f t="shared" si="23"/>
        <v>5</v>
      </c>
      <c r="S133" s="14" cm="1">
        <f t="array" ref="S133">INDEX('Recipient-ConceptMap-1'!$I$15:$N$270,Q133+1,R133)</f>
        <v>0</v>
      </c>
    </row>
    <row r="134" spans="16:19" x14ac:dyDescent="0.75">
      <c r="P134" s="9">
        <v>120</v>
      </c>
      <c r="Q134" s="9">
        <f t="shared" si="22"/>
        <v>19</v>
      </c>
      <c r="R134" s="9">
        <f t="shared" si="23"/>
        <v>6</v>
      </c>
      <c r="S134" s="14" cm="1">
        <f t="array" ref="S134">INDEX('Recipient-ConceptMap-1'!$I$15:$N$270,Q134+1,R134)</f>
        <v>0</v>
      </c>
    </row>
    <row r="135" spans="16:19" x14ac:dyDescent="0.75">
      <c r="P135" s="9">
        <v>121</v>
      </c>
      <c r="Q135" s="9">
        <f t="shared" si="22"/>
        <v>20</v>
      </c>
      <c r="R135" s="9">
        <f t="shared" si="23"/>
        <v>1</v>
      </c>
      <c r="S135" s="14" cm="1">
        <f t="array" ref="S135">INDEX('Recipient-ConceptMap-1'!$I$15:$N$270,Q135+1,R135)</f>
        <v>0</v>
      </c>
    </row>
    <row r="136" spans="16:19" x14ac:dyDescent="0.75">
      <c r="P136" s="9">
        <v>122</v>
      </c>
      <c r="Q136" s="9">
        <f t="shared" si="22"/>
        <v>20</v>
      </c>
      <c r="R136" s="9">
        <f t="shared" si="23"/>
        <v>2</v>
      </c>
      <c r="S136" s="14" cm="1">
        <f t="array" ref="S136">INDEX('Recipient-ConceptMap-1'!$I$15:$N$270,Q136+1,R136)</f>
        <v>0</v>
      </c>
    </row>
    <row r="137" spans="16:19" x14ac:dyDescent="0.75">
      <c r="P137" s="9">
        <v>123</v>
      </c>
      <c r="Q137" s="9">
        <f t="shared" si="22"/>
        <v>20</v>
      </c>
      <c r="R137" s="9">
        <f t="shared" si="23"/>
        <v>3</v>
      </c>
      <c r="S137" s="14" cm="1">
        <f t="array" ref="S137">INDEX('Recipient-ConceptMap-1'!$I$15:$N$270,Q137+1,R137)</f>
        <v>0</v>
      </c>
    </row>
    <row r="138" spans="16:19" x14ac:dyDescent="0.75">
      <c r="P138" s="9">
        <v>124</v>
      </c>
      <c r="Q138" s="9">
        <f t="shared" si="22"/>
        <v>20</v>
      </c>
      <c r="R138" s="9">
        <f t="shared" si="23"/>
        <v>4</v>
      </c>
      <c r="S138" s="14" cm="1">
        <f t="array" ref="S138">INDEX('Recipient-ConceptMap-1'!$I$15:$N$270,Q138+1,R138)</f>
        <v>0</v>
      </c>
    </row>
    <row r="139" spans="16:19" x14ac:dyDescent="0.75">
      <c r="P139" s="9">
        <v>125</v>
      </c>
      <c r="Q139" s="9">
        <f t="shared" si="22"/>
        <v>20</v>
      </c>
      <c r="R139" s="9">
        <f t="shared" si="23"/>
        <v>5</v>
      </c>
      <c r="S139" s="14" cm="1">
        <f t="array" ref="S139">INDEX('Recipient-ConceptMap-1'!$I$15:$N$270,Q139+1,R139)</f>
        <v>0</v>
      </c>
    </row>
    <row r="140" spans="16:19" x14ac:dyDescent="0.75">
      <c r="P140" s="9">
        <v>126</v>
      </c>
      <c r="Q140" s="9">
        <f t="shared" si="22"/>
        <v>20</v>
      </c>
      <c r="R140" s="9">
        <f t="shared" si="23"/>
        <v>6</v>
      </c>
      <c r="S140" s="14" cm="1">
        <f t="array" ref="S140">INDEX('Recipient-ConceptMap-1'!$I$15:$N$270,Q140+1,R140)</f>
        <v>0</v>
      </c>
    </row>
    <row r="141" spans="16:19" x14ac:dyDescent="0.75">
      <c r="P141" s="9">
        <v>127</v>
      </c>
      <c r="Q141" s="9">
        <f t="shared" si="22"/>
        <v>21</v>
      </c>
      <c r="R141" s="9">
        <f t="shared" si="23"/>
        <v>1</v>
      </c>
      <c r="S141" s="14" cm="1">
        <f t="array" ref="S141">INDEX('Recipient-ConceptMap-1'!$I$15:$N$270,Q141+1,R141)</f>
        <v>0</v>
      </c>
    </row>
    <row r="142" spans="16:19" x14ac:dyDescent="0.75">
      <c r="P142" s="9">
        <v>128</v>
      </c>
      <c r="Q142" s="9">
        <f t="shared" si="22"/>
        <v>21</v>
      </c>
      <c r="R142" s="9">
        <f t="shared" si="23"/>
        <v>2</v>
      </c>
      <c r="S142" s="14" cm="1">
        <f t="array" ref="S142">INDEX('Recipient-ConceptMap-1'!$I$15:$N$270,Q142+1,R142)</f>
        <v>0</v>
      </c>
    </row>
    <row r="143" spans="16:19" x14ac:dyDescent="0.75">
      <c r="P143" s="9">
        <v>129</v>
      </c>
      <c r="Q143" s="9">
        <f t="shared" si="22"/>
        <v>21</v>
      </c>
      <c r="R143" s="9">
        <f t="shared" si="23"/>
        <v>3</v>
      </c>
      <c r="S143" s="14" cm="1">
        <f t="array" ref="S143">INDEX('Recipient-ConceptMap-1'!$I$15:$N$270,Q143+1,R143)</f>
        <v>0</v>
      </c>
    </row>
    <row r="144" spans="16:19" x14ac:dyDescent="0.75">
      <c r="P144" s="9">
        <v>130</v>
      </c>
      <c r="Q144" s="9">
        <f t="shared" si="22"/>
        <v>21</v>
      </c>
      <c r="R144" s="9">
        <f t="shared" si="23"/>
        <v>4</v>
      </c>
      <c r="S144" s="14" cm="1">
        <f t="array" ref="S144">INDEX('Recipient-ConceptMap-1'!$I$15:$N$270,Q144+1,R144)</f>
        <v>0</v>
      </c>
    </row>
    <row r="145" spans="16:19" x14ac:dyDescent="0.75">
      <c r="P145" s="9">
        <v>131</v>
      </c>
      <c r="Q145" s="9">
        <f t="shared" si="22"/>
        <v>21</v>
      </c>
      <c r="R145" s="9">
        <f t="shared" si="23"/>
        <v>5</v>
      </c>
      <c r="S145" s="14" cm="1">
        <f t="array" ref="S145">INDEX('Recipient-ConceptMap-1'!$I$15:$N$270,Q145+1,R145)</f>
        <v>0</v>
      </c>
    </row>
    <row r="146" spans="16:19" x14ac:dyDescent="0.75">
      <c r="P146" s="9">
        <v>132</v>
      </c>
      <c r="Q146" s="9">
        <f t="shared" si="22"/>
        <v>21</v>
      </c>
      <c r="R146" s="9">
        <f t="shared" si="23"/>
        <v>6</v>
      </c>
      <c r="S146" s="14" cm="1">
        <f t="array" ref="S146">INDEX('Recipient-ConceptMap-1'!$I$15:$N$270,Q146+1,R146)</f>
        <v>0</v>
      </c>
    </row>
    <row r="147" spans="16:19" x14ac:dyDescent="0.75">
      <c r="P147" s="9">
        <v>133</v>
      </c>
      <c r="Q147" s="9">
        <f t="shared" si="22"/>
        <v>22</v>
      </c>
      <c r="R147" s="9">
        <f t="shared" si="23"/>
        <v>1</v>
      </c>
      <c r="S147" s="14" cm="1">
        <f t="array" ref="S147">INDEX('Recipient-ConceptMap-1'!$I$15:$N$270,Q147+1,R147)</f>
        <v>0</v>
      </c>
    </row>
    <row r="148" spans="16:19" x14ac:dyDescent="0.75">
      <c r="P148" s="9">
        <v>134</v>
      </c>
      <c r="Q148" s="9">
        <f t="shared" si="22"/>
        <v>22</v>
      </c>
      <c r="R148" s="9">
        <f t="shared" si="23"/>
        <v>2</v>
      </c>
      <c r="S148" s="14" cm="1">
        <f t="array" ref="S148">INDEX('Recipient-ConceptMap-1'!$I$15:$N$270,Q148+1,R148)</f>
        <v>0</v>
      </c>
    </row>
    <row r="149" spans="16:19" x14ac:dyDescent="0.75">
      <c r="P149" s="9">
        <v>135</v>
      </c>
      <c r="Q149" s="9">
        <f t="shared" si="22"/>
        <v>22</v>
      </c>
      <c r="R149" s="9">
        <f t="shared" si="23"/>
        <v>3</v>
      </c>
      <c r="S149" s="14" cm="1">
        <f t="array" ref="S149">INDEX('Recipient-ConceptMap-1'!$I$15:$N$270,Q149+1,R149)</f>
        <v>0</v>
      </c>
    </row>
    <row r="150" spans="16:19" x14ac:dyDescent="0.75">
      <c r="P150" s="9">
        <v>136</v>
      </c>
      <c r="Q150" s="9">
        <f t="shared" si="22"/>
        <v>22</v>
      </c>
      <c r="R150" s="9">
        <f t="shared" si="23"/>
        <v>4</v>
      </c>
      <c r="S150" s="14" cm="1">
        <f t="array" ref="S150">INDEX('Recipient-ConceptMap-1'!$I$15:$N$270,Q150+1,R150)</f>
        <v>0</v>
      </c>
    </row>
    <row r="151" spans="16:19" x14ac:dyDescent="0.75">
      <c r="P151" s="9">
        <v>137</v>
      </c>
      <c r="Q151" s="9">
        <f t="shared" si="22"/>
        <v>22</v>
      </c>
      <c r="R151" s="9">
        <f t="shared" si="23"/>
        <v>5</v>
      </c>
      <c r="S151" s="14" cm="1">
        <f t="array" ref="S151">INDEX('Recipient-ConceptMap-1'!$I$15:$N$270,Q151+1,R151)</f>
        <v>0</v>
      </c>
    </row>
    <row r="152" spans="16:19" x14ac:dyDescent="0.75">
      <c r="P152" s="9">
        <v>138</v>
      </c>
      <c r="Q152" s="9">
        <f t="shared" si="22"/>
        <v>22</v>
      </c>
      <c r="R152" s="9">
        <f t="shared" si="23"/>
        <v>6</v>
      </c>
      <c r="S152" s="14" cm="1">
        <f t="array" ref="S152">INDEX('Recipient-ConceptMap-1'!$I$15:$N$270,Q152+1,R152)</f>
        <v>0</v>
      </c>
    </row>
    <row r="153" spans="16:19" x14ac:dyDescent="0.75">
      <c r="P153" s="9">
        <v>139</v>
      </c>
      <c r="Q153" s="9">
        <f t="shared" si="22"/>
        <v>23</v>
      </c>
      <c r="R153" s="9">
        <f t="shared" si="23"/>
        <v>1</v>
      </c>
      <c r="S153" s="14" cm="1">
        <f t="array" ref="S153">INDEX('Recipient-ConceptMap-1'!$I$15:$N$270,Q153+1,R153)</f>
        <v>0</v>
      </c>
    </row>
    <row r="154" spans="16:19" x14ac:dyDescent="0.75">
      <c r="P154" s="9">
        <v>140</v>
      </c>
      <c r="Q154" s="9">
        <f t="shared" si="22"/>
        <v>23</v>
      </c>
      <c r="R154" s="9">
        <f t="shared" si="23"/>
        <v>2</v>
      </c>
      <c r="S154" s="14" cm="1">
        <f t="array" ref="S154">INDEX('Recipient-ConceptMap-1'!$I$15:$N$270,Q154+1,R154)</f>
        <v>0</v>
      </c>
    </row>
    <row r="155" spans="16:19" x14ac:dyDescent="0.75">
      <c r="P155" s="9">
        <v>141</v>
      </c>
      <c r="Q155" s="9">
        <f t="shared" si="22"/>
        <v>23</v>
      </c>
      <c r="R155" s="9">
        <f t="shared" si="23"/>
        <v>3</v>
      </c>
      <c r="S155" s="14" cm="1">
        <f t="array" ref="S155">INDEX('Recipient-ConceptMap-1'!$I$15:$N$270,Q155+1,R155)</f>
        <v>0</v>
      </c>
    </row>
    <row r="156" spans="16:19" x14ac:dyDescent="0.75">
      <c r="P156" s="9">
        <v>142</v>
      </c>
      <c r="Q156" s="9">
        <f t="shared" si="22"/>
        <v>23</v>
      </c>
      <c r="R156" s="9">
        <f t="shared" si="23"/>
        <v>4</v>
      </c>
      <c r="S156" s="14" cm="1">
        <f t="array" ref="S156">INDEX('Recipient-ConceptMap-1'!$I$15:$N$270,Q156+1,R156)</f>
        <v>0</v>
      </c>
    </row>
    <row r="157" spans="16:19" x14ac:dyDescent="0.75">
      <c r="P157" s="9">
        <v>143</v>
      </c>
      <c r="Q157" s="9">
        <f t="shared" si="22"/>
        <v>23</v>
      </c>
      <c r="R157" s="9">
        <f t="shared" si="23"/>
        <v>5</v>
      </c>
      <c r="S157" s="14" cm="1">
        <f t="array" ref="S157">INDEX('Recipient-ConceptMap-1'!$I$15:$N$270,Q157+1,R157)</f>
        <v>0</v>
      </c>
    </row>
    <row r="158" spans="16:19" x14ac:dyDescent="0.75">
      <c r="P158" s="9">
        <v>144</v>
      </c>
      <c r="Q158" s="9">
        <f t="shared" si="22"/>
        <v>23</v>
      </c>
      <c r="R158" s="9">
        <f t="shared" si="23"/>
        <v>6</v>
      </c>
      <c r="S158" s="14" cm="1">
        <f t="array" ref="S158">INDEX('Recipient-ConceptMap-1'!$I$15:$N$270,Q158+1,R158)</f>
        <v>0</v>
      </c>
    </row>
    <row r="159" spans="16:19" x14ac:dyDescent="0.75">
      <c r="P159" s="9">
        <v>145</v>
      </c>
      <c r="Q159" s="9">
        <f t="shared" si="22"/>
        <v>24</v>
      </c>
      <c r="R159" s="9">
        <f t="shared" si="23"/>
        <v>1</v>
      </c>
      <c r="S159" s="14" cm="1">
        <f t="array" ref="S159">INDEX('Recipient-ConceptMap-1'!$I$15:$N$270,Q159+1,R159)</f>
        <v>0</v>
      </c>
    </row>
    <row r="160" spans="16:19" x14ac:dyDescent="0.75">
      <c r="P160" s="9">
        <v>146</v>
      </c>
      <c r="Q160" s="9">
        <f t="shared" si="22"/>
        <v>24</v>
      </c>
      <c r="R160" s="9">
        <f t="shared" si="23"/>
        <v>2</v>
      </c>
      <c r="S160" s="14" cm="1">
        <f t="array" ref="S160">INDEX('Recipient-ConceptMap-1'!$I$15:$N$270,Q160+1,R160)</f>
        <v>0</v>
      </c>
    </row>
    <row r="161" spans="16:19" x14ac:dyDescent="0.75">
      <c r="P161" s="9">
        <v>147</v>
      </c>
      <c r="Q161" s="9">
        <f t="shared" si="22"/>
        <v>24</v>
      </c>
      <c r="R161" s="9">
        <f t="shared" si="23"/>
        <v>3</v>
      </c>
      <c r="S161" s="14" cm="1">
        <f t="array" ref="S161">INDEX('Recipient-ConceptMap-1'!$I$15:$N$270,Q161+1,R161)</f>
        <v>0</v>
      </c>
    </row>
    <row r="162" spans="16:19" x14ac:dyDescent="0.75">
      <c r="P162" s="9">
        <v>148</v>
      </c>
      <c r="Q162" s="9">
        <f t="shared" si="22"/>
        <v>24</v>
      </c>
      <c r="R162" s="9">
        <f t="shared" si="23"/>
        <v>4</v>
      </c>
      <c r="S162" s="14" cm="1">
        <f t="array" ref="S162">INDEX('Recipient-ConceptMap-1'!$I$15:$N$270,Q162+1,R162)</f>
        <v>0</v>
      </c>
    </row>
    <row r="163" spans="16:19" x14ac:dyDescent="0.75">
      <c r="P163" s="9">
        <v>149</v>
      </c>
      <c r="Q163" s="9">
        <f t="shared" si="22"/>
        <v>24</v>
      </c>
      <c r="R163" s="9">
        <f t="shared" si="23"/>
        <v>5</v>
      </c>
      <c r="S163" s="14" cm="1">
        <f t="array" ref="S163">INDEX('Recipient-ConceptMap-1'!$I$15:$N$270,Q163+1,R163)</f>
        <v>0</v>
      </c>
    </row>
    <row r="164" spans="16:19" x14ac:dyDescent="0.75">
      <c r="P164" s="9">
        <v>150</v>
      </c>
      <c r="Q164" s="9">
        <f t="shared" si="22"/>
        <v>24</v>
      </c>
      <c r="R164" s="9">
        <f t="shared" si="23"/>
        <v>6</v>
      </c>
      <c r="S164" s="14" cm="1">
        <f t="array" ref="S164">INDEX('Recipient-ConceptMap-1'!$I$15:$N$270,Q164+1,R164)</f>
        <v>0</v>
      </c>
    </row>
    <row r="165" spans="16:19" x14ac:dyDescent="0.75">
      <c r="P165" s="9">
        <v>151</v>
      </c>
      <c r="Q165" s="9">
        <f t="shared" si="22"/>
        <v>25</v>
      </c>
      <c r="R165" s="9">
        <f t="shared" si="23"/>
        <v>1</v>
      </c>
      <c r="S165" s="14" cm="1">
        <f t="array" ref="S165">INDEX('Recipient-ConceptMap-1'!$I$15:$N$270,Q165+1,R165)</f>
        <v>0</v>
      </c>
    </row>
    <row r="166" spans="16:19" x14ac:dyDescent="0.75">
      <c r="P166" s="9">
        <v>152</v>
      </c>
      <c r="Q166" s="9">
        <f t="shared" si="22"/>
        <v>25</v>
      </c>
      <c r="R166" s="9">
        <f t="shared" si="23"/>
        <v>2</v>
      </c>
      <c r="S166" s="14" cm="1">
        <f t="array" ref="S166">INDEX('Recipient-ConceptMap-1'!$I$15:$N$270,Q166+1,R166)</f>
        <v>0</v>
      </c>
    </row>
    <row r="167" spans="16:19" x14ac:dyDescent="0.75">
      <c r="P167" s="9">
        <v>153</v>
      </c>
      <c r="Q167" s="9">
        <f t="shared" si="22"/>
        <v>25</v>
      </c>
      <c r="R167" s="9">
        <f t="shared" si="23"/>
        <v>3</v>
      </c>
      <c r="S167" s="14" cm="1">
        <f t="array" ref="S167">INDEX('Recipient-ConceptMap-1'!$I$15:$N$270,Q167+1,R167)</f>
        <v>0</v>
      </c>
    </row>
    <row r="168" spans="16:19" x14ac:dyDescent="0.75">
      <c r="P168" s="9">
        <v>154</v>
      </c>
      <c r="Q168" s="9">
        <f t="shared" si="22"/>
        <v>25</v>
      </c>
      <c r="R168" s="9">
        <f t="shared" si="23"/>
        <v>4</v>
      </c>
      <c r="S168" s="14" cm="1">
        <f t="array" ref="S168">INDEX('Recipient-ConceptMap-1'!$I$15:$N$270,Q168+1,R168)</f>
        <v>0</v>
      </c>
    </row>
    <row r="169" spans="16:19" x14ac:dyDescent="0.75">
      <c r="P169" s="9">
        <v>155</v>
      </c>
      <c r="Q169" s="9">
        <f t="shared" si="22"/>
        <v>25</v>
      </c>
      <c r="R169" s="9">
        <f t="shared" si="23"/>
        <v>5</v>
      </c>
      <c r="S169" s="14" cm="1">
        <f t="array" ref="S169">INDEX('Recipient-ConceptMap-1'!$I$15:$N$270,Q169+1,R169)</f>
        <v>0</v>
      </c>
    </row>
    <row r="170" spans="16:19" x14ac:dyDescent="0.75">
      <c r="P170" s="9">
        <v>156</v>
      </c>
      <c r="Q170" s="9">
        <f t="shared" si="22"/>
        <v>25</v>
      </c>
      <c r="R170" s="9">
        <f t="shared" si="23"/>
        <v>6</v>
      </c>
      <c r="S170" s="14" cm="1">
        <f t="array" ref="S170">INDEX('Recipient-ConceptMap-1'!$I$15:$N$270,Q170+1,R170)</f>
        <v>0</v>
      </c>
    </row>
    <row r="171" spans="16:19" x14ac:dyDescent="0.75">
      <c r="P171" s="9">
        <v>157</v>
      </c>
      <c r="Q171" s="9">
        <f t="shared" si="22"/>
        <v>26</v>
      </c>
      <c r="R171" s="9">
        <f t="shared" si="23"/>
        <v>1</v>
      </c>
      <c r="S171" s="14" cm="1">
        <f t="array" ref="S171">INDEX('Recipient-ConceptMap-1'!$I$15:$N$270,Q171+1,R171)</f>
        <v>0</v>
      </c>
    </row>
    <row r="172" spans="16:19" x14ac:dyDescent="0.75">
      <c r="P172" s="9">
        <v>158</v>
      </c>
      <c r="Q172" s="9">
        <f t="shared" si="22"/>
        <v>26</v>
      </c>
      <c r="R172" s="9">
        <f t="shared" si="23"/>
        <v>2</v>
      </c>
      <c r="S172" s="14" cm="1">
        <f t="array" ref="S172">INDEX('Recipient-ConceptMap-1'!$I$15:$N$270,Q172+1,R172)</f>
        <v>0</v>
      </c>
    </row>
    <row r="173" spans="16:19" x14ac:dyDescent="0.75">
      <c r="P173" s="9">
        <v>159</v>
      </c>
      <c r="Q173" s="9">
        <f t="shared" si="22"/>
        <v>26</v>
      </c>
      <c r="R173" s="9">
        <f t="shared" si="23"/>
        <v>3</v>
      </c>
      <c r="S173" s="14" cm="1">
        <f t="array" ref="S173">INDEX('Recipient-ConceptMap-1'!$I$15:$N$270,Q173+1,R173)</f>
        <v>0</v>
      </c>
    </row>
    <row r="174" spans="16:19" x14ac:dyDescent="0.75">
      <c r="P174" s="9">
        <v>160</v>
      </c>
      <c r="Q174" s="9">
        <f t="shared" si="22"/>
        <v>26</v>
      </c>
      <c r="R174" s="9">
        <f t="shared" si="23"/>
        <v>4</v>
      </c>
      <c r="S174" s="14" cm="1">
        <f t="array" ref="S174">INDEX('Recipient-ConceptMap-1'!$I$15:$N$270,Q174+1,R174)</f>
        <v>0</v>
      </c>
    </row>
    <row r="175" spans="16:19" x14ac:dyDescent="0.75">
      <c r="P175" s="9">
        <v>161</v>
      </c>
      <c r="Q175" s="9">
        <f t="shared" si="22"/>
        <v>26</v>
      </c>
      <c r="R175" s="9">
        <f t="shared" si="23"/>
        <v>5</v>
      </c>
      <c r="S175" s="14" cm="1">
        <f t="array" ref="S175">INDEX('Recipient-ConceptMap-1'!$I$15:$N$270,Q175+1,R175)</f>
        <v>0</v>
      </c>
    </row>
    <row r="176" spans="16:19" x14ac:dyDescent="0.75">
      <c r="P176" s="9">
        <v>162</v>
      </c>
      <c r="Q176" s="9">
        <f t="shared" si="22"/>
        <v>26</v>
      </c>
      <c r="R176" s="9">
        <f t="shared" si="23"/>
        <v>6</v>
      </c>
      <c r="S176" s="14" cm="1">
        <f t="array" ref="S176">INDEX('Recipient-ConceptMap-1'!$I$15:$N$270,Q176+1,R176)</f>
        <v>0</v>
      </c>
    </row>
    <row r="177" spans="16:19" x14ac:dyDescent="0.75">
      <c r="P177" s="9">
        <v>163</v>
      </c>
      <c r="Q177" s="9">
        <f t="shared" si="22"/>
        <v>27</v>
      </c>
      <c r="R177" s="9">
        <f t="shared" si="23"/>
        <v>1</v>
      </c>
      <c r="S177" s="14" cm="1">
        <f t="array" ref="S177">INDEX('Recipient-ConceptMap-1'!$I$15:$N$270,Q177+1,R177)</f>
        <v>0</v>
      </c>
    </row>
    <row r="178" spans="16:19" x14ac:dyDescent="0.75">
      <c r="P178" s="9">
        <v>164</v>
      </c>
      <c r="Q178" s="9">
        <f t="shared" si="22"/>
        <v>27</v>
      </c>
      <c r="R178" s="9">
        <f t="shared" si="23"/>
        <v>2</v>
      </c>
      <c r="S178" s="14" cm="1">
        <f t="array" ref="S178">INDEX('Recipient-ConceptMap-1'!$I$15:$N$270,Q178+1,R178)</f>
        <v>0</v>
      </c>
    </row>
    <row r="179" spans="16:19" x14ac:dyDescent="0.75">
      <c r="P179" s="9">
        <v>165</v>
      </c>
      <c r="Q179" s="9">
        <f t="shared" si="22"/>
        <v>27</v>
      </c>
      <c r="R179" s="9">
        <f t="shared" si="23"/>
        <v>3</v>
      </c>
      <c r="S179" s="14" cm="1">
        <f t="array" ref="S179">INDEX('Recipient-ConceptMap-1'!$I$15:$N$270,Q179+1,R179)</f>
        <v>0</v>
      </c>
    </row>
    <row r="180" spans="16:19" x14ac:dyDescent="0.75">
      <c r="P180" s="9">
        <v>166</v>
      </c>
      <c r="Q180" s="9">
        <f t="shared" si="22"/>
        <v>27</v>
      </c>
      <c r="R180" s="9">
        <f t="shared" si="23"/>
        <v>4</v>
      </c>
      <c r="S180" s="14" cm="1">
        <f t="array" ref="S180">INDEX('Recipient-ConceptMap-1'!$I$15:$N$270,Q180+1,R180)</f>
        <v>0</v>
      </c>
    </row>
    <row r="181" spans="16:19" x14ac:dyDescent="0.75">
      <c r="P181" s="9">
        <v>167</v>
      </c>
      <c r="Q181" s="9">
        <f t="shared" si="22"/>
        <v>27</v>
      </c>
      <c r="R181" s="9">
        <f t="shared" si="23"/>
        <v>5</v>
      </c>
      <c r="S181" s="14" cm="1">
        <f t="array" ref="S181">INDEX('Recipient-ConceptMap-1'!$I$15:$N$270,Q181+1,R181)</f>
        <v>0</v>
      </c>
    </row>
    <row r="182" spans="16:19" x14ac:dyDescent="0.75">
      <c r="P182" s="9">
        <v>168</v>
      </c>
      <c r="Q182" s="9">
        <f t="shared" si="22"/>
        <v>27</v>
      </c>
      <c r="R182" s="9">
        <f t="shared" si="23"/>
        <v>6</v>
      </c>
      <c r="S182" s="14" cm="1">
        <f t="array" ref="S182">INDEX('Recipient-ConceptMap-1'!$I$15:$N$270,Q182+1,R182)</f>
        <v>0</v>
      </c>
    </row>
    <row r="183" spans="16:19" x14ac:dyDescent="0.75">
      <c r="P183" s="9">
        <v>169</v>
      </c>
      <c r="Q183" s="9">
        <f t="shared" si="22"/>
        <v>28</v>
      </c>
      <c r="R183" s="9">
        <f t="shared" si="23"/>
        <v>1</v>
      </c>
      <c r="S183" s="14" cm="1">
        <f t="array" ref="S183">INDEX('Recipient-ConceptMap-1'!$I$15:$N$270,Q183+1,R183)</f>
        <v>0</v>
      </c>
    </row>
    <row r="184" spans="16:19" x14ac:dyDescent="0.75">
      <c r="P184" s="9">
        <v>170</v>
      </c>
      <c r="Q184" s="9">
        <f t="shared" si="22"/>
        <v>28</v>
      </c>
      <c r="R184" s="9">
        <f t="shared" si="23"/>
        <v>2</v>
      </c>
      <c r="S184" s="14" cm="1">
        <f t="array" ref="S184">INDEX('Recipient-ConceptMap-1'!$I$15:$N$270,Q184+1,R184)</f>
        <v>0</v>
      </c>
    </row>
    <row r="185" spans="16:19" x14ac:dyDescent="0.75">
      <c r="P185" s="9">
        <v>171</v>
      </c>
      <c r="Q185" s="9">
        <f t="shared" ref="Q185:Q190" si="24">IF(MOD(P185,$Q$8)=0,P185/$Q$8-1,INT(P185/$Q$8))</f>
        <v>28</v>
      </c>
      <c r="R185" s="9">
        <f t="shared" ref="R185:R190" si="25">IF(MOD(P185,$Q$8)=0,$Q$8,MOD(P185,$Q$8))</f>
        <v>3</v>
      </c>
      <c r="S185" s="14" cm="1">
        <f t="array" ref="S185">INDEX('Recipient-ConceptMap-1'!$I$15:$N$270,Q185+1,R185)</f>
        <v>0</v>
      </c>
    </row>
    <row r="186" spans="16:19" x14ac:dyDescent="0.75">
      <c r="P186" s="9">
        <v>172</v>
      </c>
      <c r="Q186" s="9">
        <f t="shared" si="24"/>
        <v>28</v>
      </c>
      <c r="R186" s="9">
        <f t="shared" si="25"/>
        <v>4</v>
      </c>
      <c r="S186" s="14" cm="1">
        <f t="array" ref="S186">INDEX('Recipient-ConceptMap-1'!$I$15:$N$270,Q186+1,R186)</f>
        <v>0</v>
      </c>
    </row>
    <row r="187" spans="16:19" x14ac:dyDescent="0.75">
      <c r="P187" s="9">
        <v>173</v>
      </c>
      <c r="Q187" s="9">
        <f t="shared" si="24"/>
        <v>28</v>
      </c>
      <c r="R187" s="9">
        <f t="shared" si="25"/>
        <v>5</v>
      </c>
      <c r="S187" s="14" cm="1">
        <f t="array" ref="S187">INDEX('Recipient-ConceptMap-1'!$I$15:$N$270,Q187+1,R187)</f>
        <v>0</v>
      </c>
    </row>
    <row r="188" spans="16:19" x14ac:dyDescent="0.75">
      <c r="P188" s="9">
        <v>174</v>
      </c>
      <c r="Q188" s="9">
        <f t="shared" si="24"/>
        <v>28</v>
      </c>
      <c r="R188" s="9">
        <f t="shared" si="25"/>
        <v>6</v>
      </c>
      <c r="S188" s="14" cm="1">
        <f t="array" ref="S188">INDEX('Recipient-ConceptMap-1'!$I$15:$N$270,Q188+1,R188)</f>
        <v>0</v>
      </c>
    </row>
    <row r="189" spans="16:19" x14ac:dyDescent="0.75">
      <c r="P189" s="9">
        <v>175</v>
      </c>
      <c r="Q189" s="9">
        <f t="shared" si="24"/>
        <v>29</v>
      </c>
      <c r="R189" s="9">
        <f t="shared" si="25"/>
        <v>1</v>
      </c>
      <c r="S189" s="14" cm="1">
        <f t="array" ref="S189">INDEX('Recipient-ConceptMap-1'!$I$15:$N$270,Q189+1,R189)</f>
        <v>0</v>
      </c>
    </row>
    <row r="190" spans="16:19" x14ac:dyDescent="0.75">
      <c r="P190" s="9">
        <v>176</v>
      </c>
      <c r="Q190" s="9">
        <f t="shared" si="24"/>
        <v>29</v>
      </c>
      <c r="R190" s="9">
        <f t="shared" si="25"/>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705</v>
      </c>
    </row>
    <row r="3" spans="2:7" x14ac:dyDescent="0.75">
      <c r="B3" s="33" t="s">
        <v>37</v>
      </c>
    </row>
    <row r="4" spans="2:7" x14ac:dyDescent="0.75">
      <c r="B4" s="77" t="str">
        <f>"Instance: "&amp;'Recipient-ConceptMap-1'!C4</f>
        <v>Instance: recipient2FHIR-eu-lab</v>
      </c>
    </row>
    <row r="5" spans="2:7" x14ac:dyDescent="0.75">
      <c r="B5" s="77" t="s">
        <v>641</v>
      </c>
    </row>
    <row r="6" spans="2:7" x14ac:dyDescent="0.75">
      <c r="B6" s="77" t="s">
        <v>642</v>
      </c>
    </row>
    <row r="7" spans="2:7" x14ac:dyDescent="0.75">
      <c r="B7" s="77" t="s">
        <v>652</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643</v>
      </c>
    </row>
    <row r="11" spans="2:7" x14ac:dyDescent="0.75">
      <c r="B11" s="77" t="s">
        <v>644</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#extension:information-recipient.ValueReference.practitioner.address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#relatedto</v>
      </c>
    </row>
    <row r="49" spans="2:2" x14ac:dyDescent="0.75">
      <c r="B49" s="14" t="str">
        <f>IF('Recipient-ConceptMap-1'!S44=0,"//---END",'Recipient-ConceptMap-1'!S44)</f>
        <v>* group[=].element[=].target.comment = ##34#If ValueReference.resolve().ofType(PractionerRole)##34#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#extension:information-recipient.ValueReference.practitioner.country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#relatedto</v>
      </c>
    </row>
    <row r="55" spans="2:2" x14ac:dyDescent="0.75">
      <c r="B55" s="14" t="str">
        <f>IF('Recipient-ConceptMap-1'!S50=0,"//---END",'Recipient-ConceptMap-1'!S50)</f>
        <v>* group[=].element[=].target.comment = ##34#If ValueReference.resolve().ofType(PractionerRole)##34#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#extension:information-recipient.ValueReference.practitioner.telecom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#relatedto</v>
      </c>
    </row>
    <row r="61" spans="2:2" x14ac:dyDescent="0.75">
      <c r="B61" s="14" t="str">
        <f>IF('Recipient-ConceptMap-1'!S56=0,"//---END",'Recipient-ConceptMap-1'!S56)</f>
        <v>* group[=].element[=].target.comment = ##34#If ValueReference.resolve().ofType(PractionerRole)##34#</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944</v>
      </c>
      <c r="I6" s="26" t="str">
        <f>CONCATENATE("Title: ##34#",B6,"##34#")</f>
        <v>Title: ##34#A.1.5 - Author##34#</v>
      </c>
    </row>
    <row r="7" spans="1:11" ht="45" customHeight="1" x14ac:dyDescent="0.75">
      <c r="A7" s="46" t="s">
        <v>5</v>
      </c>
      <c r="B7" s="58" t="s">
        <v>938</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93</v>
      </c>
      <c r="D26" s="109"/>
      <c r="E26" s="109"/>
      <c r="F26" s="110"/>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561</v>
      </c>
      <c r="E9" s="4" t="str">
        <f>CONCATENATE("* -&gt; ##34#",C9,"##34#")</f>
        <v>* -&gt; ##34#Composition.author.resolve()##34#</v>
      </c>
      <c r="H9" s="10"/>
      <c r="I9" s="10"/>
      <c r="J9" s="10"/>
      <c r="K9" s="10"/>
      <c r="L9" s="10"/>
      <c r="M9" s="10"/>
      <c r="N9" s="10"/>
      <c r="O9" s="10"/>
    </row>
    <row r="10" spans="1:15" ht="44.25" x14ac:dyDescent="0.75">
      <c r="A10" s="9"/>
      <c r="B10" s="62" t="str">
        <f>'A1.5 Author'!$B$8</f>
        <v>identifier</v>
      </c>
      <c r="C10" s="9" t="s">
        <v>562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563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564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565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865</v>
      </c>
      <c r="D3" s="73" t="s">
        <v>663</v>
      </c>
      <c r="E3" s="84" t="s">
        <v>710</v>
      </c>
    </row>
    <row r="4" spans="1:19" x14ac:dyDescent="0.75">
      <c r="B4" s="73" t="s">
        <v>19</v>
      </c>
      <c r="C4" s="54" t="s">
        <v>864</v>
      </c>
      <c r="D4" s="73" t="s">
        <v>664</v>
      </c>
      <c r="E4" s="118" t="s">
        <v>857</v>
      </c>
      <c r="F4" s="117"/>
      <c r="G4" s="117"/>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7" t="s">
        <v>662</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4" t="s">
        <v>646</v>
      </c>
      <c r="E14" s="8"/>
      <c r="F14" s="75"/>
      <c r="G14" s="75"/>
      <c r="I14" s="14"/>
      <c r="J14" s="9"/>
      <c r="K14" s="9"/>
      <c r="L14" s="9"/>
      <c r="M14" s="71"/>
      <c r="N14" s="74"/>
    </row>
    <row r="15" spans="1:19" ht="73.75" x14ac:dyDescent="0.75">
      <c r="A15" s="23"/>
      <c r="B15" s="62" t="s">
        <v>666</v>
      </c>
      <c r="C15" s="62" t="s">
        <v>387</v>
      </c>
      <c r="D15" s="14" t="s">
        <v>796</v>
      </c>
      <c r="E15" s="62"/>
      <c r="F15" s="75" t="s">
        <v>638</v>
      </c>
      <c r="G15" s="75" t="s">
        <v>675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816</v>
      </c>
      <c r="E16" s="9"/>
      <c r="F16" s="75" t="s">
        <v>638</v>
      </c>
      <c r="G16" s="75" t="s">
        <v>675</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820</v>
      </c>
      <c r="E17" s="9"/>
      <c r="F17" s="75" t="s">
        <v>638</v>
      </c>
      <c r="G17" s="82" t="s">
        <v>817</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821</v>
      </c>
      <c r="E18" s="9"/>
      <c r="F18" s="75" t="s">
        <v>638</v>
      </c>
      <c r="G18" s="75" t="s">
        <v>818</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822</v>
      </c>
      <c r="E19" s="9"/>
      <c r="F19" s="75" t="s">
        <v>638</v>
      </c>
      <c r="G19" s="75" t="s">
        <v>819</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663</v>
      </c>
      <c r="E3" s="84" t="s">
        <v>710</v>
      </c>
    </row>
    <row r="4" spans="1:19" x14ac:dyDescent="0.75">
      <c r="B4" s="73" t="s">
        <v>19</v>
      </c>
      <c r="C4" s="54" t="s">
        <v>707</v>
      </c>
      <c r="D4" s="73" t="s">
        <v>664</v>
      </c>
      <c r="E4" t="str">
        <f>'Author-ConceptMap-1'!E4</f>
        <v>http://hl7.eu/fhir/laboratory/StructureDefinition/Bundle-eu-lab</v>
      </c>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7" t="s">
        <v>662</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4" t="s">
        <v>646</v>
      </c>
      <c r="E14" s="8"/>
      <c r="F14" s="75"/>
      <c r="G14" s="75"/>
      <c r="I14" s="14"/>
      <c r="J14" s="9"/>
      <c r="K14" s="9"/>
      <c r="L14" s="9"/>
      <c r="M14" s="71"/>
      <c r="N14" s="74"/>
    </row>
    <row r="15" spans="1:19" ht="59" x14ac:dyDescent="0.75">
      <c r="A15" s="23"/>
      <c r="B15" s="62" t="s">
        <v>666</v>
      </c>
      <c r="C15" s="62" t="s">
        <v>387</v>
      </c>
      <c r="D15" s="14" t="s">
        <v>781</v>
      </c>
      <c r="E15" s="62"/>
      <c r="F15" s="75" t="s">
        <v>638</v>
      </c>
      <c r="G15" s="75" t="s">
        <v>715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823</v>
      </c>
      <c r="E16" s="9"/>
      <c r="F16" s="75" t="s">
        <v>638</v>
      </c>
      <c r="G16" s="75" t="s">
        <v>715</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825</v>
      </c>
      <c r="E17" s="9"/>
      <c r="F17" s="75" t="s">
        <v>638</v>
      </c>
      <c r="G17" s="75" t="s">
        <v>824</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827</v>
      </c>
      <c r="E18" s="9"/>
      <c r="F18" s="75" t="s">
        <v>638</v>
      </c>
      <c r="G18" s="75" t="s">
        <v>826</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828</v>
      </c>
      <c r="E19" s="9"/>
      <c r="F19" s="75" t="s">
        <v>638</v>
      </c>
      <c r="G19" s="75" t="s">
        <v>712</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865</v>
      </c>
      <c r="D3" s="73" t="s">
        <v>663</v>
      </c>
      <c r="E3" s="84" t="s">
        <v>710</v>
      </c>
    </row>
    <row r="4" spans="1:19" x14ac:dyDescent="0.75">
      <c r="B4" s="73" t="s">
        <v>19</v>
      </c>
      <c r="C4" s="54" t="s">
        <v>864</v>
      </c>
      <c r="D4" s="73" t="s">
        <v>664</v>
      </c>
      <c r="E4" t="str">
        <f>'Author-ConceptMap-2'!E4</f>
        <v>http://hl7.eu/fhir/laboratory/StructureDefinition/Bundle-eu-lab</v>
      </c>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8" t="s">
        <v>667</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829</v>
      </c>
      <c r="E15" s="9"/>
      <c r="F15" s="75" t="s">
        <v>637</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831</v>
      </c>
      <c r="E16" s="9"/>
      <c r="F16" s="75" t="s">
        <v>637</v>
      </c>
      <c r="G16" s="75" t="s">
        <v>830</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834</v>
      </c>
      <c r="E17" s="9"/>
      <c r="F17" s="75" t="s">
        <v>637</v>
      </c>
      <c r="G17" s="14" t="s">
        <v>832</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73.75" x14ac:dyDescent="0.75">
      <c r="A18" s="23"/>
      <c r="B18" s="9" t="str">
        <f>'A1.5 Author'!B10</f>
        <v>organization</v>
      </c>
      <c r="C18" s="9" t="str">
        <f>'A1.5 Author'!C10</f>
        <v>A.1.5.3 Author organization</v>
      </c>
      <c r="D18" s="14" t="s">
        <v>835</v>
      </c>
      <c r="E18" s="9"/>
      <c r="F18" s="75" t="s">
        <v>637</v>
      </c>
      <c r="G18" s="14" t="s">
        <v>833</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713</v>
      </c>
    </row>
    <row r="3" spans="2:7" x14ac:dyDescent="0.75">
      <c r="B3" s="33" t="s">
        <v>37</v>
      </c>
    </row>
    <row r="4" spans="2:7" x14ac:dyDescent="0.75">
      <c r="B4" s="77" t="str">
        <f>"Instance: "&amp;'Author-ConceptMap-1'!C4</f>
        <v>Instance: author2FHIR-eu-lab</v>
      </c>
    </row>
    <row r="5" spans="2:7" x14ac:dyDescent="0.75">
      <c r="B5" s="77" t="s">
        <v>641</v>
      </c>
    </row>
    <row r="6" spans="2:7" x14ac:dyDescent="0.75">
      <c r="B6" s="77" t="s">
        <v>642</v>
      </c>
    </row>
    <row r="7" spans="2:7" x14ac:dyDescent="0.75">
      <c r="B7" s="77" t="s">
        <v>652</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643</v>
      </c>
    </row>
    <row r="11" spans="2:7" x14ac:dyDescent="0.75">
      <c r="B11" s="77" t="s">
        <v>644</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946</v>
      </c>
      <c r="I6" s="26" t="str">
        <f>CONCATENATE("Title: ##34#",B6,"##34#")</f>
        <v>Title: ##34#A.1.6 - Legal authenticator##34#</v>
      </c>
    </row>
    <row r="7" spans="1:11" ht="44.25" x14ac:dyDescent="0.75">
      <c r="A7" s="46" t="s">
        <v>5</v>
      </c>
      <c r="B7" s="58" t="s">
        <v>939</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102</v>
      </c>
      <c r="D26" s="109"/>
      <c r="E26" s="109"/>
      <c r="F26" s="110"/>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566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567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568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569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570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571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562</v>
      </c>
    </row>
    <row r="31" spans="1:15" x14ac:dyDescent="0.75">
      <c r="C31" s="9" t="s">
        <v>563</v>
      </c>
      <c r="E31" s="22"/>
    </row>
    <row r="32" spans="1:15" x14ac:dyDescent="0.75">
      <c r="C32" s="9" t="s">
        <v>564</v>
      </c>
    </row>
    <row r="33" spans="3:3" x14ac:dyDescent="0.75">
      <c r="C33" s="9" t="s">
        <v>565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727</v>
      </c>
      <c r="D3" s="73" t="s">
        <v>663</v>
      </c>
      <c r="E3" s="118" t="str">
        <f>"http://hl7.eu/fhir/laboratory/StructureDefinition/"&amp;'A1.6 LegalAuth'!B5</f>
        <v>http://hl7.eu/fhir/laboratory/StructureDefinition/LegalAuthenticator</v>
      </c>
      <c r="F3" s="117"/>
      <c r="G3" s="117"/>
    </row>
    <row r="4" spans="1:19" x14ac:dyDescent="0.75">
      <c r="B4" s="73" t="s">
        <v>19</v>
      </c>
      <c r="C4" s="54" t="s">
        <v>929</v>
      </c>
      <c r="D4" s="73" t="s">
        <v>664</v>
      </c>
      <c r="E4" s="118" t="s">
        <v>667</v>
      </c>
      <c r="F4" s="117"/>
      <c r="G4" s="117"/>
    </row>
    <row r="5" spans="1:19" x14ac:dyDescent="0.75">
      <c r="B5" s="73" t="s">
        <v>13</v>
      </c>
      <c r="C5" s="10" t="s">
        <v>700</v>
      </c>
      <c r="D5" s="73"/>
      <c r="E5" s="10"/>
    </row>
    <row r="6" spans="1:19" x14ac:dyDescent="0.75">
      <c r="B6" s="73" t="s">
        <v>35</v>
      </c>
      <c r="C6" s="72"/>
      <c r="D6" s="73" t="s">
        <v>660</v>
      </c>
      <c r="E6" s="118" t="str">
        <f>E3</f>
        <v>http://hl7.eu/fhir/laboratory/StructureDefinition/LegalAuthenticator</v>
      </c>
      <c r="F6" s="117"/>
      <c r="G6" s="117"/>
    </row>
    <row r="7" spans="1:19" x14ac:dyDescent="0.75">
      <c r="B7" s="73" t="s">
        <v>18</v>
      </c>
      <c r="C7" s="80"/>
      <c r="D7" s="73" t="s">
        <v>661</v>
      </c>
      <c r="E7" s="118" t="str">
        <f>E4</f>
        <v>http://hl7.eu/fhir/laboratory/StructureDefinition/Composition-eu-lab</v>
      </c>
      <c r="F7" s="117"/>
      <c r="G7" s="117"/>
    </row>
    <row r="8" spans="1:19" ht="44.25" x14ac:dyDescent="0.75">
      <c r="B8" s="73" t="s">
        <v>654</v>
      </c>
      <c r="C8" s="10" t="s">
        <v>716</v>
      </c>
      <c r="D8" s="73"/>
      <c r="E8"/>
      <c r="I8" s="14" t="s">
        <v>626</v>
      </c>
      <c r="J8" s="14" t="s">
        <v>627</v>
      </c>
      <c r="K8" s="14" t="s">
        <v>628</v>
      </c>
      <c r="L8" s="14" t="s">
        <v>629</v>
      </c>
      <c r="M8" s="9" t="s">
        <v>630</v>
      </c>
      <c r="P8" s="69" t="s">
        <v>631</v>
      </c>
      <c r="Q8" s="69">
        <v>6</v>
      </c>
    </row>
    <row r="9" spans="1:19" ht="29.5" x14ac:dyDescent="0.75">
      <c r="B9" s="73" t="s">
        <v>655</v>
      </c>
      <c r="C9" s="1" t="s">
        <v>717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'A1.6 LegalAuth'!B5</f>
        <v>LegalAuthenticator</v>
      </c>
      <c r="C14" s="9"/>
      <c r="D14" t="s">
        <v>281</v>
      </c>
      <c r="E14" s="8"/>
      <c r="F14" s="9"/>
      <c r="G14" t="s">
        <v>744</v>
      </c>
      <c r="I14" s="14"/>
      <c r="J14" s="9"/>
      <c r="K14" s="9"/>
      <c r="L14" s="9"/>
      <c r="M14" s="71"/>
      <c r="N14" s="74"/>
    </row>
    <row r="15" spans="1:19" ht="73.75" x14ac:dyDescent="0.75">
      <c r="A15" s="23"/>
      <c r="B15" s="9" t="str">
        <f>'A1.6 LegalAuth'!B8</f>
        <v>identifier</v>
      </c>
      <c r="C15" s="9" t="str">
        <f>'A1.6 LegalAuth'!C8</f>
        <v>A.1.6.1 Legal authenticator identifier</v>
      </c>
      <c r="D15" s="14" t="s">
        <v>836</v>
      </c>
      <c r="E15" s="9"/>
      <c r="F15" s="75" t="s">
        <v>637</v>
      </c>
      <c r="G15" t="s">
        <v>837</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841</v>
      </c>
      <c r="E16" s="9"/>
      <c r="F16" s="75" t="s">
        <v>637</v>
      </c>
      <c r="G16" s="14" t="s">
        <v>838</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842</v>
      </c>
      <c r="E17" s="9"/>
      <c r="F17" s="75" t="s">
        <v>637</v>
      </c>
      <c r="G17" s="14" t="s">
        <v>839</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843</v>
      </c>
      <c r="E18" s="9"/>
      <c r="F18" s="75" t="s">
        <v>637</v>
      </c>
      <c r="G18" s="14" t="s">
        <v>840</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844</v>
      </c>
      <c r="E19" s="9"/>
      <c r="F19" s="75" t="s">
        <v>637</v>
      </c>
      <c r="G19" s="14" t="s">
        <v>845</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714</v>
      </c>
    </row>
    <row r="3" spans="2:7" x14ac:dyDescent="0.75">
      <c r="B3" s="33" t="s">
        <v>37</v>
      </c>
    </row>
    <row r="4" spans="2:7" x14ac:dyDescent="0.75">
      <c r="B4" s="77" t="str">
        <f>"Instance: "&amp;'LegalAuth-ConceptMap-1'!C4</f>
        <v>Instance: legalAuth2FHIR-eu-lab</v>
      </c>
    </row>
    <row r="5" spans="2:7" x14ac:dyDescent="0.75">
      <c r="B5" s="77" t="s">
        <v>641</v>
      </c>
    </row>
    <row r="6" spans="2:7" x14ac:dyDescent="0.75">
      <c r="B6" s="77" t="s">
        <v>642</v>
      </c>
    </row>
    <row r="7" spans="2:7" x14ac:dyDescent="0.75">
      <c r="B7" s="77" t="s">
        <v>652</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643</v>
      </c>
    </row>
    <row r="11" spans="2:7" x14ac:dyDescent="0.75">
      <c r="B11" s="77" t="s">
        <v>644</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947</v>
      </c>
      <c r="I6" s="26" t="str">
        <f>CONCATENATE("Title: ##34#",B6,"##34#")</f>
        <v>Title: ##34#A.1.7 - Result validator##34#</v>
      </c>
    </row>
    <row r="7" spans="1:11" x14ac:dyDescent="0.75">
      <c r="A7" s="46" t="s">
        <v>5</v>
      </c>
      <c r="B7" s="58" t="s">
        <v>940</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114</v>
      </c>
      <c r="D26" s="109"/>
      <c r="E26" s="109"/>
      <c r="F26" s="110"/>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566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567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568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569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570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571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731</v>
      </c>
      <c r="D3" s="73" t="s">
        <v>663</v>
      </c>
      <c r="E3" s="118" t="str">
        <f>"http://hl7.eu/fhir/laboratory/StructureDefinition/"&amp;'A1.7 Validator'!B5</f>
        <v>http://hl7.eu/fhir/laboratory/StructureDefinition/Validator</v>
      </c>
      <c r="F3" s="117"/>
      <c r="G3" s="117"/>
    </row>
    <row r="4" spans="1:19" x14ac:dyDescent="0.75">
      <c r="B4" s="73" t="s">
        <v>19</v>
      </c>
      <c r="C4" s="54" t="s">
        <v>930</v>
      </c>
      <c r="D4" s="73" t="s">
        <v>664</v>
      </c>
      <c r="E4" s="118" t="s">
        <v>667</v>
      </c>
      <c r="F4" s="117"/>
      <c r="G4" s="117"/>
    </row>
    <row r="5" spans="1:19" x14ac:dyDescent="0.75">
      <c r="B5" s="73" t="s">
        <v>13</v>
      </c>
      <c r="C5" s="10" t="s">
        <v>718</v>
      </c>
      <c r="D5" s="73"/>
      <c r="E5" s="10"/>
    </row>
    <row r="6" spans="1:19" x14ac:dyDescent="0.75">
      <c r="B6" s="73" t="s">
        <v>35</v>
      </c>
      <c r="C6" s="72"/>
      <c r="D6" s="73" t="s">
        <v>660</v>
      </c>
      <c r="E6" s="118" t="str">
        <f>E3</f>
        <v>http://hl7.eu/fhir/laboratory/StructureDefinition/Validator</v>
      </c>
      <c r="F6" s="117"/>
      <c r="G6" s="117"/>
    </row>
    <row r="7" spans="1:19" x14ac:dyDescent="0.75">
      <c r="B7" s="73" t="s">
        <v>18</v>
      </c>
      <c r="C7" s="80"/>
      <c r="D7" s="73" t="s">
        <v>661</v>
      </c>
      <c r="E7" s="118" t="str">
        <f>E4</f>
        <v>http://hl7.eu/fhir/laboratory/StructureDefinition/Composition-eu-lab</v>
      </c>
      <c r="F7" s="117"/>
      <c r="G7" s="117"/>
    </row>
    <row r="8" spans="1:19" ht="44.25" x14ac:dyDescent="0.75">
      <c r="B8" s="73" t="s">
        <v>654</v>
      </c>
      <c r="C8" s="10" t="s">
        <v>719</v>
      </c>
      <c r="D8" s="73"/>
      <c r="E8"/>
      <c r="I8" s="14" t="s">
        <v>626</v>
      </c>
      <c r="J8" s="14" t="s">
        <v>627</v>
      </c>
      <c r="K8" s="14" t="s">
        <v>628</v>
      </c>
      <c r="L8" s="14" t="s">
        <v>629</v>
      </c>
      <c r="M8" s="9" t="s">
        <v>630</v>
      </c>
      <c r="P8" s="69" t="s">
        <v>631</v>
      </c>
      <c r="Q8" s="69">
        <v>6</v>
      </c>
    </row>
    <row r="9" spans="1:19" ht="29.5" x14ac:dyDescent="0.75">
      <c r="B9" s="73" t="s">
        <v>655</v>
      </c>
      <c r="C9" s="1" t="s">
        <v>720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'A1.7 Validator'!B5</f>
        <v>Validator</v>
      </c>
      <c r="C14" s="9"/>
      <c r="D14" t="s">
        <v>746</v>
      </c>
      <c r="E14" s="8"/>
      <c r="F14" s="9"/>
      <c r="G14" t="s">
        <v>746</v>
      </c>
      <c r="I14" s="14"/>
      <c r="J14" s="9"/>
      <c r="K14" s="9"/>
      <c r="L14" s="9"/>
      <c r="M14" s="71"/>
      <c r="N14" s="74"/>
    </row>
    <row r="15" spans="1:19" ht="88.5" x14ac:dyDescent="0.75">
      <c r="A15" s="23"/>
      <c r="B15" s="9" t="str">
        <f>'A1.7 Validator'!B8</f>
        <v>identifier</v>
      </c>
      <c r="C15" s="9" t="str">
        <f>'A1.7 Validator'!C8</f>
        <v>A.1.7.1 Result validator identifier</v>
      </c>
      <c r="D15" s="14" t="s">
        <v>747</v>
      </c>
      <c r="E15" s="14" t="s">
        <v>836</v>
      </c>
      <c r="F15" s="75" t="s">
        <v>637</v>
      </c>
      <c r="G15" t="s">
        <v>846</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748</v>
      </c>
      <c r="E16" s="14" t="s">
        <v>841</v>
      </c>
      <c r="F16" s="75" t="s">
        <v>637</v>
      </c>
      <c r="G16" s="14" t="s">
        <v>847</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749</v>
      </c>
      <c r="E17" s="14" t="s">
        <v>842</v>
      </c>
      <c r="F17" s="75" t="s">
        <v>637</v>
      </c>
      <c r="G17" s="14" t="s">
        <v>848</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750</v>
      </c>
      <c r="E18" s="14" t="s">
        <v>843</v>
      </c>
      <c r="F18" s="75" t="s">
        <v>637</v>
      </c>
      <c r="G18" s="14" t="s">
        <v>849</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745</v>
      </c>
      <c r="E19" s="9" t="s">
        <v>844</v>
      </c>
      <c r="F19" s="75" t="s">
        <v>637</v>
      </c>
      <c r="G19" s="14" t="s">
        <v>850</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721</v>
      </c>
    </row>
    <row r="3" spans="2:7" x14ac:dyDescent="0.75">
      <c r="B3" s="33" t="s">
        <v>37</v>
      </c>
    </row>
    <row r="4" spans="2:7" x14ac:dyDescent="0.75">
      <c r="B4" s="77" t="str">
        <f>"Instance: "&amp;'Validator-ConceptMap-1'!C4</f>
        <v>Instance: validator2FHIR-eu-lab</v>
      </c>
    </row>
    <row r="5" spans="2:7" x14ac:dyDescent="0.75">
      <c r="B5" s="77" t="s">
        <v>641</v>
      </c>
    </row>
    <row r="6" spans="2:7" x14ac:dyDescent="0.75">
      <c r="B6" s="77" t="s">
        <v>642</v>
      </c>
    </row>
    <row r="7" spans="2:7" x14ac:dyDescent="0.75">
      <c r="B7" s="77" t="s">
        <v>652</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643</v>
      </c>
    </row>
    <row r="11" spans="2:7" x14ac:dyDescent="0.75">
      <c r="B11" s="77" t="s">
        <v>644</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722</v>
      </c>
      <c r="I6" s="26" t="str">
        <f>CONCATENATE("Title: ##34#",B6,"##34#")</f>
        <v>Title: ##34#A2, A3 - Order##34#</v>
      </c>
    </row>
    <row r="7" spans="1:11" x14ac:dyDescent="0.75">
      <c r="A7" s="46" t="s">
        <v>5</v>
      </c>
      <c r="B7" s="19" t="s">
        <v>941</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1" t="s">
        <v>144</v>
      </c>
      <c r="D26" s="112"/>
      <c r="E26" s="112"/>
      <c r="F26" s="113"/>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4" t="s">
        <v>162</v>
      </c>
      <c r="D33" s="115"/>
      <c r="E33" s="115"/>
      <c r="F33" s="116"/>
    </row>
    <row r="34" spans="2:9" ht="80" x14ac:dyDescent="0.75">
      <c r="B34" t="str">
        <f t="shared" si="1"/>
        <v>A.3.1 Problem / diagnosis / condition description</v>
      </c>
      <c r="C34" s="102" t="s">
        <v>163</v>
      </c>
      <c r="D34" s="102" t="s">
        <v>164</v>
      </c>
      <c r="E34" s="102"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3"/>
      <c r="D35" s="103"/>
      <c r="E35" s="103"/>
      <c r="F35" s="43" t="s">
        <v>167</v>
      </c>
      <c r="I35" s="1" t="str">
        <f t="shared" si="2"/>
        <v xml:space="preserve"> - Preferred system(s): SNOMED CT</v>
      </c>
    </row>
    <row r="36" spans="2:9" ht="32.75" thickBot="1" x14ac:dyDescent="0.9">
      <c r="C36" s="104"/>
      <c r="D36" s="104"/>
      <c r="E36" s="104"/>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574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575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576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577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578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581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582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579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580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583</v>
      </c>
      <c r="E20" s="14" t="str">
        <f t="shared" si="0"/>
        <v>* reason -&gt; ##34#ServiceRequest.reasonCode##34#</v>
      </c>
    </row>
    <row r="21" spans="1:15" x14ac:dyDescent="0.75">
      <c r="A21" s="9"/>
      <c r="B21" s="9" t="str">
        <f>'A2 Order'!B16</f>
        <v>reason.code</v>
      </c>
      <c r="C21" s="9" t="s">
        <v>583</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728</v>
      </c>
      <c r="D3" s="73" t="s">
        <v>663</v>
      </c>
      <c r="E3" t="str">
        <f>"http://hl7.eu/fhir/laboratory/StructureDefinition/"&amp;'A2 Order'!B5</f>
        <v>http://hl7.eu/fhir/laboratory/StructureDefinition/Order</v>
      </c>
    </row>
    <row r="4" spans="1:19" x14ac:dyDescent="0.75">
      <c r="B4" s="73" t="s">
        <v>19</v>
      </c>
      <c r="C4" s="54" t="s">
        <v>931</v>
      </c>
      <c r="D4" s="73" t="s">
        <v>664</v>
      </c>
      <c r="E4" s="117" t="s">
        <v>691</v>
      </c>
      <c r="F4" s="117"/>
      <c r="G4" s="117"/>
    </row>
    <row r="5" spans="1:19" x14ac:dyDescent="0.75">
      <c r="B5" s="73" t="s">
        <v>13</v>
      </c>
      <c r="C5" s="10" t="s">
        <v>729</v>
      </c>
      <c r="D5" s="73"/>
      <c r="E5" s="10"/>
    </row>
    <row r="6" spans="1:19" x14ac:dyDescent="0.75">
      <c r="B6" s="73" t="s">
        <v>35</v>
      </c>
      <c r="C6" s="72" t="s">
        <v>653</v>
      </c>
      <c r="D6" s="73" t="s">
        <v>660</v>
      </c>
      <c r="E6" s="117" t="str">
        <f>E3</f>
        <v>http://hl7.eu/fhir/laboratory/StructureDefinition/Order</v>
      </c>
      <c r="F6" s="117"/>
      <c r="G6" s="117"/>
    </row>
    <row r="7" spans="1:19" x14ac:dyDescent="0.75">
      <c r="B7" s="73" t="s">
        <v>18</v>
      </c>
      <c r="C7" s="80" t="s">
        <v>656</v>
      </c>
      <c r="D7" s="73" t="s">
        <v>661</v>
      </c>
      <c r="E7" s="117" t="s">
        <v>691</v>
      </c>
      <c r="F7" s="117"/>
      <c r="G7" s="117"/>
    </row>
    <row r="8" spans="1:19" ht="44.25" x14ac:dyDescent="0.75">
      <c r="B8" s="73" t="s">
        <v>654</v>
      </c>
      <c r="C8" s="10" t="s">
        <v>729</v>
      </c>
      <c r="D8" s="73"/>
      <c r="E8" s="10"/>
      <c r="I8" s="14" t="s">
        <v>626</v>
      </c>
      <c r="J8" s="14" t="s">
        <v>627</v>
      </c>
      <c r="K8" s="14" t="s">
        <v>628</v>
      </c>
      <c r="L8" s="14" t="s">
        <v>629</v>
      </c>
      <c r="M8" s="9" t="s">
        <v>630</v>
      </c>
      <c r="P8" s="69" t="s">
        <v>631</v>
      </c>
      <c r="Q8" s="69">
        <v>6</v>
      </c>
    </row>
    <row r="9" spans="1:19" ht="29.5" x14ac:dyDescent="0.75">
      <c r="B9" s="73" t="s">
        <v>655</v>
      </c>
      <c r="C9" s="1" t="s">
        <v>730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'A2 Order'!B5</f>
        <v>Order</v>
      </c>
      <c r="C14" s="9"/>
      <c r="D14" s="4" t="s">
        <v>732</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638</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638</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733</v>
      </c>
      <c r="E17" s="9"/>
      <c r="F17" s="75" t="s">
        <v>638</v>
      </c>
      <c r="G17" s="75" t="s">
        <v>734</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735</v>
      </c>
      <c r="E18" s="9"/>
      <c r="F18" s="75" t="s">
        <v>637</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851</v>
      </c>
      <c r="E19" s="9"/>
      <c r="F19" s="75" t="s">
        <v>638</v>
      </c>
      <c r="G19" s="75" t="s">
        <v>734</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852</v>
      </c>
      <c r="E20" s="9"/>
      <c r="F20" s="75" t="s">
        <v>638</v>
      </c>
      <c r="G20" s="14" t="s">
        <v>736</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855</v>
      </c>
      <c r="E21" s="9"/>
      <c r="F21" s="75" t="s">
        <v>638</v>
      </c>
      <c r="G21" s="14" t="s">
        <v>737</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853</v>
      </c>
      <c r="E22" s="9"/>
      <c r="F22" s="75" t="s">
        <v>638</v>
      </c>
      <c r="G22" s="14" t="s">
        <v>740</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854</v>
      </c>
      <c r="E23" s="9"/>
      <c r="F23" s="75" t="s">
        <v>638</v>
      </c>
      <c r="G23" s="14" t="s">
        <v>741</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853</v>
      </c>
      <c r="E24" s="9"/>
      <c r="F24" s="75" t="s">
        <v>638</v>
      </c>
      <c r="G24" s="14" t="s">
        <v>739</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856</v>
      </c>
      <c r="E25" s="9"/>
      <c r="F25" s="75" t="s">
        <v>637</v>
      </c>
      <c r="G25" s="14" t="s">
        <v>738</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742</v>
      </c>
      <c r="E26" s="9"/>
      <c r="F26" s="75" t="s">
        <v>638</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743</v>
      </c>
      <c r="E27" s="9"/>
      <c r="F27" s="75" t="s">
        <v>638</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742</v>
      </c>
      <c r="E28" s="14"/>
      <c r="F28" s="75" t="s">
        <v>637</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723</v>
      </c>
    </row>
    <row r="3" spans="2:7" x14ac:dyDescent="0.75">
      <c r="B3" s="33" t="s">
        <v>37</v>
      </c>
    </row>
    <row r="4" spans="2:7" x14ac:dyDescent="0.75">
      <c r="B4" s="77" t="str">
        <f>"Instance: "&amp;'Order-ConceptMap-1'!C4</f>
        <v>Instance: order2FHIR-eu-lab</v>
      </c>
    </row>
    <row r="5" spans="2:7" x14ac:dyDescent="0.75">
      <c r="B5" s="77" t="s">
        <v>641</v>
      </c>
    </row>
    <row r="6" spans="2:7" x14ac:dyDescent="0.75">
      <c r="B6" s="77" t="s">
        <v>642</v>
      </c>
    </row>
    <row r="7" spans="2:7" x14ac:dyDescent="0.75">
      <c r="B7" s="77" t="s">
        <v>652</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643</v>
      </c>
    </row>
    <row r="11" spans="2:7" x14ac:dyDescent="0.75">
      <c r="B11" s="77" t="s">
        <v>644</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875</v>
      </c>
      <c r="I6" s="26" t="str">
        <f>CONCATENATE("Title: ##34#",B6,"##34#")</f>
        <v>Title: ##34#A.4 - Specimen information##34#</v>
      </c>
    </row>
    <row r="7" spans="1:11" x14ac:dyDescent="0.75">
      <c r="A7" s="46" t="s">
        <v>5</v>
      </c>
      <c r="B7" s="19" t="s">
        <v>942</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759</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4" t="s">
        <v>169</v>
      </c>
      <c r="D26" s="115"/>
      <c r="E26" s="115"/>
      <c r="F26" s="116"/>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2" t="s">
        <v>188</v>
      </c>
      <c r="D33" s="105" t="s">
        <v>189</v>
      </c>
      <c r="E33" s="102"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3"/>
      <c r="D34" s="106"/>
      <c r="E34" s="103"/>
      <c r="F34" s="41"/>
      <c r="I34" s="1" t="str">
        <f t="shared" si="2"/>
        <v xml:space="preserve"> - Preferred system(s): </v>
      </c>
    </row>
    <row r="35" spans="2:9" ht="16.75" thickBot="1" x14ac:dyDescent="0.9">
      <c r="B35" t="str">
        <f t="shared" si="1"/>
        <v xml:space="preserve"> </v>
      </c>
      <c r="C35" s="104"/>
      <c r="D35" s="107"/>
      <c r="E35" s="104"/>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584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585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586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587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588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589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590</v>
      </c>
      <c r="E17" s="14" t="str">
        <f t="shared" si="1"/>
        <v>* collectionMethod -&gt; ##34#Specimen.collection.method##34#</v>
      </c>
      <c r="G17" s="1" t="s">
        <v>32</v>
      </c>
    </row>
    <row r="18" spans="1:7" x14ac:dyDescent="0.75">
      <c r="A18" s="9">
        <v>9</v>
      </c>
      <c r="B18" s="9" t="str">
        <f>'A.4 Specimen'!B16</f>
        <v>receivedDateTime</v>
      </c>
      <c r="C18" s="9" t="s">
        <v>591</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J43" workbookViewId="0">
      <selection activeCell="P21" sqref="P21: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751</v>
      </c>
      <c r="D3" s="73" t="s">
        <v>663</v>
      </c>
      <c r="E3" s="84" t="str">
        <f>"http://hl7.eu/fhir/laboratory/StructureDefinition/"&amp;'A.4 Specimen'!B5</f>
        <v>http://hl7.eu/fhir/laboratory/StructureDefinition/SpecimenLab</v>
      </c>
    </row>
    <row r="4" spans="1:19" x14ac:dyDescent="0.75">
      <c r="B4" s="73" t="s">
        <v>19</v>
      </c>
      <c r="C4" s="54" t="s">
        <v>932</v>
      </c>
      <c r="D4" s="73" t="s">
        <v>664</v>
      </c>
      <c r="E4" s="118" t="s">
        <v>877</v>
      </c>
      <c r="F4" s="117"/>
      <c r="G4" s="117"/>
    </row>
    <row r="5" spans="1:19" x14ac:dyDescent="0.75">
      <c r="B5" s="73" t="s">
        <v>13</v>
      </c>
      <c r="C5" s="10" t="s">
        <v>752</v>
      </c>
      <c r="D5" s="73"/>
      <c r="E5" s="10"/>
    </row>
    <row r="6" spans="1:19" x14ac:dyDescent="0.75">
      <c r="B6" s="73" t="s">
        <v>35</v>
      </c>
      <c r="C6" s="72"/>
      <c r="D6" s="73" t="s">
        <v>660</v>
      </c>
      <c r="E6" s="118" t="str">
        <f>E3</f>
        <v>http://hl7.eu/fhir/laboratory/StructureDefinition/SpecimenLab</v>
      </c>
      <c r="F6" s="117"/>
      <c r="G6" s="117"/>
    </row>
    <row r="7" spans="1:19" x14ac:dyDescent="0.75">
      <c r="B7" s="73" t="s">
        <v>18</v>
      </c>
      <c r="C7" s="80"/>
      <c r="D7" s="73" t="s">
        <v>661</v>
      </c>
      <c r="E7" s="118" t="s">
        <v>877</v>
      </c>
      <c r="F7" s="117"/>
      <c r="G7" s="117"/>
    </row>
    <row r="8" spans="1:19" ht="44.25" x14ac:dyDescent="0.75">
      <c r="B8" s="73" t="s">
        <v>654</v>
      </c>
      <c r="C8" s="53" t="s">
        <v>753</v>
      </c>
      <c r="D8" s="73"/>
      <c r="E8" s="10"/>
      <c r="I8" s="14" t="s">
        <v>626</v>
      </c>
      <c r="J8" s="14" t="s">
        <v>627</v>
      </c>
      <c r="K8" s="14" t="s">
        <v>628</v>
      </c>
      <c r="L8" s="14" t="s">
        <v>629</v>
      </c>
      <c r="M8" s="9" t="s">
        <v>630</v>
      </c>
      <c r="P8" s="69" t="s">
        <v>631</v>
      </c>
      <c r="Q8" s="69">
        <v>6</v>
      </c>
    </row>
    <row r="9" spans="1:19" ht="29.5" x14ac:dyDescent="0.75">
      <c r="B9" s="73" t="s">
        <v>655</v>
      </c>
      <c r="C9" s="14" t="s">
        <v>754</v>
      </c>
      <c r="D9" s="73"/>
      <c r="E9"/>
      <c r="I9" s="14"/>
      <c r="J9" s="9"/>
      <c r="K9" s="9"/>
      <c r="L9" s="9"/>
      <c r="M9" s="9"/>
    </row>
    <row r="10" spans="1:19" x14ac:dyDescent="0.75">
      <c r="B10" s="73"/>
      <c r="C10" s="9"/>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'A.4 Specimen'!B5</f>
        <v>SpecimenLab</v>
      </c>
      <c r="C14" s="9"/>
      <c r="D14" s="4" t="s">
        <v>755</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637</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24" si="4">IF(G15&lt;&gt;"",CONCATENATE("* group[=].element[=].target.comment = ","##34#",G15,"##34#"),"")</f>
        <v/>
      </c>
      <c r="P15" s="9">
        <v>1</v>
      </c>
      <c r="Q15" s="9">
        <f t="shared" ref="Q15" si="5">IF(MOD(P15,$Q$8)=0,P15/$Q$8-1,INT(P15/$Q$8))</f>
        <v>0</v>
      </c>
      <c r="R15" s="9">
        <f t="shared" ref="R15" si="6">IF(MOD(P15,$Q$8)=0,$Q$8,MOD(P15,$Q$8))</f>
        <v>1</v>
      </c>
      <c r="S15" s="14" t="str" cm="1">
        <f t="array" ref="S15">INDEX('Specimen-ConceptMap-1'!$I$15:$N$124,Q15+1,R15)</f>
        <v>* group[=].element[+].code = #SpecimenLab.identifier</v>
      </c>
    </row>
    <row r="16" spans="1:19" ht="44.25" customHeight="1" x14ac:dyDescent="0.75">
      <c r="A16" s="23"/>
      <c r="B16" s="53" t="str">
        <f>'A.4 Specimen'!B9</f>
        <v>speciesType</v>
      </c>
      <c r="C16" s="9" t="str">
        <f>'A.4 Specimen'!C9</f>
        <v>A.4.2 Type of species</v>
      </c>
      <c r="D16" s="14" t="s">
        <v>876</v>
      </c>
      <c r="E16" s="9"/>
      <c r="F16" s="75" t="s">
        <v>638</v>
      </c>
      <c r="G16" s="75" t="s">
        <v>949</v>
      </c>
      <c r="H16" s="76"/>
      <c r="I16" s="14" t="str">
        <f t="shared" ref="I16:I24" si="7">"* group[=].element[+].code = #"&amp;$B$14&amp;"."&amp;B16</f>
        <v>* group[=].element[+].code = #SpecimenLab.speciesType</v>
      </c>
      <c r="J16" s="14" t="str">
        <f t="shared" ref="J16:J24" si="8">"* group[=].element[=].display = ##34#"&amp;C16&amp;"##34#"</f>
        <v>* group[=].element[=].display = ##34#A.4.2 Type of species##34#</v>
      </c>
      <c r="K16" s="14" t="str">
        <f t="shared" ref="K16:K24" si="9">IF(F16="unmatched","//-- unmatched","* group[=].element[=].target.code = #"&amp;$D$14&amp;"."&amp;D16)</f>
        <v>* group[=].element[=].target.code = #Specimen.subject.extension:patient-animal.extension:species</v>
      </c>
      <c r="L16" s="14" t="str">
        <f t="shared" ref="L16:L24" si="10">IF(F16="unmatched","//-- unmatched","* group[=].element[=].target.display = ##34#"&amp;E16&amp;"##34#")</f>
        <v>* group[=].element[=].target.display = ##34###34#</v>
      </c>
      <c r="M16" s="14" t="str">
        <f t="shared" ref="M16:M24" si="11">"* group[=].element[=].target.equivalence = #"&amp;F16</f>
        <v>* group[=].element[=].target.equivalence = #relatedto</v>
      </c>
      <c r="N16" s="14" t="str">
        <f t="shared" si="4"/>
        <v>* group[=].element[=].target.comment = ##34#subject.ofType(Patient)##34#</v>
      </c>
      <c r="P16" s="9">
        <v>2</v>
      </c>
      <c r="Q16" s="9">
        <f t="shared" ref="Q16:Q21" si="12">IF(MOD(P16,$Q$8)=0,P16/$Q$8-1,INT(P16/$Q$8))</f>
        <v>0</v>
      </c>
      <c r="R16" s="9">
        <f t="shared" ref="R16:R21" si="13">IF(MOD(P16,$Q$8)=0,$Q$8,MOD(P16,$Q$8))</f>
        <v>2</v>
      </c>
      <c r="S16" s="14" t="str" cm="1">
        <f t="array" ref="S16">INDEX('Specimen-ConceptMap-1'!$I$15:$N$124,Q16+1,R16)</f>
        <v>* group[=].element[=].display = ##34#A.4.1 Specimen identifier##34#</v>
      </c>
    </row>
    <row r="17" spans="1:19" ht="44.25" x14ac:dyDescent="0.75">
      <c r="A17" s="23"/>
      <c r="B17" s="9" t="str">
        <f>'A.4 Specimen'!B10</f>
        <v>material</v>
      </c>
      <c r="C17" s="9" t="str">
        <f>'A.4 Specimen'!C10</f>
        <v>A.4.3 Material</v>
      </c>
      <c r="D17" s="14" t="s">
        <v>756</v>
      </c>
      <c r="E17" s="9"/>
      <c r="F17" s="75" t="s">
        <v>637</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INDEX('Specimen-ConceptMap-1'!$I$15:$N$124,Q17+1,R17)</f>
        <v>* group[=].element[=].target.code = #Specimen.identifier</v>
      </c>
    </row>
    <row r="18" spans="1:19" ht="59" x14ac:dyDescent="0.75">
      <c r="A18" s="23"/>
      <c r="B18" s="9" t="str">
        <f>'A.4 Specimen'!B11</f>
        <v>collected</v>
      </c>
      <c r="C18" s="9" t="str">
        <f>'A.4 Specimen'!C11</f>
        <v>A.4.4 Collection period</v>
      </c>
      <c r="D18" s="14" t="s">
        <v>758</v>
      </c>
      <c r="E18" s="9"/>
      <c r="F18" s="75" t="s">
        <v>637</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INDEX('Specimen-ConceptMap-1'!$I$15:$N$124,Q18+1,R18)</f>
        <v>* group[=].element[=].target.display = ##34###34#</v>
      </c>
    </row>
    <row r="19" spans="1:19" ht="44.25" x14ac:dyDescent="0.75">
      <c r="A19" s="23"/>
      <c r="B19" s="9" t="str">
        <f>'A.4 Specimen'!B12</f>
        <v>anatomicLocation</v>
      </c>
      <c r="C19" s="9" t="str">
        <f>'A.4 Specimen'!C12</f>
        <v>A.4.5 Anatomic location</v>
      </c>
      <c r="D19" s="14" t="s">
        <v>760</v>
      </c>
      <c r="E19" s="9"/>
      <c r="F19" s="75" t="s">
        <v>638</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INDEX('Specimen-ConceptMap-1'!$I$15:$N$124,Q19+1,R19)</f>
        <v>* group[=].element[=].target.equivalence = #equivalent</v>
      </c>
    </row>
    <row r="20" spans="1:19" ht="73.75" x14ac:dyDescent="0.75">
      <c r="A20" s="23"/>
      <c r="B20" s="9" t="str">
        <f>'A.4 Specimen'!B13</f>
        <v>morphology</v>
      </c>
      <c r="C20" s="9" t="str">
        <f>'A.4 Specimen'!C13</f>
        <v>A.4.6 Morphology</v>
      </c>
      <c r="D20" s="14" t="s">
        <v>878</v>
      </c>
      <c r="E20" s="14"/>
      <c r="F20" s="75" t="s">
        <v>638</v>
      </c>
      <c r="G20" s="75"/>
      <c r="H20" s="76"/>
      <c r="I20" s="14" t="str">
        <f t="shared" si="7"/>
        <v>* group[=].element[+].code = #SpecimenLab.morphology</v>
      </c>
      <c r="J20" s="14" t="str">
        <f t="shared" si="8"/>
        <v>* group[=].element[=].display = ##34#A.4.6 Morphology##34#</v>
      </c>
      <c r="K20" s="14" t="str">
        <f t="shared" si="9"/>
        <v>* group[=].element[=].target.code = #Specimen.extension:SpecimenFeatureTypeR5</v>
      </c>
      <c r="L20" s="14" t="str">
        <f t="shared" si="10"/>
        <v>* group[=].element[=].target.display = ##34###34#</v>
      </c>
      <c r="M20" s="14" t="str">
        <f t="shared" si="11"/>
        <v>* group[=].element[=].target.equivalence = #relatedto</v>
      </c>
      <c r="N20" s="14" t="str">
        <f t="shared" si="4"/>
        <v/>
      </c>
      <c r="P20" s="9">
        <v>6</v>
      </c>
      <c r="Q20" s="9">
        <f t="shared" si="12"/>
        <v>0</v>
      </c>
      <c r="R20" s="9">
        <f t="shared" si="13"/>
        <v>6</v>
      </c>
      <c r="S20" s="14" t="str" cm="1">
        <f t="array" ref="S20">INDEX('Specimen-ConceptMap-1'!$I$15:$N$124,Q20+1,R20)</f>
        <v/>
      </c>
    </row>
    <row r="21" spans="1:19" ht="73.75" customHeight="1" x14ac:dyDescent="0.75">
      <c r="A21" s="23"/>
      <c r="B21" s="9" t="str">
        <f>'A.4 Specimen'!B14</f>
        <v>sourceDevice</v>
      </c>
      <c r="C21" s="9" t="str">
        <f>'A.4 Specimen'!C14</f>
        <v>A.4.7 Source Device</v>
      </c>
      <c r="D21" s="14" t="s">
        <v>647</v>
      </c>
      <c r="E21" s="9"/>
      <c r="F21" s="75" t="s">
        <v>638</v>
      </c>
      <c r="G21" s="96" t="s">
        <v>957</v>
      </c>
      <c r="H21" s="76"/>
      <c r="I21" s="14" t="str">
        <f t="shared" si="7"/>
        <v>* group[=].element[+].code = #SpecimenLab.sourceDevice</v>
      </c>
      <c r="J21" s="14" t="str">
        <f t="shared" si="8"/>
        <v>* group[=].element[=].display = ##34#A.4.7 Source Device##34#</v>
      </c>
      <c r="K21" s="14" t="str">
        <f t="shared" si="9"/>
        <v>* group[=].element[=].target.code = #Specimen.subject</v>
      </c>
      <c r="L21" s="14" t="str">
        <f t="shared" si="10"/>
        <v>* group[=].element[=].target.display = ##34###34#</v>
      </c>
      <c r="M21" s="14" t="str">
        <f t="shared" si="11"/>
        <v>* group[=].element[=].target.equivalence = #relatedto</v>
      </c>
      <c r="N21" s="14" t="str">
        <f t="shared" si="4"/>
        <v>* group[=].element[=].target.comment = ##34#When the device (e.g. the catheter) is what has been examinated##34#</v>
      </c>
      <c r="P21" s="9">
        <v>7</v>
      </c>
      <c r="Q21" s="9">
        <f t="shared" si="12"/>
        <v>1</v>
      </c>
      <c r="R21" s="9">
        <f t="shared" si="13"/>
        <v>1</v>
      </c>
      <c r="S21" s="14" t="str" cm="1">
        <f t="array" ref="S21">INDEX('Specimen-ConceptMap-1'!$I$15:$N$124,Q21+1,R21)</f>
        <v>* group[=].element[+].code = #SpecimenLab.speciesType</v>
      </c>
    </row>
    <row r="22" spans="1:19" ht="73.75" customHeight="1" x14ac:dyDescent="0.75">
      <c r="A22" s="23"/>
      <c r="B22" s="9" t="str">
        <f>'A.4 Specimen'!B14</f>
        <v>sourceDevice</v>
      </c>
      <c r="C22" s="9" t="str">
        <f>'A.4 Specimen'!C14</f>
        <v>A.4.7 Source Device</v>
      </c>
      <c r="D22" s="14" t="s">
        <v>761</v>
      </c>
      <c r="E22" s="9"/>
      <c r="F22" s="75" t="s">
        <v>638</v>
      </c>
      <c r="G22" s="96" t="s">
        <v>958</v>
      </c>
      <c r="H22" s="76"/>
      <c r="I22" s="14" t="str">
        <f t="shared" si="7"/>
        <v>* group[=].element[+].code = #SpecimenLab.sourceDevice</v>
      </c>
      <c r="J22" s="14" t="str">
        <f t="shared" si="8"/>
        <v>* group[=].element[=].display = ##34#A.4.7 Source Device##34#</v>
      </c>
      <c r="K22" s="14" t="str">
        <f t="shared" si="9"/>
        <v>* group[=].element[=].target.code = #Specimen.collection.method</v>
      </c>
      <c r="L22" s="14" t="str">
        <f t="shared" si="10"/>
        <v>* group[=].element[=].target.display = ##34###34#</v>
      </c>
      <c r="M22" s="14" t="str">
        <f t="shared" si="11"/>
        <v>* group[=].element[=].target.equivalence = #relatedto</v>
      </c>
      <c r="N22" s="14" t="str">
        <f t="shared" si="4"/>
        <v>* group[=].element[=].target.comment = ##34#When the device is the mean used to collect the specimen (e.g blood collected from the catheter) ##34#</v>
      </c>
      <c r="P22" s="9">
        <v>8</v>
      </c>
      <c r="Q22" s="9">
        <f t="shared" ref="Q22:Q25" si="14">IF(MOD(P22,$Q$8)=0,P22/$Q$8-1,INT(P22/$Q$8))</f>
        <v>1</v>
      </c>
      <c r="R22" s="9">
        <f t="shared" ref="R22:R25" si="15">IF(MOD(P22,$Q$8)=0,$Q$8,MOD(P22,$Q$8))</f>
        <v>2</v>
      </c>
      <c r="S22" s="14" t="str" cm="1">
        <f t="array" ref="S22">INDEX('Specimen-ConceptMap-1'!$I$15:$N$124,Q22+1,R22)</f>
        <v>* group[=].element[=].display = ##34#A.4.2 Type of species##34#</v>
      </c>
    </row>
    <row r="23" spans="1:19" ht="44.25" x14ac:dyDescent="0.75">
      <c r="A23" s="23"/>
      <c r="B23" s="9" t="str">
        <f>'A.4 Specimen'!B15</f>
        <v>collectionMethod</v>
      </c>
      <c r="C23" s="9" t="str">
        <f>'A.4 Specimen'!C15</f>
        <v>A.4.8 Collection procedure/method</v>
      </c>
      <c r="D23" s="14" t="s">
        <v>761</v>
      </c>
      <c r="E23" s="9"/>
      <c r="F23" s="75" t="s">
        <v>637</v>
      </c>
      <c r="G23" s="75"/>
      <c r="H23" s="76"/>
      <c r="I23" s="14" t="str">
        <f t="shared" si="7"/>
        <v>* group[=].element[+].code = #SpecimenLab.collectionMethod</v>
      </c>
      <c r="J23" s="14" t="str">
        <f t="shared" si="8"/>
        <v>* group[=].element[=].display = ##34#A.4.8 Collection procedure/method##34#</v>
      </c>
      <c r="K23" s="14" t="str">
        <f t="shared" si="9"/>
        <v>* group[=].element[=].target.code = #Specimen.collection.method</v>
      </c>
      <c r="L23" s="14" t="str">
        <f t="shared" si="10"/>
        <v>* group[=].element[=].target.display = ##34###34#</v>
      </c>
      <c r="M23" s="14" t="str">
        <f t="shared" si="11"/>
        <v>* group[=].element[=].target.equivalence = #equivalent</v>
      </c>
      <c r="N23" s="14" t="str">
        <f t="shared" si="4"/>
        <v/>
      </c>
      <c r="P23" s="9">
        <v>9</v>
      </c>
      <c r="Q23" s="9">
        <f t="shared" si="14"/>
        <v>1</v>
      </c>
      <c r="R23" s="9">
        <f t="shared" si="15"/>
        <v>3</v>
      </c>
      <c r="S23" s="14" t="str" cm="1">
        <f t="array" ref="S23">INDEX('Specimen-ConceptMap-1'!$I$15:$N$124,Q23+1,R23)</f>
        <v>* group[=].element[=].target.code = #Specimen.subject.extension:patient-animal.extension:species</v>
      </c>
    </row>
    <row r="24" spans="1:19" ht="29.5" customHeight="1" x14ac:dyDescent="0.75">
      <c r="A24" s="23"/>
      <c r="B24" s="9" t="str">
        <f>'A.4 Specimen'!B16</f>
        <v>receivedDateTime</v>
      </c>
      <c r="C24" s="9" t="str">
        <f>'A.4 Specimen'!C16</f>
        <v>A.4.9 Received date</v>
      </c>
      <c r="D24" s="14" t="s">
        <v>762</v>
      </c>
      <c r="E24" s="9"/>
      <c r="F24" s="75" t="s">
        <v>637</v>
      </c>
      <c r="G24" s="75"/>
      <c r="H24" s="76"/>
      <c r="I24" s="14" t="str">
        <f t="shared" si="7"/>
        <v>* group[=].element[+].code = #SpecimenLab.receivedDateTime</v>
      </c>
      <c r="J24" s="14" t="str">
        <f t="shared" si="8"/>
        <v>* group[=].element[=].display = ##34#A.4.9 Received date##34#</v>
      </c>
      <c r="K24" s="14" t="str">
        <f t="shared" si="9"/>
        <v>* group[=].element[=].target.code = #Specimen.receivedTime</v>
      </c>
      <c r="L24" s="14" t="str">
        <f t="shared" si="10"/>
        <v>* group[=].element[=].target.display = ##34###34#</v>
      </c>
      <c r="M24" s="14" t="str">
        <f t="shared" si="11"/>
        <v>* group[=].element[=].target.equivalence = #equivalent</v>
      </c>
      <c r="N24" s="14" t="str">
        <f t="shared" si="4"/>
        <v/>
      </c>
      <c r="P24" s="9">
        <v>10</v>
      </c>
      <c r="Q24" s="9">
        <f t="shared" si="14"/>
        <v>1</v>
      </c>
      <c r="R24" s="9">
        <f t="shared" si="15"/>
        <v>4</v>
      </c>
      <c r="S24" s="14" t="str" cm="1">
        <f t="array" ref="S24">INDEX('Specimen-ConceptMap-1'!$I$15:$N$124,Q24+1,R24)</f>
        <v>* group[=].element[=].target.display = ##34###34#</v>
      </c>
    </row>
    <row r="25" spans="1:19" x14ac:dyDescent="0.75">
      <c r="A25" s="23"/>
      <c r="B25" s="9"/>
      <c r="C25" s="9"/>
      <c r="D25" s="14"/>
      <c r="E25" s="9"/>
      <c r="F25" s="75"/>
      <c r="G25" s="75"/>
      <c r="H25" s="76"/>
      <c r="I25" s="14"/>
      <c r="J25" s="14"/>
      <c r="K25" s="14"/>
      <c r="L25" s="14"/>
      <c r="M25" s="14"/>
      <c r="N25" s="14"/>
      <c r="P25" s="9">
        <v>11</v>
      </c>
      <c r="Q25" s="9">
        <f t="shared" si="14"/>
        <v>1</v>
      </c>
      <c r="R25" s="9">
        <f t="shared" si="15"/>
        <v>5</v>
      </c>
      <c r="S25" s="14" t="str" cm="1">
        <f t="array" ref="S25">INDEX('Specimen-ConceptMap-1'!$I$15:$N$124,Q25+1,R25)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ref="Q26:Q77" si="16">IF(MOD(P26,$Q$8)=0,P26/$Q$8-1,INT(P26/$Q$8))</f>
        <v>1</v>
      </c>
      <c r="R26" s="9">
        <f t="shared" ref="R26:R77" si="17">IF(MOD(P26,$Q$8)=0,$Q$8,MOD(P26,$Q$8))</f>
        <v>6</v>
      </c>
      <c r="S26" s="14" t="str" cm="1">
        <f t="array" ref="S26">INDEX('Specimen-ConceptMap-1'!$I$15:$N$124,Q26+1,R26)</f>
        <v>* group[=].element[=].target.comment = ##34#subject.ofType(Patient)##34#</v>
      </c>
    </row>
    <row r="27" spans="1:19" ht="29.5" x14ac:dyDescent="0.75">
      <c r="A27" s="23"/>
      <c r="B27" s="9"/>
      <c r="C27" s="9"/>
      <c r="D27" s="14"/>
      <c r="E27" s="14"/>
      <c r="F27" s="75"/>
      <c r="G27" s="75"/>
      <c r="H27" s="76"/>
      <c r="I27" s="14"/>
      <c r="J27" s="14"/>
      <c r="K27" s="14"/>
      <c r="L27" s="14"/>
      <c r="M27" s="14"/>
      <c r="N27" s="14"/>
      <c r="P27" s="9">
        <v>13</v>
      </c>
      <c r="Q27" s="9">
        <f t="shared" si="16"/>
        <v>2</v>
      </c>
      <c r="R27" s="9">
        <f t="shared" si="17"/>
        <v>1</v>
      </c>
      <c r="S27" s="14" t="str" cm="1">
        <f t="array" ref="S27">INDEX('Specimen-ConceptMap-1'!$I$15:$N$124,Q27+1,R27)</f>
        <v>* group[=].element[+].code = #SpecimenLab.material</v>
      </c>
    </row>
    <row r="28" spans="1:19" x14ac:dyDescent="0.75">
      <c r="B28" s="9"/>
      <c r="C28" s="9"/>
      <c r="D28" s="14"/>
      <c r="E28" s="14"/>
      <c r="F28" s="75"/>
      <c r="G28" s="75"/>
      <c r="H28" s="76"/>
      <c r="I28" s="14"/>
      <c r="J28" s="14"/>
      <c r="K28" s="14"/>
      <c r="L28" s="14"/>
      <c r="M28" s="14"/>
      <c r="N28" s="14"/>
      <c r="P28" s="9">
        <v>14</v>
      </c>
      <c r="Q28" s="9">
        <f t="shared" si="16"/>
        <v>2</v>
      </c>
      <c r="R28" s="9">
        <f t="shared" si="17"/>
        <v>2</v>
      </c>
      <c r="S28" s="14" t="str" cm="1">
        <f t="array" ref="S28">INDEX('Specimen-ConceptMap-1'!$I$15:$N$124,Q28+1,R28)</f>
        <v>* group[=].element[=].display = ##34#A.4.3 Material##34#</v>
      </c>
    </row>
    <row r="29" spans="1:19" x14ac:dyDescent="0.75">
      <c r="B29" s="9"/>
      <c r="C29" s="9"/>
      <c r="D29" s="14"/>
      <c r="E29" s="14"/>
      <c r="F29" s="75"/>
      <c r="G29" s="75"/>
      <c r="H29" s="76"/>
      <c r="I29" s="14"/>
      <c r="J29" s="14"/>
      <c r="K29" s="14"/>
      <c r="L29" s="14"/>
      <c r="M29" s="14"/>
      <c r="N29" s="14"/>
      <c r="P29" s="9">
        <v>15</v>
      </c>
      <c r="Q29" s="9">
        <f t="shared" si="16"/>
        <v>2</v>
      </c>
      <c r="R29" s="9">
        <f t="shared" si="17"/>
        <v>3</v>
      </c>
      <c r="S29" s="14" t="str" cm="1">
        <f t="array" ref="S29">INDEX('Specimen-ConceptMap-1'!$I$15:$N$124,Q29+1,R29)</f>
        <v>* group[=].element[=].target.code = #Specimen.type</v>
      </c>
    </row>
    <row r="30" spans="1:19" x14ac:dyDescent="0.75">
      <c r="B30" s="9"/>
      <c r="C30" s="9"/>
      <c r="D30" s="14"/>
      <c r="E30" s="14"/>
      <c r="F30" s="75"/>
      <c r="G30" s="75"/>
      <c r="H30" s="76"/>
      <c r="I30" s="14"/>
      <c r="J30" s="14"/>
      <c r="K30" s="14"/>
      <c r="L30" s="14"/>
      <c r="M30" s="14"/>
      <c r="N30" s="14"/>
      <c r="P30" s="9">
        <v>16</v>
      </c>
      <c r="Q30" s="9">
        <f t="shared" si="16"/>
        <v>2</v>
      </c>
      <c r="R30" s="9">
        <f t="shared" si="17"/>
        <v>4</v>
      </c>
      <c r="S30" s="14" t="str" cm="1">
        <f t="array" ref="S30">INDEX('Specimen-ConceptMap-1'!$I$15:$N$124,Q30+1,R30)</f>
        <v>* group[=].element[=].target.display = ##34###34#</v>
      </c>
    </row>
    <row r="31" spans="1:19" ht="29.5" x14ac:dyDescent="0.75">
      <c r="B31" s="9"/>
      <c r="C31" s="9"/>
      <c r="D31" s="14"/>
      <c r="E31" s="14"/>
      <c r="F31" s="75"/>
      <c r="G31" s="75"/>
      <c r="H31" s="76"/>
      <c r="I31" s="14"/>
      <c r="J31" s="14"/>
      <c r="K31" s="14"/>
      <c r="L31" s="14"/>
      <c r="M31" s="14"/>
      <c r="N31" s="14"/>
      <c r="P31" s="9">
        <v>17</v>
      </c>
      <c r="Q31" s="9">
        <f t="shared" si="16"/>
        <v>2</v>
      </c>
      <c r="R31" s="9">
        <f t="shared" si="17"/>
        <v>5</v>
      </c>
      <c r="S31" s="14" t="str" cm="1">
        <f t="array" ref="S31">INDEX('Specimen-ConceptMap-1'!$I$15:$N$124,Q31+1,R31)</f>
        <v>* group[=].element[=].target.equivalence = #equivalent</v>
      </c>
    </row>
    <row r="32" spans="1:19" x14ac:dyDescent="0.75">
      <c r="B32" s="9"/>
      <c r="C32" s="9"/>
      <c r="D32" s="14"/>
      <c r="E32" s="14"/>
      <c r="F32" s="75"/>
      <c r="G32" s="75"/>
      <c r="H32" s="76"/>
      <c r="I32" s="14"/>
      <c r="J32" s="14"/>
      <c r="K32" s="14"/>
      <c r="L32" s="14"/>
      <c r="M32" s="14"/>
      <c r="N32" s="14"/>
      <c r="P32" s="9">
        <v>18</v>
      </c>
      <c r="Q32" s="9">
        <f t="shared" si="16"/>
        <v>2</v>
      </c>
      <c r="R32" s="9">
        <f t="shared" si="17"/>
        <v>6</v>
      </c>
      <c r="S32" s="14" t="str" cm="1">
        <f t="array" ref="S32">INDEX('Specimen-ConceptMap-1'!$I$15:$N$124,Q32+1,R32)</f>
        <v/>
      </c>
    </row>
    <row r="33" spans="1:19" x14ac:dyDescent="0.75">
      <c r="B33" s="9"/>
      <c r="C33" s="9"/>
      <c r="D33" s="14"/>
      <c r="E33" s="14"/>
      <c r="F33" s="75"/>
      <c r="G33" s="75"/>
      <c r="H33" s="76"/>
      <c r="I33" s="14"/>
      <c r="J33" s="14"/>
      <c r="K33" s="14"/>
      <c r="L33" s="14"/>
      <c r="M33" s="14"/>
      <c r="N33" s="14"/>
      <c r="P33" s="9">
        <v>19</v>
      </c>
      <c r="Q33" s="9">
        <f t="shared" si="16"/>
        <v>3</v>
      </c>
      <c r="R33" s="9">
        <f t="shared" si="17"/>
        <v>1</v>
      </c>
      <c r="S33" s="14" t="str" cm="1">
        <f t="array" ref="S33">INDEX('Specimen-ConceptMap-1'!$I$15:$N$124,Q33+1,R33)</f>
        <v>* group[=].element[+].code = #SpecimenLab.collected</v>
      </c>
    </row>
    <row r="34" spans="1:19" x14ac:dyDescent="0.75">
      <c r="B34" s="9"/>
      <c r="C34" s="9"/>
      <c r="D34" s="14"/>
      <c r="E34" s="14"/>
      <c r="F34" s="75"/>
      <c r="G34" s="75"/>
      <c r="H34" s="76"/>
      <c r="I34" s="14"/>
      <c r="J34" s="14"/>
      <c r="K34" s="14"/>
      <c r="L34" s="14"/>
      <c r="M34" s="14"/>
      <c r="N34" s="14"/>
      <c r="P34" s="9">
        <v>20</v>
      </c>
      <c r="Q34" s="9">
        <f t="shared" si="16"/>
        <v>3</v>
      </c>
      <c r="R34" s="9">
        <f t="shared" si="17"/>
        <v>2</v>
      </c>
      <c r="S34" s="14" t="str" cm="1">
        <f t="array" ref="S34">INDEX('Specimen-ConceptMap-1'!$I$15:$N$124,Q34+1,R34)</f>
        <v>* group[=].element[=].display = ##34#A.4.4 Collection period##34#</v>
      </c>
    </row>
    <row r="35" spans="1:19" ht="29.5" x14ac:dyDescent="0.75">
      <c r="B35" s="9"/>
      <c r="C35" s="9"/>
      <c r="D35" s="14"/>
      <c r="E35" s="14"/>
      <c r="F35" s="75"/>
      <c r="G35" s="75"/>
      <c r="H35" s="76"/>
      <c r="I35" s="14"/>
      <c r="J35" s="14"/>
      <c r="K35" s="14"/>
      <c r="L35" s="14"/>
      <c r="M35" s="14"/>
      <c r="N35" s="1"/>
      <c r="P35" s="9">
        <v>21</v>
      </c>
      <c r="Q35" s="9">
        <f t="shared" si="16"/>
        <v>3</v>
      </c>
      <c r="R35" s="9">
        <f t="shared" si="17"/>
        <v>3</v>
      </c>
      <c r="S35" s="14" t="str" cm="1">
        <f t="array" ref="S35">INDEX('Specimen-ConceptMap-1'!$I$15:$N$124,Q35+1,R35)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16"/>
        <v>3</v>
      </c>
      <c r="R36" s="9">
        <f t="shared" si="17"/>
        <v>4</v>
      </c>
      <c r="S36" s="14" t="str" cm="1">
        <f t="array" ref="S36">INDEX('Specimen-ConceptMap-1'!$I$15:$N$124,Q36+1,R36)</f>
        <v>* group[=].element[=].target.display = ##34###34#</v>
      </c>
    </row>
    <row r="37" spans="1:19" x14ac:dyDescent="0.75">
      <c r="B37" s="9"/>
      <c r="C37" s="9"/>
      <c r="D37" s="14"/>
      <c r="E37" s="14"/>
      <c r="F37" s="75"/>
      <c r="G37" s="75"/>
      <c r="H37" s="76"/>
      <c r="I37" s="14"/>
      <c r="J37" s="14"/>
      <c r="K37" s="14"/>
      <c r="L37" s="14"/>
      <c r="M37" s="14"/>
      <c r="N37" s="1"/>
      <c r="P37" s="9">
        <v>23</v>
      </c>
      <c r="Q37" s="9">
        <f t="shared" si="16"/>
        <v>3</v>
      </c>
      <c r="R37" s="9">
        <f t="shared" si="17"/>
        <v>5</v>
      </c>
      <c r="S37" s="14" t="str" cm="1">
        <f t="array" ref="S37">INDEX('Specimen-ConceptMap-1'!$I$15:$N$124,Q37+1,R37)</f>
        <v>* group[=].element[=].target.equivalence = #equivalent</v>
      </c>
    </row>
    <row r="38" spans="1:19" x14ac:dyDescent="0.75">
      <c r="B38" s="9"/>
      <c r="C38" s="9"/>
      <c r="D38" s="14"/>
      <c r="E38" s="14"/>
      <c r="F38" s="75"/>
      <c r="G38" s="75"/>
      <c r="H38" s="76"/>
      <c r="K38" s="76"/>
      <c r="L38" s="76"/>
      <c r="M38" s="74"/>
      <c r="N38" s="74"/>
      <c r="P38" s="9">
        <v>24</v>
      </c>
      <c r="Q38" s="9">
        <f t="shared" si="16"/>
        <v>3</v>
      </c>
      <c r="R38" s="9">
        <f t="shared" si="17"/>
        <v>6</v>
      </c>
      <c r="S38" s="14" t="str" cm="1">
        <f t="array" ref="S38">INDEX('Specimen-ConceptMap-1'!$I$15:$N$124,Q38+1,R38)</f>
        <v/>
      </c>
    </row>
    <row r="39" spans="1:19" ht="29.5" x14ac:dyDescent="0.75">
      <c r="B39" s="9"/>
      <c r="C39" s="9"/>
      <c r="D39" s="14"/>
      <c r="E39" s="14"/>
      <c r="F39" s="75"/>
      <c r="G39" s="75"/>
      <c r="H39" s="76"/>
      <c r="K39" s="76"/>
      <c r="L39" s="76"/>
      <c r="M39" s="74"/>
      <c r="N39" s="74"/>
      <c r="P39" s="9">
        <v>25</v>
      </c>
      <c r="Q39" s="9">
        <f t="shared" si="16"/>
        <v>4</v>
      </c>
      <c r="R39" s="9">
        <f t="shared" si="17"/>
        <v>1</v>
      </c>
      <c r="S39" s="14" t="str" cm="1">
        <f t="array" ref="S39">INDEX('Specimen-ConceptMap-1'!$I$15:$N$124,Q39+1,R39)</f>
        <v>* group[=].element[+].code = #SpecimenLab.anatomicLocation</v>
      </c>
    </row>
    <row r="40" spans="1:19" s="1" customFormat="1" x14ac:dyDescent="0.75">
      <c r="A40"/>
      <c r="B40" s="9"/>
      <c r="C40" s="9"/>
      <c r="D40" s="14"/>
      <c r="E40" s="14"/>
      <c r="F40" s="75"/>
      <c r="G40" s="76"/>
      <c r="H40" s="76"/>
      <c r="J40"/>
      <c r="K40" s="76"/>
      <c r="L40" s="76"/>
      <c r="M40" s="74"/>
      <c r="N40" s="74"/>
      <c r="P40" s="9">
        <v>26</v>
      </c>
      <c r="Q40" s="9">
        <f t="shared" si="16"/>
        <v>4</v>
      </c>
      <c r="R40" s="9">
        <f t="shared" si="17"/>
        <v>2</v>
      </c>
      <c r="S40" s="14" t="str" cm="1">
        <f t="array" ref="S40">INDEX('Specimen-ConceptMap-1'!$I$15:$N$124,Q40+1,R40)</f>
        <v>* group[=].element[=].display = ##34#A.4.5 Anatomic location##34#</v>
      </c>
    </row>
    <row r="41" spans="1:19" s="1" customFormat="1" x14ac:dyDescent="0.75">
      <c r="A41"/>
      <c r="B41" s="9"/>
      <c r="C41" s="9"/>
      <c r="D41" s="60"/>
      <c r="F41" s="76"/>
      <c r="G41" s="76"/>
      <c r="H41" s="76"/>
      <c r="J41"/>
      <c r="K41" s="76"/>
      <c r="L41" s="76"/>
      <c r="M41" s="74"/>
      <c r="N41" s="74"/>
      <c r="P41" s="9">
        <v>27</v>
      </c>
      <c r="Q41" s="9">
        <f t="shared" si="16"/>
        <v>4</v>
      </c>
      <c r="R41" s="9">
        <f t="shared" si="17"/>
        <v>3</v>
      </c>
      <c r="S41" s="14" t="str" cm="1">
        <f t="array" ref="S41">INDEX('Specimen-ConceptMap-1'!$I$15:$N$124,Q41+1,R41)</f>
        <v>* group[=].element[=].target.code = #Specimen.collection.bodySite</v>
      </c>
    </row>
    <row r="42" spans="1:19" s="1" customFormat="1" x14ac:dyDescent="0.75">
      <c r="A42"/>
      <c r="B42" s="9"/>
      <c r="C42" s="9"/>
      <c r="F42" s="76"/>
      <c r="G42" s="76"/>
      <c r="H42" s="76"/>
      <c r="J42"/>
      <c r="K42" s="76"/>
      <c r="L42" s="76"/>
      <c r="M42" s="74"/>
      <c r="N42" s="74"/>
      <c r="P42" s="9">
        <v>28</v>
      </c>
      <c r="Q42" s="9">
        <f t="shared" si="16"/>
        <v>4</v>
      </c>
      <c r="R42" s="9">
        <f t="shared" si="17"/>
        <v>4</v>
      </c>
      <c r="S42" s="14" t="str" cm="1">
        <f t="array" ref="S42">INDEX('Specimen-ConceptMap-1'!$I$15:$N$124,Q42+1,R42)</f>
        <v>* group[=].element[=].target.display = ##34###34#</v>
      </c>
    </row>
    <row r="43" spans="1:19" s="1" customFormat="1" ht="29.5" x14ac:dyDescent="0.75">
      <c r="A43"/>
      <c r="B43" s="9"/>
      <c r="C43" s="9"/>
      <c r="F43" s="76"/>
      <c r="G43" s="76"/>
      <c r="H43" s="76"/>
      <c r="J43" s="76"/>
      <c r="K43" s="76"/>
      <c r="L43" s="76"/>
      <c r="M43" s="74"/>
      <c r="N43" s="74"/>
      <c r="P43" s="9">
        <v>29</v>
      </c>
      <c r="Q43" s="9">
        <f t="shared" si="16"/>
        <v>4</v>
      </c>
      <c r="R43" s="9">
        <f t="shared" si="17"/>
        <v>5</v>
      </c>
      <c r="S43" s="14" t="str" cm="1">
        <f t="array" ref="S43">INDEX('Specimen-ConceptMap-1'!$I$15:$N$124,Q43+1,R43)</f>
        <v>* group[=].element[=].target.equivalence = #relatedto</v>
      </c>
    </row>
    <row r="44" spans="1:19" s="1" customFormat="1" x14ac:dyDescent="0.75">
      <c r="A44"/>
      <c r="B44" s="9"/>
      <c r="C44" s="9"/>
      <c r="F44" s="76"/>
      <c r="G44" s="76"/>
      <c r="H44" s="76"/>
      <c r="J44" s="76"/>
      <c r="K44" s="76"/>
      <c r="L44" s="76"/>
      <c r="M44" s="74"/>
      <c r="N44" s="74"/>
      <c r="P44" s="9">
        <v>30</v>
      </c>
      <c r="Q44" s="9">
        <f t="shared" si="16"/>
        <v>4</v>
      </c>
      <c r="R44" s="9">
        <f t="shared" si="17"/>
        <v>6</v>
      </c>
      <c r="S44" s="14" t="str" cm="1">
        <f t="array" ref="S44">INDEX('Specimen-ConceptMap-1'!$I$15:$N$124,Q44+1,R44)</f>
        <v/>
      </c>
    </row>
    <row r="45" spans="1:19" x14ac:dyDescent="0.75">
      <c r="P45" s="9">
        <v>31</v>
      </c>
      <c r="Q45" s="9">
        <f t="shared" si="16"/>
        <v>5</v>
      </c>
      <c r="R45" s="9">
        <f t="shared" si="17"/>
        <v>1</v>
      </c>
      <c r="S45" s="14" t="str" cm="1">
        <f t="array" ref="S45">INDEX('Specimen-ConceptMap-1'!$I$15:$N$124,Q45+1,R45)</f>
        <v>* group[=].element[+].code = #SpecimenLab.morphology</v>
      </c>
    </row>
    <row r="46" spans="1:19" x14ac:dyDescent="0.75">
      <c r="P46" s="9">
        <v>32</v>
      </c>
      <c r="Q46" s="9">
        <f t="shared" si="16"/>
        <v>5</v>
      </c>
      <c r="R46" s="9">
        <f t="shared" si="17"/>
        <v>2</v>
      </c>
      <c r="S46" s="14" t="str" cm="1">
        <f t="array" ref="S46">INDEX('Specimen-ConceptMap-1'!$I$15:$N$124,Q46+1,R46)</f>
        <v>* group[=].element[=].display = ##34#A.4.6 Morphology##34#</v>
      </c>
    </row>
    <row r="47" spans="1:19" ht="29.5" x14ac:dyDescent="0.75">
      <c r="P47" s="9">
        <v>33</v>
      </c>
      <c r="Q47" s="9">
        <f t="shared" si="16"/>
        <v>5</v>
      </c>
      <c r="R47" s="9">
        <f t="shared" si="17"/>
        <v>3</v>
      </c>
      <c r="S47" s="14" t="str" cm="1">
        <f t="array" ref="S47">INDEX('Specimen-ConceptMap-1'!$I$15:$N$124,Q47+1,R47)</f>
        <v>* group[=].element[=].target.code = #Specimen.extension:SpecimenFeatureTypeR5</v>
      </c>
    </row>
    <row r="48" spans="1:19" x14ac:dyDescent="0.75">
      <c r="P48" s="9">
        <v>34</v>
      </c>
      <c r="Q48" s="9">
        <f t="shared" si="16"/>
        <v>5</v>
      </c>
      <c r="R48" s="9">
        <f t="shared" si="17"/>
        <v>4</v>
      </c>
      <c r="S48" s="14" t="str" cm="1">
        <f t="array" ref="S48">INDEX('Specimen-ConceptMap-1'!$I$15:$N$124,Q48+1,R48)</f>
        <v>* group[=].element[=].target.display = ##34###34#</v>
      </c>
    </row>
    <row r="49" spans="16:19" x14ac:dyDescent="0.75">
      <c r="P49" s="9">
        <v>35</v>
      </c>
      <c r="Q49" s="9">
        <f t="shared" si="16"/>
        <v>5</v>
      </c>
      <c r="R49" s="9">
        <f t="shared" si="17"/>
        <v>5</v>
      </c>
      <c r="S49" s="14" t="str" cm="1">
        <f t="array" ref="S49">INDEX('Specimen-ConceptMap-1'!$I$15:$N$124,Q49+1,R49)</f>
        <v>* group[=].element[=].target.equivalence = #relatedto</v>
      </c>
    </row>
    <row r="50" spans="16:19" x14ac:dyDescent="0.75">
      <c r="P50" s="9">
        <v>36</v>
      </c>
      <c r="Q50" s="9">
        <f t="shared" si="16"/>
        <v>5</v>
      </c>
      <c r="R50" s="9">
        <f t="shared" si="17"/>
        <v>6</v>
      </c>
      <c r="S50" s="14" t="str" cm="1">
        <f t="array" ref="S50">INDEX('Specimen-ConceptMap-1'!$I$15:$N$124,Q50+1,R50)</f>
        <v/>
      </c>
    </row>
    <row r="51" spans="16:19" ht="29.5" x14ac:dyDescent="0.75">
      <c r="P51" s="9">
        <v>37</v>
      </c>
      <c r="Q51" s="9">
        <f t="shared" si="16"/>
        <v>6</v>
      </c>
      <c r="R51" s="9">
        <f t="shared" si="17"/>
        <v>1</v>
      </c>
      <c r="S51" s="14" t="str" cm="1">
        <f t="array" ref="S51">INDEX('Specimen-ConceptMap-1'!$I$15:$N$124,Q51+1,R51)</f>
        <v>* group[=].element[+].code = #SpecimenLab.sourceDevice</v>
      </c>
    </row>
    <row r="52" spans="16:19" x14ac:dyDescent="0.75">
      <c r="P52" s="9">
        <v>38</v>
      </c>
      <c r="Q52" s="9">
        <f t="shared" si="16"/>
        <v>6</v>
      </c>
      <c r="R52" s="9">
        <f t="shared" si="17"/>
        <v>2</v>
      </c>
      <c r="S52" s="14" t="str" cm="1">
        <f t="array" ref="S52">INDEX('Specimen-ConceptMap-1'!$I$15:$N$124,Q52+1,R52)</f>
        <v>* group[=].element[=].display = ##34#A.4.7 Source Device##34#</v>
      </c>
    </row>
    <row r="53" spans="16:19" x14ac:dyDescent="0.75">
      <c r="P53" s="9">
        <v>39</v>
      </c>
      <c r="Q53" s="9">
        <f t="shared" si="16"/>
        <v>6</v>
      </c>
      <c r="R53" s="9">
        <f t="shared" si="17"/>
        <v>3</v>
      </c>
      <c r="S53" s="14" t="str" cm="1">
        <f t="array" ref="S53">INDEX('Specimen-ConceptMap-1'!$I$15:$N$124,Q53+1,R53)</f>
        <v>* group[=].element[=].target.code = #Specimen.subject</v>
      </c>
    </row>
    <row r="54" spans="16:19" x14ac:dyDescent="0.75">
      <c r="P54" s="9">
        <v>40</v>
      </c>
      <c r="Q54" s="9">
        <f t="shared" si="16"/>
        <v>6</v>
      </c>
      <c r="R54" s="9">
        <f t="shared" si="17"/>
        <v>4</v>
      </c>
      <c r="S54" s="14" t="str" cm="1">
        <f t="array" ref="S54">INDEX('Specimen-ConceptMap-1'!$I$15:$N$124,Q54+1,R54)</f>
        <v>* group[=].element[=].target.display = ##34###34#</v>
      </c>
    </row>
    <row r="55" spans="16:19" ht="29.5" x14ac:dyDescent="0.75">
      <c r="P55" s="9">
        <v>41</v>
      </c>
      <c r="Q55" s="9">
        <f t="shared" si="16"/>
        <v>6</v>
      </c>
      <c r="R55" s="9">
        <f t="shared" si="17"/>
        <v>5</v>
      </c>
      <c r="S55" s="14" t="str" cm="1">
        <f t="array" ref="S55">INDEX('Specimen-ConceptMap-1'!$I$15:$N$124,Q55+1,R55)</f>
        <v>* group[=].element[=].target.equivalence = #relatedto</v>
      </c>
    </row>
    <row r="56" spans="16:19" x14ac:dyDescent="0.75">
      <c r="P56" s="9">
        <v>42</v>
      </c>
      <c r="Q56" s="9">
        <f t="shared" si="16"/>
        <v>6</v>
      </c>
      <c r="R56" s="9">
        <f t="shared" si="17"/>
        <v>6</v>
      </c>
      <c r="S56" s="14" t="str" cm="1">
        <f t="array" ref="S56">INDEX('Specimen-ConceptMap-1'!$I$15:$N$124,Q56+1,R56)</f>
        <v>* group[=].element[=].target.comment = ##34#When the device (e.g. the catheter) is what has been examinated##34#</v>
      </c>
    </row>
    <row r="57" spans="16:19" x14ac:dyDescent="0.75">
      <c r="P57" s="9">
        <v>43</v>
      </c>
      <c r="Q57" s="9">
        <f t="shared" si="16"/>
        <v>7</v>
      </c>
      <c r="R57" s="9">
        <f t="shared" si="17"/>
        <v>1</v>
      </c>
      <c r="S57" s="14" t="str" cm="1">
        <f t="array" ref="S57">INDEX('Specimen-ConceptMap-1'!$I$15:$N$124,Q57+1,R57)</f>
        <v>* group[=].element[+].code = #SpecimenLab.sourceDevice</v>
      </c>
    </row>
    <row r="58" spans="16:19" x14ac:dyDescent="0.75">
      <c r="P58" s="9">
        <v>44</v>
      </c>
      <c r="Q58" s="9">
        <f t="shared" si="16"/>
        <v>7</v>
      </c>
      <c r="R58" s="9">
        <f t="shared" si="17"/>
        <v>2</v>
      </c>
      <c r="S58" s="14" t="str" cm="1">
        <f t="array" ref="S58">INDEX('Specimen-ConceptMap-1'!$I$15:$N$124,Q58+1,R58)</f>
        <v>* group[=].element[=].display = ##34#A.4.7 Source Device##34#</v>
      </c>
    </row>
    <row r="59" spans="16:19" ht="29.5" x14ac:dyDescent="0.75">
      <c r="P59" s="9">
        <v>45</v>
      </c>
      <c r="Q59" s="9">
        <f t="shared" si="16"/>
        <v>7</v>
      </c>
      <c r="R59" s="9">
        <f t="shared" si="17"/>
        <v>3</v>
      </c>
      <c r="S59" s="14" t="str" cm="1">
        <f t="array" ref="S59">INDEX('Specimen-ConceptMap-1'!$I$15:$N$124,Q59+1,R59)</f>
        <v>* group[=].element[=].target.code = #Specimen.collection.method</v>
      </c>
    </row>
    <row r="60" spans="16:19" x14ac:dyDescent="0.75">
      <c r="P60" s="9">
        <v>46</v>
      </c>
      <c r="Q60" s="9">
        <f t="shared" si="16"/>
        <v>7</v>
      </c>
      <c r="R60" s="9">
        <f t="shared" si="17"/>
        <v>4</v>
      </c>
      <c r="S60" s="14" t="str" cm="1">
        <f t="array" ref="S60">INDEX('Specimen-ConceptMap-1'!$I$15:$N$124,Q60+1,R60)</f>
        <v>* group[=].element[=].target.display = ##34###34#</v>
      </c>
    </row>
    <row r="61" spans="16:19" x14ac:dyDescent="0.75">
      <c r="P61" s="9">
        <v>47</v>
      </c>
      <c r="Q61" s="9">
        <f t="shared" si="16"/>
        <v>7</v>
      </c>
      <c r="R61" s="9">
        <f t="shared" si="17"/>
        <v>5</v>
      </c>
      <c r="S61" s="14" t="str" cm="1">
        <f t="array" ref="S61">INDEX('Specimen-ConceptMap-1'!$I$15:$N$124,Q61+1,R61)</f>
        <v>* group[=].element[=].target.equivalence = #relatedto</v>
      </c>
    </row>
    <row r="62" spans="16:19" x14ac:dyDescent="0.75">
      <c r="P62" s="9">
        <v>48</v>
      </c>
      <c r="Q62" s="9">
        <f t="shared" si="16"/>
        <v>7</v>
      </c>
      <c r="R62" s="9">
        <f t="shared" si="17"/>
        <v>6</v>
      </c>
      <c r="S62" s="14" t="str" cm="1">
        <f t="array" ref="S62">INDEX('Specimen-ConceptMap-1'!$I$15:$N$124,Q62+1,R62)</f>
        <v>* group[=].element[=].target.comment = ##34#When the device is the mean used to collect the specimen (e.g blood collected from the catheter) ##34#</v>
      </c>
    </row>
    <row r="63" spans="16:19" ht="29.5" x14ac:dyDescent="0.75">
      <c r="P63" s="9">
        <v>49</v>
      </c>
      <c r="Q63" s="9">
        <f t="shared" si="16"/>
        <v>8</v>
      </c>
      <c r="R63" s="9">
        <f t="shared" si="17"/>
        <v>1</v>
      </c>
      <c r="S63" s="14" t="str" cm="1">
        <f t="array" ref="S63">INDEX('Specimen-ConceptMap-1'!$I$15:$N$124,Q63+1,R63)</f>
        <v>* group[=].element[+].code = #SpecimenLab.collectionMethod</v>
      </c>
    </row>
    <row r="64" spans="16:19" x14ac:dyDescent="0.75">
      <c r="P64" s="9">
        <v>50</v>
      </c>
      <c r="Q64" s="9">
        <f t="shared" si="16"/>
        <v>8</v>
      </c>
      <c r="R64" s="9">
        <f t="shared" si="17"/>
        <v>2</v>
      </c>
      <c r="S64" s="14" t="str" cm="1">
        <f t="array" ref="S64">INDEX('Specimen-ConceptMap-1'!$I$15:$N$124,Q64+1,R64)</f>
        <v>* group[=].element[=].display = ##34#A.4.8 Collection procedure/method##34#</v>
      </c>
    </row>
    <row r="65" spans="16:19" x14ac:dyDescent="0.75">
      <c r="P65" s="9">
        <v>51</v>
      </c>
      <c r="Q65" s="9">
        <f t="shared" si="16"/>
        <v>8</v>
      </c>
      <c r="R65" s="9">
        <f t="shared" si="17"/>
        <v>3</v>
      </c>
      <c r="S65" s="14" t="str" cm="1">
        <f t="array" ref="S65">INDEX('Specimen-ConceptMap-1'!$I$15:$N$124,Q65+1,R65)</f>
        <v>* group[=].element[=].target.code = #Specimen.collection.method</v>
      </c>
    </row>
    <row r="66" spans="16:19" x14ac:dyDescent="0.75">
      <c r="P66" s="9">
        <v>52</v>
      </c>
      <c r="Q66" s="9">
        <f t="shared" si="16"/>
        <v>8</v>
      </c>
      <c r="R66" s="9">
        <f t="shared" si="17"/>
        <v>4</v>
      </c>
      <c r="S66" s="14" t="str" cm="1">
        <f t="array" ref="S66">INDEX('Specimen-ConceptMap-1'!$I$15:$N$124,Q66+1,R66)</f>
        <v>* group[=].element[=].target.display = ##34###34#</v>
      </c>
    </row>
    <row r="67" spans="16:19" ht="29.5" x14ac:dyDescent="0.75">
      <c r="P67" s="9">
        <v>53</v>
      </c>
      <c r="Q67" s="9">
        <f t="shared" si="16"/>
        <v>8</v>
      </c>
      <c r="R67" s="9">
        <f t="shared" si="17"/>
        <v>5</v>
      </c>
      <c r="S67" s="14" t="str" cm="1">
        <f t="array" ref="S67">INDEX('Specimen-ConceptMap-1'!$I$15:$N$124,Q67+1,R67)</f>
        <v>* group[=].element[=].target.equivalence = #equivalent</v>
      </c>
    </row>
    <row r="68" spans="16:19" x14ac:dyDescent="0.75">
      <c r="P68" s="9">
        <v>54</v>
      </c>
      <c r="Q68" s="9">
        <f t="shared" si="16"/>
        <v>8</v>
      </c>
      <c r="R68" s="9">
        <f t="shared" si="17"/>
        <v>6</v>
      </c>
      <c r="S68" s="14" t="str" cm="1">
        <f t="array" ref="S68">INDEX('Specimen-ConceptMap-1'!$I$15:$N$124,Q68+1,R68)</f>
        <v/>
      </c>
    </row>
    <row r="69" spans="16:19" x14ac:dyDescent="0.75">
      <c r="P69" s="9">
        <v>55</v>
      </c>
      <c r="Q69" s="9">
        <f t="shared" si="16"/>
        <v>9</v>
      </c>
      <c r="R69" s="9">
        <f t="shared" si="17"/>
        <v>1</v>
      </c>
      <c r="S69" s="14" t="str" cm="1">
        <f t="array" ref="S69">INDEX('Specimen-ConceptMap-1'!$I$15:$N$124,Q69+1,R69)</f>
        <v>* group[=].element[+].code = #SpecimenLab.receivedDateTime</v>
      </c>
    </row>
    <row r="70" spans="16:19" x14ac:dyDescent="0.75">
      <c r="P70" s="9">
        <v>56</v>
      </c>
      <c r="Q70" s="9">
        <f t="shared" si="16"/>
        <v>9</v>
      </c>
      <c r="R70" s="9">
        <f t="shared" si="17"/>
        <v>2</v>
      </c>
      <c r="S70" s="14" t="str" cm="1">
        <f t="array" ref="S70">INDEX('Specimen-ConceptMap-1'!$I$15:$N$124,Q70+1,R70)</f>
        <v>* group[=].element[=].display = ##34#A.4.9 Received date##34#</v>
      </c>
    </row>
    <row r="71" spans="16:19" ht="29.5" x14ac:dyDescent="0.75">
      <c r="P71" s="9">
        <v>57</v>
      </c>
      <c r="Q71" s="9">
        <f t="shared" si="16"/>
        <v>9</v>
      </c>
      <c r="R71" s="9">
        <f t="shared" si="17"/>
        <v>3</v>
      </c>
      <c r="S71" s="14" t="str" cm="1">
        <f t="array" ref="S71">INDEX('Specimen-ConceptMap-1'!$I$15:$N$124,Q71+1,R71)</f>
        <v>* group[=].element[=].target.code = #Specimen.receivedTime</v>
      </c>
    </row>
    <row r="72" spans="16:19" x14ac:dyDescent="0.75">
      <c r="P72" s="9">
        <v>58</v>
      </c>
      <c r="Q72" s="9">
        <f t="shared" si="16"/>
        <v>9</v>
      </c>
      <c r="R72" s="9">
        <f t="shared" si="17"/>
        <v>4</v>
      </c>
      <c r="S72" s="14" t="str" cm="1">
        <f t="array" ref="S72">INDEX('Specimen-ConceptMap-1'!$I$15:$N$124,Q72+1,R72)</f>
        <v>* group[=].element[=].target.display = ##34###34#</v>
      </c>
    </row>
    <row r="73" spans="16:19" x14ac:dyDescent="0.75">
      <c r="P73" s="9">
        <v>59</v>
      </c>
      <c r="Q73" s="9">
        <f t="shared" si="16"/>
        <v>9</v>
      </c>
      <c r="R73" s="9">
        <f t="shared" si="17"/>
        <v>5</v>
      </c>
      <c r="S73" s="14" t="str" cm="1">
        <f t="array" ref="S73">INDEX('Specimen-ConceptMap-1'!$I$15:$N$124,Q73+1,R73)</f>
        <v>* group[=].element[=].target.equivalence = #equivalent</v>
      </c>
    </row>
    <row r="74" spans="16:19" x14ac:dyDescent="0.75">
      <c r="P74" s="9">
        <v>60</v>
      </c>
      <c r="Q74" s="9">
        <f t="shared" si="16"/>
        <v>9</v>
      </c>
      <c r="R74" s="9">
        <f t="shared" si="17"/>
        <v>6</v>
      </c>
      <c r="S74" s="14" t="str" cm="1">
        <f t="array" ref="S74">INDEX('Specimen-ConceptMap-1'!$I$15:$N$124,Q74+1,R74)</f>
        <v/>
      </c>
    </row>
    <row r="75" spans="16:19" ht="29.5" x14ac:dyDescent="0.75">
      <c r="P75" s="9">
        <v>61</v>
      </c>
      <c r="Q75" s="9">
        <f t="shared" si="16"/>
        <v>10</v>
      </c>
      <c r="R75" s="9">
        <f t="shared" si="17"/>
        <v>1</v>
      </c>
      <c r="S75" s="14" cm="1">
        <f t="array" ref="S75">INDEX('Specimen-ConceptMap-1'!$I$15:$N$124,Q75+1,R75)</f>
        <v>0</v>
      </c>
    </row>
    <row r="76" spans="16:19" x14ac:dyDescent="0.75">
      <c r="P76" s="9">
        <v>62</v>
      </c>
      <c r="Q76" s="9">
        <f t="shared" si="16"/>
        <v>10</v>
      </c>
      <c r="R76" s="9">
        <f t="shared" si="17"/>
        <v>2</v>
      </c>
      <c r="S76" s="14" cm="1">
        <f t="array" ref="S76">INDEX('Specimen-ConceptMap-1'!$I$15:$N$124,Q76+1,R76)</f>
        <v>0</v>
      </c>
    </row>
    <row r="77" spans="16:19" x14ac:dyDescent="0.75">
      <c r="P77" s="9">
        <v>63</v>
      </c>
      <c r="Q77" s="9">
        <f t="shared" si="16"/>
        <v>10</v>
      </c>
      <c r="R77" s="9">
        <f t="shared" si="17"/>
        <v>3</v>
      </c>
      <c r="S77" s="14" cm="1">
        <f t="array" ref="S77">INDEX('Specimen-ConceptMap-1'!$I$15:$N$124,Q77+1,R77)</f>
        <v>0</v>
      </c>
    </row>
    <row r="78" spans="16:19" x14ac:dyDescent="0.75">
      <c r="P78" s="9">
        <v>64</v>
      </c>
      <c r="Q78" s="9">
        <f t="shared" ref="Q78:Q86" si="18">IF(MOD(P78,$Q$8)=0,P78/$Q$8-1,INT(P78/$Q$8))</f>
        <v>10</v>
      </c>
      <c r="R78" s="9">
        <f t="shared" ref="R78:R86" si="19">IF(MOD(P78,$Q$8)=0,$Q$8,MOD(P78,$Q$8))</f>
        <v>4</v>
      </c>
      <c r="S78" s="14" cm="1">
        <f t="array" ref="S78">INDEX('Specimen-ConceptMap-1'!$I$15:$N$124,Q78+1,R78)</f>
        <v>0</v>
      </c>
    </row>
    <row r="79" spans="16:19" x14ac:dyDescent="0.75">
      <c r="P79" s="9">
        <v>65</v>
      </c>
      <c r="Q79" s="9">
        <f t="shared" si="18"/>
        <v>10</v>
      </c>
      <c r="R79" s="9">
        <f t="shared" si="19"/>
        <v>5</v>
      </c>
      <c r="S79" s="14" cm="1">
        <f t="array" ref="S79">INDEX('Specimen-ConceptMap-1'!$I$15:$N$124,Q79+1,R79)</f>
        <v>0</v>
      </c>
    </row>
    <row r="80" spans="16:19" x14ac:dyDescent="0.75">
      <c r="P80" s="9">
        <v>66</v>
      </c>
      <c r="Q80" s="9">
        <f t="shared" si="18"/>
        <v>10</v>
      </c>
      <c r="R80" s="9">
        <f t="shared" si="19"/>
        <v>6</v>
      </c>
      <c r="S80" s="14" cm="1">
        <f t="array" ref="S80">INDEX('Specimen-ConceptMap-1'!$I$15:$N$124,Q80+1,R80)</f>
        <v>0</v>
      </c>
    </row>
    <row r="81" spans="16:19" x14ac:dyDescent="0.75">
      <c r="P81" s="9">
        <v>67</v>
      </c>
      <c r="Q81" s="9">
        <f t="shared" si="18"/>
        <v>11</v>
      </c>
      <c r="R81" s="9">
        <f t="shared" si="19"/>
        <v>1</v>
      </c>
      <c r="S81" s="14" cm="1">
        <f t="array" ref="S81">INDEX('Specimen-ConceptMap-1'!$I$15:$N$124,Q81+1,R81)</f>
        <v>0</v>
      </c>
    </row>
    <row r="82" spans="16:19" x14ac:dyDescent="0.75">
      <c r="P82" s="9">
        <v>68</v>
      </c>
      <c r="Q82" s="9">
        <f t="shared" si="18"/>
        <v>11</v>
      </c>
      <c r="R82" s="9">
        <f t="shared" si="19"/>
        <v>2</v>
      </c>
      <c r="S82" s="14" cm="1">
        <f t="array" ref="S82">INDEX('Specimen-ConceptMap-1'!$I$15:$N$124,Q82+1,R82)</f>
        <v>0</v>
      </c>
    </row>
    <row r="83" spans="16:19" x14ac:dyDescent="0.75">
      <c r="P83" s="9">
        <v>69</v>
      </c>
      <c r="Q83" s="9">
        <f t="shared" si="18"/>
        <v>11</v>
      </c>
      <c r="R83" s="9">
        <f t="shared" si="19"/>
        <v>3</v>
      </c>
      <c r="S83" s="14" cm="1">
        <f t="array" ref="S83">INDEX('Specimen-ConceptMap-1'!$I$15:$N$124,Q83+1,R83)</f>
        <v>0</v>
      </c>
    </row>
    <row r="84" spans="16:19" x14ac:dyDescent="0.75">
      <c r="P84" s="9">
        <v>70</v>
      </c>
      <c r="Q84" s="9">
        <f t="shared" si="18"/>
        <v>11</v>
      </c>
      <c r="R84" s="9">
        <f t="shared" si="19"/>
        <v>4</v>
      </c>
      <c r="S84" s="14" cm="1">
        <f t="array" ref="S84">INDEX('Specimen-ConceptMap-1'!$I$15:$N$124,Q84+1,R84)</f>
        <v>0</v>
      </c>
    </row>
    <row r="85" spans="16:19" x14ac:dyDescent="0.75">
      <c r="P85" s="9">
        <v>71</v>
      </c>
      <c r="Q85" s="9">
        <f t="shared" si="18"/>
        <v>11</v>
      </c>
      <c r="R85" s="9">
        <f t="shared" si="19"/>
        <v>5</v>
      </c>
      <c r="S85" s="14" cm="1">
        <f t="array" ref="S85">INDEX('Specimen-ConceptMap-1'!$I$15:$N$124,Q85+1,R85)</f>
        <v>0</v>
      </c>
    </row>
    <row r="86" spans="16:19" x14ac:dyDescent="0.75">
      <c r="P86" s="9">
        <v>72</v>
      </c>
      <c r="Q86" s="9">
        <f t="shared" si="18"/>
        <v>11</v>
      </c>
      <c r="R86" s="9">
        <f t="shared" si="19"/>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87"/>
  <sheetViews>
    <sheetView tabSelected="1" workbookViewId="0">
      <selection activeCell="B26" sqref="B2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763</v>
      </c>
    </row>
    <row r="3" spans="2:7" x14ac:dyDescent="0.75">
      <c r="B3" s="33" t="s">
        <v>37</v>
      </c>
    </row>
    <row r="4" spans="2:7" x14ac:dyDescent="0.75">
      <c r="B4" s="77" t="str">
        <f>"Instance: "&amp;'Specimen-ConceptMap-1'!C4</f>
        <v>Instance: specimen2FHIR-eu-lab</v>
      </c>
    </row>
    <row r="5" spans="2:7" x14ac:dyDescent="0.75">
      <c r="B5" s="77" t="s">
        <v>641</v>
      </c>
    </row>
    <row r="6" spans="2:7" x14ac:dyDescent="0.75">
      <c r="B6" s="77" t="s">
        <v>642</v>
      </c>
    </row>
    <row r="7" spans="2:7" x14ac:dyDescent="0.75">
      <c r="B7" s="77" t="s">
        <v>652</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643</v>
      </c>
    </row>
    <row r="11" spans="2:7" x14ac:dyDescent="0.75">
      <c r="B11" s="77" t="s">
        <v>644</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#Specimen.extension:SpecimenFeatureTypeR5</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 group[=].element[=].target.code = #Specimen.subject</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##34#When the device (e.g. the catheter) is what has been examinated##34#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#Specimen.collection.method</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is the mean used to collect the specimen (e.g blood collected from the catheter) ##34#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t="str">
        <f>IF('Specimen-ConceptMap-1'!S79=0,"//---END",'Specimen-ConceptMap-1'!S79)</f>
        <v>//---END</v>
      </c>
    </row>
    <row r="84" spans="2:2" x14ac:dyDescent="0.75">
      <c r="B84" s="14" t="str">
        <f>IF('Specimen-ConceptMap-1'!S80=0,"//---END",'Specimen-ConceptMap-1'!S80)</f>
        <v>//---END</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874</v>
      </c>
      <c r="I6" s="26" t="str">
        <f>CONCATENATE("Title: ##34#",B6,"##34#")</f>
        <v>Title: ##34#A.5 - Results data elements##34#</v>
      </c>
    </row>
    <row r="7" spans="1:11" x14ac:dyDescent="0.75">
      <c r="A7" s="46" t="s">
        <v>5</v>
      </c>
      <c r="B7" s="14" t="s">
        <v>943</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593</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8" t="s">
        <v>198</v>
      </c>
      <c r="D36" s="109"/>
      <c r="E36" s="109"/>
      <c r="F36" s="110"/>
    </row>
    <row r="37" spans="2:9" ht="16.75" thickBot="1" x14ac:dyDescent="0.9">
      <c r="B37" t="str">
        <f t="shared" si="1"/>
        <v xml:space="preserve">A.5.1 Laboratory report narrative  </v>
      </c>
      <c r="C37" s="108" t="s">
        <v>535</v>
      </c>
      <c r="D37" s="109"/>
      <c r="E37" s="109"/>
      <c r="F37" s="110"/>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8" t="s">
        <v>537</v>
      </c>
      <c r="D40" s="109"/>
      <c r="E40" s="109"/>
      <c r="F40" s="110"/>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2" t="s">
        <v>210</v>
      </c>
      <c r="D42" s="105" t="s">
        <v>211</v>
      </c>
      <c r="E42" s="102" t="s">
        <v>212</v>
      </c>
      <c r="F42" s="43" t="s">
        <v>130</v>
      </c>
      <c r="I42" s="1" t="str">
        <f t="shared" si="2"/>
        <v>Code representing the observation using the agreed code systems. - Preferred system(s): LOINC</v>
      </c>
    </row>
    <row r="43" spans="2:9" ht="16" x14ac:dyDescent="0.75">
      <c r="B43" t="str">
        <f t="shared" si="1"/>
        <v xml:space="preserve"> </v>
      </c>
      <c r="C43" s="103"/>
      <c r="D43" s="106"/>
      <c r="E43" s="103"/>
      <c r="F43" s="43" t="s">
        <v>213</v>
      </c>
      <c r="I43" s="1" t="str">
        <f t="shared" si="2"/>
        <v xml:space="preserve"> - Preferred system(s): NPU</v>
      </c>
    </row>
    <row r="44" spans="2:9" ht="32.75" thickBot="1" x14ac:dyDescent="0.9">
      <c r="B44" t="str">
        <f t="shared" si="1"/>
        <v xml:space="preserve"> </v>
      </c>
      <c r="C44" s="104"/>
      <c r="D44" s="107"/>
      <c r="E44" s="104"/>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2" t="s">
        <v>226</v>
      </c>
      <c r="D49" s="105" t="s">
        <v>227</v>
      </c>
      <c r="E49" s="102"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3"/>
      <c r="D50" s="106"/>
      <c r="E50" s="103"/>
      <c r="F50" s="41"/>
      <c r="I50" s="1" t="str">
        <f t="shared" si="2"/>
        <v xml:space="preserve"> - Preferred system(s): </v>
      </c>
    </row>
    <row r="51" spans="2:9" ht="16.75" thickBot="1" x14ac:dyDescent="0.9">
      <c r="B51" t="str">
        <f t="shared" si="1"/>
        <v xml:space="preserve"> </v>
      </c>
      <c r="C51" s="104"/>
      <c r="D51" s="107"/>
      <c r="E51" s="104"/>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2" t="s">
        <v>238</v>
      </c>
      <c r="D55" s="105" t="s">
        <v>239</v>
      </c>
      <c r="E55" s="102"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3"/>
      <c r="D56" s="106"/>
      <c r="E56" s="103"/>
      <c r="F56" s="44"/>
      <c r="I56" s="1" t="str">
        <f t="shared" si="2"/>
        <v xml:space="preserve"> - Preferred system(s): </v>
      </c>
    </row>
    <row r="57" spans="2:9" ht="48.75" thickBot="1" x14ac:dyDescent="0.9">
      <c r="B57" t="str">
        <f t="shared" si="1"/>
        <v xml:space="preserve"> </v>
      </c>
      <c r="C57" s="104"/>
      <c r="D57" s="107"/>
      <c r="E57" s="104"/>
      <c r="F57" s="39" t="s">
        <v>242</v>
      </c>
      <c r="I57" s="1" t="str">
        <f t="shared" si="2"/>
        <v xml:space="preserve"> - Preferred system(s): UCUM (for units)</v>
      </c>
    </row>
    <row r="58" spans="2:9" ht="32" x14ac:dyDescent="0.75">
      <c r="B58" t="str">
        <f t="shared" si="1"/>
        <v>A.5.2.12 Observation interpretation</v>
      </c>
      <c r="C58" s="102" t="s">
        <v>243</v>
      </c>
      <c r="D58" s="105" t="s">
        <v>244</v>
      </c>
      <c r="E58" s="102" t="s">
        <v>245</v>
      </c>
      <c r="F58" s="43" t="s">
        <v>167</v>
      </c>
      <c r="I58" s="1" t="str">
        <f t="shared" si="2"/>
        <v>Information about reference intervals and result interpretation. - Preferred system(s): SNOMED CT</v>
      </c>
    </row>
    <row r="59" spans="2:9" x14ac:dyDescent="0.75">
      <c r="B59" t="str">
        <f t="shared" si="1"/>
        <v xml:space="preserve"> </v>
      </c>
      <c r="C59" s="103"/>
      <c r="D59" s="106"/>
      <c r="E59" s="103"/>
      <c r="F59" s="41"/>
      <c r="I59" s="1" t="str">
        <f t="shared" si="2"/>
        <v xml:space="preserve"> - Preferred system(s): </v>
      </c>
    </row>
    <row r="60" spans="2:9" ht="112.75" thickBot="1" x14ac:dyDescent="0.9">
      <c r="B60" t="str">
        <f t="shared" si="1"/>
        <v xml:space="preserve"> </v>
      </c>
      <c r="C60" s="104"/>
      <c r="D60" s="107"/>
      <c r="E60" s="104"/>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592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595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594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596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595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594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596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597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592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598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599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600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601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602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603</v>
      </c>
      <c r="E23" s="14" t="str">
        <f t="shared" si="0"/>
        <v>* observation.code.originalName -&gt; ##34#Observation.code.text##34#</v>
      </c>
      <c r="G23" s="1" t="s">
        <v>32</v>
      </c>
    </row>
    <row r="24" spans="1:15" ht="29.5" x14ac:dyDescent="0.75">
      <c r="A24" s="9">
        <v>9</v>
      </c>
      <c r="B24" s="9" t="str">
        <f>'A.5 Results'!B16</f>
        <v>observation.code.displayName</v>
      </c>
      <c r="C24" s="67" t="s">
        <v>604</v>
      </c>
      <c r="E24" s="14" t="str">
        <f t="shared" si="0"/>
        <v>* observation.code.displayName -&gt; ##34#Observation.code.coding.display.extension('translation') (TBD)##34#</v>
      </c>
      <c r="G24" s="1" t="s">
        <v>33</v>
      </c>
    </row>
    <row r="25" spans="1:15" x14ac:dyDescent="0.75">
      <c r="A25" s="9">
        <v>10</v>
      </c>
      <c r="B25" s="9" t="str">
        <f>'A.5 Results'!B17</f>
        <v>observation.method</v>
      </c>
      <c r="C25" s="9" t="s">
        <v>605</v>
      </c>
      <c r="E25" s="14" t="str">
        <f t="shared" si="0"/>
        <v>* observation.method -&gt; ##34#Observation.method##34#</v>
      </c>
    </row>
    <row r="26" spans="1:15" x14ac:dyDescent="0.75">
      <c r="A26" s="9"/>
      <c r="B26" s="9" t="str">
        <f>'A.5 Results'!B18</f>
        <v>observation.device</v>
      </c>
      <c r="C26" s="9" t="s">
        <v>606</v>
      </c>
      <c r="E26" s="14" t="str">
        <f t="shared" si="0"/>
        <v>* observation.device -&gt; ##34#Observation.device.resolve()##34#</v>
      </c>
    </row>
    <row r="27" spans="1:15" ht="29.5" x14ac:dyDescent="0.75">
      <c r="B27" s="9" t="str">
        <f>'A.5 Results'!B19</f>
        <v>observation.order</v>
      </c>
      <c r="C27" s="9" t="s">
        <v>607</v>
      </c>
      <c r="E27" s="14" t="str">
        <f t="shared" si="0"/>
        <v>* observation.order -&gt; ##34#Observation.basedOn.resolve().ofType(ServiceRequest)##34#</v>
      </c>
    </row>
    <row r="28" spans="1:15" x14ac:dyDescent="0.75">
      <c r="B28" s="9" t="str">
        <f>'A.5 Results'!B20</f>
        <v>observation.performer</v>
      </c>
      <c r="C28" s="9" t="s">
        <v>608</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609</v>
      </c>
      <c r="E30" s="14" t="str">
        <f t="shared" si="0"/>
        <v>* observation.result -&gt; ##34#Observation.value[x]##34#</v>
      </c>
    </row>
    <row r="31" spans="1:15" x14ac:dyDescent="0.75">
      <c r="B31" s="9" t="str">
        <f>'A.5 Results'!B23</f>
        <v>observation.interpretation</v>
      </c>
      <c r="C31" s="9" t="s">
        <v>610</v>
      </c>
      <c r="E31" s="14" t="str">
        <f t="shared" si="0"/>
        <v>* observation.interpretation -&gt; ##34#Observation.interpretation##34#</v>
      </c>
    </row>
    <row r="32" spans="1:15" x14ac:dyDescent="0.75">
      <c r="B32" s="62" t="str">
        <f>'A.5 Results'!$B$24</f>
        <v>observation.description</v>
      </c>
      <c r="C32" s="9" t="s">
        <v>611</v>
      </c>
      <c r="E32" s="14" t="str">
        <f t="shared" si="0"/>
        <v>* observation.description -&gt; ##34#Observation.text##34#</v>
      </c>
    </row>
    <row r="33" spans="2:5" x14ac:dyDescent="0.75">
      <c r="B33" s="62" t="str">
        <f>'A.5 Results'!$B$24</f>
        <v>observation.description</v>
      </c>
      <c r="C33" s="9" t="s">
        <v>612</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869</v>
      </c>
      <c r="D3" s="73" t="s">
        <v>663</v>
      </c>
      <c r="E3" s="84" t="str">
        <f>"http://hl7.eu/fhir/laboratory/StructureDefinition/"&amp;'A.5 Results'!B5</f>
        <v>http://hl7.eu/fhir/laboratory/StructureDefinition/Result</v>
      </c>
    </row>
    <row r="4" spans="1:19" x14ac:dyDescent="0.75">
      <c r="B4" s="73" t="s">
        <v>19</v>
      </c>
      <c r="C4" s="54" t="s">
        <v>870</v>
      </c>
      <c r="D4" s="73" t="s">
        <v>664</v>
      </c>
      <c r="E4" s="118" t="s">
        <v>857</v>
      </c>
      <c r="F4" s="117"/>
      <c r="G4" s="117"/>
    </row>
    <row r="5" spans="1:19" x14ac:dyDescent="0.75">
      <c r="B5" s="73" t="s">
        <v>13</v>
      </c>
      <c r="C5" s="10" t="s">
        <v>765</v>
      </c>
      <c r="D5" s="73"/>
      <c r="E5"/>
    </row>
    <row r="6" spans="1:19" x14ac:dyDescent="0.75">
      <c r="B6" s="73" t="s">
        <v>35</v>
      </c>
      <c r="C6" s="72"/>
      <c r="D6" s="73" t="s">
        <v>660</v>
      </c>
      <c r="E6" s="118" t="str">
        <f>E3</f>
        <v>http://hl7.eu/fhir/laboratory/StructureDefinition/Result</v>
      </c>
      <c r="F6" s="117"/>
      <c r="G6" s="117"/>
    </row>
    <row r="7" spans="1:19" x14ac:dyDescent="0.75">
      <c r="B7" s="73" t="s">
        <v>18</v>
      </c>
      <c r="C7" s="80"/>
      <c r="D7" s="73" t="s">
        <v>661</v>
      </c>
      <c r="E7" s="118" t="s">
        <v>662</v>
      </c>
      <c r="F7" s="117"/>
      <c r="G7" s="117"/>
    </row>
    <row r="8" spans="1:19" ht="44.25" x14ac:dyDescent="0.75">
      <c r="B8" s="73" t="s">
        <v>654</v>
      </c>
      <c r="C8" s="53" t="s">
        <v>766</v>
      </c>
      <c r="D8" s="73"/>
      <c r="E8" s="10"/>
      <c r="I8" s="14" t="s">
        <v>626</v>
      </c>
      <c r="J8" s="14" t="s">
        <v>627</v>
      </c>
      <c r="K8" s="14" t="s">
        <v>628</v>
      </c>
      <c r="L8" s="14" t="s">
        <v>629</v>
      </c>
      <c r="M8" s="9" t="s">
        <v>630</v>
      </c>
      <c r="P8" s="69" t="s">
        <v>631</v>
      </c>
      <c r="Q8" s="69">
        <v>6</v>
      </c>
    </row>
    <row r="9" spans="1:19" ht="29.5" x14ac:dyDescent="0.75">
      <c r="B9" s="73" t="s">
        <v>655</v>
      </c>
      <c r="C9" s="14" t="s">
        <v>767</v>
      </c>
      <c r="D9" s="73"/>
      <c r="E9"/>
      <c r="I9" s="14"/>
      <c r="J9" s="9"/>
      <c r="K9" s="9"/>
      <c r="L9" s="9"/>
      <c r="M9" s="9"/>
    </row>
    <row r="10" spans="1:19" x14ac:dyDescent="0.75">
      <c r="B10" s="73"/>
      <c r="C10" s="9"/>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646</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638</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768</v>
      </c>
      <c r="E16" s="9"/>
      <c r="F16" s="75" t="s">
        <v>638</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769</v>
      </c>
      <c r="E17" s="9"/>
      <c r="F17" s="75" t="s">
        <v>638</v>
      </c>
      <c r="G17" s="75" t="s">
        <v>773</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638</v>
      </c>
      <c r="G18" s="75" t="s">
        <v>770</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638</v>
      </c>
      <c r="G19" s="75" t="s">
        <v>770</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638</v>
      </c>
      <c r="G20" s="75" t="s">
        <v>770</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638</v>
      </c>
      <c r="G21" s="75" t="s">
        <v>770</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638</v>
      </c>
      <c r="G22" s="75" t="s">
        <v>770</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638</v>
      </c>
      <c r="G23" s="75" t="s">
        <v>770</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638</v>
      </c>
      <c r="G24" s="75" t="s">
        <v>770</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638</v>
      </c>
      <c r="G25" s="75" t="s">
        <v>770</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638</v>
      </c>
      <c r="G26" s="75" t="s">
        <v>770</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638</v>
      </c>
      <c r="G27" s="75" t="s">
        <v>770</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638</v>
      </c>
      <c r="G28" s="75" t="s">
        <v>770</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638</v>
      </c>
      <c r="G29" s="75" t="s">
        <v>770</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638</v>
      </c>
      <c r="G30" s="75" t="s">
        <v>770</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638</v>
      </c>
      <c r="G31" s="75" t="s">
        <v>770</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638</v>
      </c>
      <c r="G32" s="75" t="s">
        <v>770</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663</v>
      </c>
      <c r="E3" s="86"/>
    </row>
    <row r="4" spans="1:19" ht="15.5" thickBot="1" x14ac:dyDescent="0.9">
      <c r="B4" s="73" t="s">
        <v>19</v>
      </c>
      <c r="C4" s="85" t="str">
        <f>'Results-ConceptMap-1'!C4</f>
        <v>result2FHIR-eu-lab</v>
      </c>
      <c r="D4" s="73" t="s">
        <v>664</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660</v>
      </c>
      <c r="E6" s="118" t="str">
        <f>'Results-ConceptMap-1'!E6</f>
        <v>http://hl7.eu/fhir/laboratory/StructureDefinition/Result</v>
      </c>
      <c r="F6" s="117"/>
      <c r="G6" s="117"/>
    </row>
    <row r="7" spans="1:19" ht="15.5" thickBot="1" x14ac:dyDescent="0.9">
      <c r="B7" s="73" t="s">
        <v>18</v>
      </c>
      <c r="C7" s="85">
        <f>'Results-ConceptMap-1'!C7</f>
        <v>0</v>
      </c>
      <c r="D7" s="73" t="s">
        <v>661</v>
      </c>
      <c r="E7" s="118" t="s">
        <v>667</v>
      </c>
      <c r="F7" s="117"/>
      <c r="G7" s="117"/>
    </row>
    <row r="8" spans="1:19" ht="45" thickBot="1" x14ac:dyDescent="0.9">
      <c r="B8" s="73" t="s">
        <v>654</v>
      </c>
      <c r="C8" s="85" t="str">
        <f>'Results-ConceptMap-1'!C8</f>
        <v>eHN Result Model to this guide Map</v>
      </c>
      <c r="D8" s="73"/>
      <c r="E8" s="10"/>
      <c r="I8" s="14" t="s">
        <v>626</v>
      </c>
      <c r="J8" s="14" t="s">
        <v>627</v>
      </c>
      <c r="K8" s="14" t="s">
        <v>628</v>
      </c>
      <c r="L8" s="14" t="s">
        <v>629</v>
      </c>
      <c r="M8" s="9" t="s">
        <v>630</v>
      </c>
      <c r="P8" s="69" t="s">
        <v>631</v>
      </c>
      <c r="Q8" s="69">
        <v>6</v>
      </c>
    </row>
    <row r="9" spans="1:19" ht="30.25" thickBot="1" x14ac:dyDescent="0.9">
      <c r="B9" s="73" t="s">
        <v>655</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638</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768</v>
      </c>
      <c r="E16" s="9"/>
      <c r="F16" s="75" t="s">
        <v>638</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774</v>
      </c>
      <c r="E17" s="9"/>
      <c r="F17" s="75" t="s">
        <v>638</v>
      </c>
      <c r="G17" s="75" t="s">
        <v>771</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775</v>
      </c>
      <c r="E18" s="9"/>
      <c r="F18" s="75" t="s">
        <v>638</v>
      </c>
      <c r="G18" s="75" t="s">
        <v>772</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774</v>
      </c>
      <c r="E19" s="9"/>
      <c r="F19" s="75" t="s">
        <v>638</v>
      </c>
      <c r="G19" s="75" t="s">
        <v>771</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775</v>
      </c>
      <c r="E20" s="9"/>
      <c r="F20" s="75" t="s">
        <v>638</v>
      </c>
      <c r="G20" s="75" t="s">
        <v>772</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790</v>
      </c>
      <c r="E21" s="9"/>
      <c r="F21" s="75" t="s">
        <v>638</v>
      </c>
      <c r="G21" s="75" t="s">
        <v>771</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791</v>
      </c>
      <c r="E22" s="9"/>
      <c r="F22" s="75" t="s">
        <v>638</v>
      </c>
      <c r="G22" s="75" t="s">
        <v>772</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790</v>
      </c>
      <c r="E23" s="9"/>
      <c r="F23" s="75" t="s">
        <v>638</v>
      </c>
      <c r="G23" s="75" t="s">
        <v>770</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790</v>
      </c>
      <c r="E24" s="9"/>
      <c r="F24" s="75" t="s">
        <v>638</v>
      </c>
      <c r="G24" s="75" t="s">
        <v>770</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790</v>
      </c>
      <c r="E25" s="9"/>
      <c r="F25" s="75" t="s">
        <v>638</v>
      </c>
      <c r="G25" s="75" t="s">
        <v>770</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790</v>
      </c>
      <c r="E26" s="9"/>
      <c r="F26" s="75" t="s">
        <v>638</v>
      </c>
      <c r="G26" s="75" t="s">
        <v>770</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790</v>
      </c>
      <c r="E27" s="9"/>
      <c r="F27" s="75" t="s">
        <v>638</v>
      </c>
      <c r="G27" s="75" t="s">
        <v>770</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790</v>
      </c>
      <c r="E28" s="9"/>
      <c r="F28" s="75" t="s">
        <v>638</v>
      </c>
      <c r="G28" s="75" t="s">
        <v>770</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790</v>
      </c>
      <c r="E29" s="14"/>
      <c r="F29" s="75" t="s">
        <v>638</v>
      </c>
      <c r="G29" s="75" t="s">
        <v>770</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790</v>
      </c>
      <c r="E30" s="14"/>
      <c r="F30" s="75" t="s">
        <v>638</v>
      </c>
      <c r="G30" s="75" t="s">
        <v>770</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790</v>
      </c>
      <c r="E31" s="14"/>
      <c r="F31" s="75" t="s">
        <v>638</v>
      </c>
      <c r="G31" s="75" t="s">
        <v>770</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790</v>
      </c>
      <c r="E32" s="14"/>
      <c r="F32" s="75" t="s">
        <v>638</v>
      </c>
      <c r="G32" s="75" t="s">
        <v>770</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790</v>
      </c>
      <c r="E33" s="14"/>
      <c r="F33" s="75" t="s">
        <v>638</v>
      </c>
      <c r="G33" s="75" t="s">
        <v>770</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790</v>
      </c>
      <c r="E34" s="14"/>
      <c r="F34" s="75" t="s">
        <v>638</v>
      </c>
      <c r="G34" s="75" t="s">
        <v>770</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790</v>
      </c>
      <c r="E35" s="14"/>
      <c r="F35" s="75" t="s">
        <v>638</v>
      </c>
      <c r="G35" s="75" t="s">
        <v>770</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790</v>
      </c>
      <c r="E36" s="14"/>
      <c r="F36" s="75" t="s">
        <v>638</v>
      </c>
      <c r="G36" s="75" t="s">
        <v>770</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663</v>
      </c>
      <c r="E3" s="84"/>
    </row>
    <row r="4" spans="1:19" ht="15.5" thickBot="1" x14ac:dyDescent="0.9">
      <c r="B4" s="73" t="s">
        <v>19</v>
      </c>
      <c r="C4" s="85" t="str">
        <f>'Results-ConceptMap-1'!C4</f>
        <v>result2FHIR-eu-lab</v>
      </c>
      <c r="D4" s="73" t="s">
        <v>664</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660</v>
      </c>
      <c r="E6" s="118" t="str">
        <f>'Results-ConceptMap-1'!E6</f>
        <v>http://hl7.eu/fhir/laboratory/StructureDefinition/Result</v>
      </c>
      <c r="F6" s="117"/>
      <c r="G6" s="117"/>
    </row>
    <row r="7" spans="1:19" ht="15.5" thickBot="1" x14ac:dyDescent="0.9">
      <c r="B7" s="73" t="s">
        <v>18</v>
      </c>
      <c r="C7" s="85">
        <f>'Results-ConceptMap-1'!C7</f>
        <v>0</v>
      </c>
      <c r="D7" s="73" t="s">
        <v>661</v>
      </c>
      <c r="E7" s="118" t="s">
        <v>776</v>
      </c>
      <c r="F7" s="117"/>
      <c r="G7" s="117"/>
    </row>
    <row r="8" spans="1:19" ht="45" thickBot="1" x14ac:dyDescent="0.9">
      <c r="B8" s="73" t="s">
        <v>654</v>
      </c>
      <c r="C8" s="85" t="str">
        <f>'Results-ConceptMap-1'!C8</f>
        <v>eHN Result Model to this guide Map</v>
      </c>
      <c r="D8" s="73"/>
      <c r="E8" s="10"/>
      <c r="I8" s="14" t="s">
        <v>626</v>
      </c>
      <c r="J8" s="14" t="s">
        <v>627</v>
      </c>
      <c r="K8" s="14" t="s">
        <v>628</v>
      </c>
      <c r="L8" s="14" t="s">
        <v>629</v>
      </c>
      <c r="M8" s="9" t="s">
        <v>630</v>
      </c>
      <c r="P8" s="69" t="s">
        <v>631</v>
      </c>
      <c r="Q8" s="69">
        <v>6</v>
      </c>
    </row>
    <row r="9" spans="1:19" ht="30.25" thickBot="1" x14ac:dyDescent="0.9">
      <c r="B9" s="73" t="s">
        <v>655</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777</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639</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639</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639</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637</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778</v>
      </c>
      <c r="E19" s="9"/>
      <c r="F19" s="75" t="s">
        <v>637</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634</v>
      </c>
      <c r="E20" s="9"/>
      <c r="F20" s="75" t="s">
        <v>638</v>
      </c>
      <c r="G20" s="75" t="s">
        <v>787</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859</v>
      </c>
      <c r="E21" s="9"/>
      <c r="F21" s="75" t="s">
        <v>638</v>
      </c>
      <c r="G21" s="75" t="s">
        <v>787</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858</v>
      </c>
      <c r="E22" s="9"/>
      <c r="F22" s="75" t="s">
        <v>638</v>
      </c>
      <c r="G22" s="75" t="s">
        <v>787</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784</v>
      </c>
      <c r="E23" s="9"/>
      <c r="F23" s="75" t="s">
        <v>637</v>
      </c>
      <c r="G23" s="82" t="s">
        <v>861</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783</v>
      </c>
      <c r="E24" s="9"/>
      <c r="F24" s="75" t="s">
        <v>637</v>
      </c>
      <c r="G24" s="82" t="s">
        <v>861</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784</v>
      </c>
      <c r="E25" s="9"/>
      <c r="F25" s="75" t="s">
        <v>637</v>
      </c>
      <c r="G25" s="82" t="s">
        <v>862</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860</v>
      </c>
      <c r="E26" s="9"/>
      <c r="F26" s="75" t="s">
        <v>637</v>
      </c>
      <c r="G26" s="82" t="s">
        <v>863</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779</v>
      </c>
      <c r="E27" s="14"/>
      <c r="F27" s="75" t="s">
        <v>637</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780</v>
      </c>
      <c r="E28" s="14"/>
      <c r="F28" s="75" t="s">
        <v>638</v>
      </c>
      <c r="G28" s="82" t="s">
        <v>954</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951</v>
      </c>
      <c r="E29" s="14"/>
      <c r="F29" s="75" t="s">
        <v>638</v>
      </c>
      <c r="G29" s="82" t="s">
        <v>955</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780</v>
      </c>
      <c r="E30" s="14"/>
      <c r="F30" s="75" t="s">
        <v>638</v>
      </c>
      <c r="G30" s="96" t="s">
        <v>952</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953</v>
      </c>
      <c r="E31" s="14"/>
      <c r="F31" s="75" t="s">
        <v>638</v>
      </c>
      <c r="G31" s="96" t="s">
        <v>956</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792</v>
      </c>
      <c r="E32" s="14"/>
      <c r="F32" s="75" t="s">
        <v>637</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781</v>
      </c>
      <c r="E33" s="14"/>
      <c r="F33" s="75" t="s">
        <v>637</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781</v>
      </c>
      <c r="E34" s="14"/>
      <c r="F34" s="75" t="s">
        <v>638</v>
      </c>
      <c r="G34" s="82" t="s">
        <v>866</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785</v>
      </c>
      <c r="E35" s="14"/>
      <c r="F35" s="75" t="s">
        <v>637</v>
      </c>
      <c r="G35" s="75" t="s">
        <v>787</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786</v>
      </c>
      <c r="E36" s="14"/>
      <c r="F36" s="75" t="s">
        <v>637</v>
      </c>
      <c r="G36" s="75" t="s">
        <v>787</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782</v>
      </c>
      <c r="E37" s="14"/>
      <c r="F37" s="75" t="s">
        <v>637</v>
      </c>
      <c r="G37" s="83" t="s">
        <v>787</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788</v>
      </c>
      <c r="E38" s="14"/>
      <c r="F38" s="75" t="s">
        <v>637</v>
      </c>
      <c r="G38" s="83" t="s">
        <v>787</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768</v>
      </c>
      <c r="E39" s="14"/>
      <c r="F39" s="75" t="s">
        <v>638</v>
      </c>
      <c r="G39" s="88" t="s">
        <v>757</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793</v>
      </c>
      <c r="E40" s="14"/>
      <c r="F40" s="75" t="s">
        <v>638</v>
      </c>
      <c r="G40" s="83" t="s">
        <v>867</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PractictionerRole##34#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794</v>
      </c>
      <c r="E41" s="14"/>
      <c r="F41" s="75" t="s">
        <v>638</v>
      </c>
      <c r="G41" s="83" t="s">
        <v>868</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PractictionerRole##34#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789</v>
      </c>
    </row>
    <row r="3" spans="2:7" x14ac:dyDescent="0.75">
      <c r="B3" s="33" t="s">
        <v>37</v>
      </c>
    </row>
    <row r="4" spans="2:7" x14ac:dyDescent="0.75">
      <c r="B4" s="77" t="str">
        <f>"Instance: "&amp;'Results-ConceptMap-1'!C4</f>
        <v>Instance: result2FHIR-eu-lab</v>
      </c>
    </row>
    <row r="5" spans="2:7" x14ac:dyDescent="0.75">
      <c r="B5" s="77" t="s">
        <v>641</v>
      </c>
    </row>
    <row r="6" spans="2:7" x14ac:dyDescent="0.75">
      <c r="B6" s="77" t="s">
        <v>642</v>
      </c>
    </row>
    <row r="7" spans="2:7" x14ac:dyDescent="0.75">
      <c r="B7" s="77" t="s">
        <v>652</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643</v>
      </c>
    </row>
    <row r="11" spans="2:7" x14ac:dyDescent="0.75">
      <c r="B11" s="77" t="s">
        <v>644</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PractictionerRole##34#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2023-09-19T09:23:06Z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